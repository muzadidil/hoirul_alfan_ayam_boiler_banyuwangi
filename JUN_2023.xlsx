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_2023" sheetId="1" r:id="rId5"/>
    <sheet state="visible" name="EXSPEDISI" sheetId="2" r:id="rId6"/>
    <sheet state="visible" name="V_SALES" sheetId="3" r:id="rId7"/>
    <sheet state="visible" name="OPERASIONAL" sheetId="4" r:id="rId8"/>
    <sheet state="visible" name="NURUL_AINI" sheetId="5" r:id="rId9"/>
    <sheet state="visible" name="KOSONG" sheetId="6" r:id="rId10"/>
    <sheet state="visible" name="PRIBADI" sheetId="7" r:id="rId11"/>
    <sheet state="visible" name="PRODUKSI" sheetId="8" r:id="rId12"/>
  </sheets>
  <definedNames/>
  <calcPr/>
</workbook>
</file>

<file path=xl/sharedStrings.xml><?xml version="1.0" encoding="utf-8"?>
<sst xmlns="http://schemas.openxmlformats.org/spreadsheetml/2006/main" count="2637" uniqueCount="611">
  <si>
    <t>SALDO AWAL</t>
  </si>
  <si>
    <t>TRSF E-BANKING CR TANGGAL :31/05</t>
  </si>
  <si>
    <t>3105/FTSCY/WS95051 SIDO RAYA UTAMA CV SIDO RAYA UTAMA CV</t>
  </si>
  <si>
    <t>CR</t>
  </si>
  <si>
    <t>TRSF E-BANKING DB</t>
  </si>
  <si>
    <t>0106/FTSCY/WS95271 85709000.00 Sat May 30 2023 14:00:00 GMT+0700 (Western Indonesia Time) LAJU SATWA WISESA 85709000.00 Sat May 30 2023 14:00:00 GMT+0700 (Western Indonesia Time) LAJU SATWA WISESA</t>
  </si>
  <si>
    <t>DB</t>
  </si>
  <si>
    <t>PRODUKSI</t>
  </si>
  <si>
    <t>TARIKAN ATM 01/06</t>
  </si>
  <si>
    <t>PRIBADI</t>
  </si>
  <si>
    <t>0106/FTSCY/WS95031 2191500.00 SUPRIYADI 2191500.00 SUPRIYADI</t>
  </si>
  <si>
    <t>EXSPEDISI</t>
  </si>
  <si>
    <t>TRSF E-BANKING CR</t>
  </si>
  <si>
    <t>0106/FTSCY/WS95031 100000.00 NURUL AINI 100000.00 NURUL AINI</t>
  </si>
  <si>
    <t>BANK</t>
  </si>
  <si>
    <t>0106/FTSCY/WS95031 15000.00 NURUL AINI 15000.00 NURUL AINI</t>
  </si>
  <si>
    <t>NURUL_AINI</t>
  </si>
  <si>
    <t>0106/FTSCY/WS95031 66200000.00 tuban 3 ton GUNA MITRA SEHAT P 66200000.00 tuban 3 ton GUNA MITRA SEHAT P</t>
  </si>
  <si>
    <t>0106/FTFVA/WS95031 55569/PT PRIMA FAJ titip - 40190 55569/PT PRIMA FAJ titip - 40190</t>
  </si>
  <si>
    <t>0206/FTSCY/WS95051 141314770.00 krmn 31/5 TERA MULIA KORPORI 141314770.00 krmn 31/5 TERA MULIA KORPORI</t>
  </si>
  <si>
    <t>TARIKAN ATM 02/06</t>
  </si>
  <si>
    <t>0206/FTSCY/WS95271 11150000.00 pelunasan tuban GUNA MITRA SEHAT P 11150000.00 pelunasan tuban GUNA MITRA SEHAT P</t>
  </si>
  <si>
    <t>0206/FTFVA/WS95031 55569/PT PRIMA FAJ pelunasan mlg - 40190 55569/PT PRIMA FAJ pelunasan mlg - 40190</t>
  </si>
  <si>
    <t>0206/FTSCY/WS95031 60604000.00 bjn lunas BINTANG TAMA SANTO 60604000.00 bjn lunas BINTANG TAMA SANTO</t>
  </si>
  <si>
    <t>BYR VIA E-BANKING</t>
  </si>
  <si>
    <t>02/06  WSID9503100 0865 PLN PREPAID 32104859353 MUHAMMAD HAIRUL MA 0865 PLN PREPAID 32104859353 MUHAMMAD HAIRUL MA</t>
  </si>
  <si>
    <t>0206/FTSCY/WS95051 100000000.00 krmn 2/6 TERA MULIA KORPORI 100000000.00 krmn 2/6 TERA MULIA KORPORI</t>
  </si>
  <si>
    <t>0206/FTSCY/WS95031 160000.00 byr power bank AHMAD FAUSI 160000.00 byr power bank AHMAD FAUSI</t>
  </si>
  <si>
    <t>0206/FTSCY/WS95271 69926600.00 kd siswanto ANUGERAH KARTIKA A 69926600.00 kd siswanto ANUGERAH KARTIKA A</t>
  </si>
  <si>
    <t>0206/FTSCY/WS95031 1700000.00 SUPRIYADI 1700000.00 SUPRIYADI</t>
  </si>
  <si>
    <t>0206/FTSCY/WS95031 3080300.00 jember DIANA NOVITA 3080300.00 jember DIANA NOVITA</t>
  </si>
  <si>
    <t>0206/FTSCY/WS95051 141436200.00 SIDO RAYA UTAMA CV 141436200.00 SIDO RAYA UTAMA CV</t>
  </si>
  <si>
    <t>0206/FTSCY/WS95271 75443500.00 Mon Jun 01 2023 14:00:00 GMT+0700 (Western Indonesia Time) LAWU ABADI NUSA PT 75443500.00 Mon Jun 01 2023 14:00:00 GMT+0700 (Western Indonesia Time) LAWU ABADI NUSA PT</t>
  </si>
  <si>
    <t>0206/FTSCY/WS95271 58492900.00 Mon Jun 01 2023 14:00:00 GMT+0700 (Western Indonesia Time) BINTANG TAMA SANTO 58492900.00 Mon Jun 01 2023 14:00:00 GMT+0700 (Western Indonesia Time) BINTANG TAMA SANTO</t>
  </si>
  <si>
    <t>0206/FTSCY/WS95271 75886900.00 Fri May 01 2023 14:00:00 GMT+0700 (Western Indonesia Time) BINTANG TAMA SANTO 75886900.00 Fri May 01 2023 14:00:00 GMT+0700 (Western Indonesia Time) BINTANG TAMA SANTO</t>
  </si>
  <si>
    <t>0306/FTSCY/WS95031 1500000.00 HERMAWAN 1500000.00 HERMAWAN</t>
  </si>
  <si>
    <t>0306/FTSCY/WS95031 1000000.00 ANDE DOSO ANGGORO 1000000.00 ANDE DOSO ANGGORO</t>
  </si>
  <si>
    <t>V_SALES</t>
  </si>
  <si>
    <t>0306/FTSCY/WS95031 290900.00 NURHAYATI 290900.00 NURHAYATI</t>
  </si>
  <si>
    <t>0306/FTSCY/WS95051 211009790.00 krmn 2/6 TERA MAKMURINDO CV 211009790.00 krmn 2/6 TERA MAKMURINDO CV</t>
  </si>
  <si>
    <t>0306/FTSCY/WS95051 559275110.00 krmn 2/6 TERA MULIA KORPORI 559275110.00 krmn 2/6 TERA MULIA KORPORI</t>
  </si>
  <si>
    <t>KARTU DEBIT</t>
  </si>
  <si>
    <t>ALFAMRT Y207 BRTN 6019009510239343 6019009510239343</t>
  </si>
  <si>
    <t>0306/FTSCY/WS95011 395670800.00 30/05 dan 01/06 lunas BROILER MAKMUR TAN 395670800.00 30/05 dan 01/06 lunas BROILER MAKMUR TAN</t>
  </si>
  <si>
    <t>0306/FTSCY/WS95011 71539100.00 Mon Jun 01 2023 14:00:00 GMT+0700 (Western Indonesia Time) TUMBUH OPTIMAL PRI 71539100.00 Mon Jun 01 2023 14:00:00 GMT+0700 (Western Indonesia Time) TUMBUH OPTIMAL PRI</t>
  </si>
  <si>
    <t>0306/FTSCY/WS95271 138515950.00 Mon Jun 01 2023 14:00:00 GMT+0700 (Western Indonesia Time) BINTANG TAMA SANTO 138515950.00 Mon Jun 01 2023 14:00:00 GMT+0700 (Western Indonesia Time) BINTANG TAMA SANTO</t>
  </si>
  <si>
    <t>0306/FTSCY/WS95271 133920420.00 Mon Jun 01 2023 14:00:00 GMT+0700 (Western Indonesia Time) ANDALAN YASA MITRA 133920420.00 Mon Jun 01 2023 14:00:00 GMT+0700 (Western Indonesia Time) ANDALAN YASA MITRA</t>
  </si>
  <si>
    <t>0306/FTFVA/WS95031 80777/TOKOPEDIA - - 82318368518 80777/TOKOPEDIA - - 82318368518</t>
  </si>
  <si>
    <t>0306/FTSCY/WS95051 133917850.00 Pembelian ayam TRIJAYA LESTARI FO 133917850.00 Pembelian ayam TRIJAYA LESTARI FO</t>
  </si>
  <si>
    <t>03/06  WSID9503100 1220 TELKOMSEL 81326518324 MUHAMMAD HAIRUL MA 1220 TELKOMSEL 81326518324 MUHAMMAD HAIRUL MA</t>
  </si>
  <si>
    <t>0306/FTSCY/WS95031 63420560.00 Mon Jun 01 2023 14:00:00 GMT+0700 (Western Indonesia Time) SUPER UNGGAS JAYA 63420560.00 Mon Jun 01 2023 14:00:00 GMT+0700 (Western Indonesia Time) SUPER UNGGAS JAYA</t>
  </si>
  <si>
    <t>0306/FTSCY/WS95051 84240000.00 AH 3900 21600 GEMILANG INTI SUKS 84240000.00 AH 3900 21600 GEMILANG INTI SUKS</t>
  </si>
  <si>
    <t>0306/FTSCY/WS95051 351705170.00 SIDO RAYA UTAMA CV 351705170.00 SIDO RAYA UTAMA CV</t>
  </si>
  <si>
    <t>TARIKAN ATM 03/06</t>
  </si>
  <si>
    <t>0306/FTSCY/WS95031 2313000.00 bayar stn WARDHY SHOMA 2313000.00 bayar stn WARDHY SHOMA</t>
  </si>
  <si>
    <t>BI-FAST DB</t>
  </si>
  <si>
    <t>BIF TRANSFER KE 2 FAJAR ANDREANZAH M-BCA 2 FAJAR ANDREANZAH M-BCA</t>
  </si>
  <si>
    <t>BIF BIAYA TXN KE 2 FAJAR ANDREANZAH M-BCA 2 FAJAR ANDREANZAH M-BCA</t>
  </si>
  <si>
    <t>0406/FTSCY/WS95031 1000000.00 SUPRIYADI 1000000.00 SUPRIYADI</t>
  </si>
  <si>
    <t>0406/FTSCY/WS95031 428010.00 DIANA NOVITA 428010.00 DIANA NOVITA</t>
  </si>
  <si>
    <t>0406/FTSCY/WS95271 131751920.00 Mon Jun 01 2023 14:00:00 GMT+0700 (Western Indonesia Time) ANDALAN YASA MITRA 131751920.00 Mon Jun 01 2023 14:00:00 GMT+0700 (Western Indonesia Time) ANDALAN YASA MITRA</t>
  </si>
  <si>
    <t>0406/FTSCY/WS95271 72771050.00 Sat May 02 2023 14:00:00 GMT+0700 (Western Indonesia Time) PT BERLIAN INDOMIT 72771050.00 Sat May 02 2023 14:00:00 GMT+0700 (Western Indonesia Time) PT BERLIAN INDOMIT</t>
  </si>
  <si>
    <t>0406/FTSCY/WS95271 21000000.00 krg 65 jt EKO SETIYAWAN 21000000.00 krg 65 jt EKO SETIYAWAN</t>
  </si>
  <si>
    <t>IDM TDVX KEDONGANA 6019009510239343 6019009510239343</t>
  </si>
  <si>
    <t>0406/FTSCY/WS95031 84104450.00 Tue Jun 02 2023 14:00:00 GMT+0700 (Western Indonesia Time) ANUGERAH KARTIKA A 84104450.00 Tue Jun 02 2023 14:00:00 GMT+0700 (Western Indonesia Time) ANUGERAH KARTIKA A</t>
  </si>
  <si>
    <t>0406/FTFVA/WS95031 55569/PT PRIMA FAJ mlg 3 ton - 40190 55569/PT PRIMA FAJ mlg 3 ton - 40190</t>
  </si>
  <si>
    <t>0406/FTSCY/WS95011 75950000.00 mlg 3.5 ton SUGENG RIADI 75950000.00 mlg 3.5 ton SUGENG RIADI</t>
  </si>
  <si>
    <t>0406/FTSCY/WS95011 61468500.00 Tue Jun 02 2023 14:00:00 GMT+0700 (Western Indonesia Time) BINTANG TAMA SANTO 61468500.00 Tue Jun 02 2023 14:00:00 GMT+0700 (Western Indonesia Time) BINTANG TAMA SANTO</t>
  </si>
  <si>
    <t>0506/FTSCY/WS95031 631470.00 pelunasan SUGENG RIADI 631470.00 pelunasan SUGENG RIADI</t>
  </si>
  <si>
    <t>0506/FTSCY/WS95051 470660040.00 krmn 3/6 TERA MULIA KORPORI 470660040.00 krmn 3/6 TERA MULIA KORPORI</t>
  </si>
  <si>
    <t>0506/FTSCY/WS95271 129738300.00 Tue Jun 02 2023 14:00:00 GMT+0700 (Western Indonesia Time) LAJU SATWA WISESA 129738300.00 Tue Jun 02 2023 14:00:00 GMT+0700 (Western Indonesia Time) LAJU SATWA WISESA</t>
  </si>
  <si>
    <t>0506/FTSCY/WS95271 159100000.00 Tue Jun 02 2023 14:00:00 GMT+0700 (Western Indonesia Time) BINTANG TAMA SANTO 159100000.00 Tue Jun 02 2023 14:00:00 GMT+0700 (Western Indonesia Time) BINTANG TAMA SANTO</t>
  </si>
  <si>
    <t>0506/FTSCY/WS95031 62599400.00 Tue Jun 02 2023 14:00:00 GMT+0700 (Western Indonesia Time) ANDALAN YASA MITRA 62599400.00 Tue Jun 02 2023 14:00:00 GMT+0700 (Western Indonesia Time) ANDALAN YASA MITRA</t>
  </si>
  <si>
    <t>0506/FTSCY/WS95031 1970300.00 magetan lunas DIANA NOVITA 1970300.00 magetan lunas DIANA NOVITA</t>
  </si>
  <si>
    <t>0506/FTFVA/WS95031 12608/SHOPEE - - 5335263590 12608/SHOPEE - - 5335263590</t>
  </si>
  <si>
    <t>0506/FTSCY/WS95031 850000.00 ARUL BACHTIAR DWI 850000.00 ARUL BACHTIAR DWI</t>
  </si>
  <si>
    <t>0506/FTSCY/WS95051 76934380.00 Thu Jun 04 2023 14:00:00 GMT+0700 (Western Indonesia Time) 3529.1/Clossing SUGENG MARIONO 76934380.00 Thu Jun 04 2023 14:00:00 GMT+0700 (Western Indonesia Time) 3529.1/Clossing SUGENG MARIONO</t>
  </si>
  <si>
    <t>0506/FTSCY/WS95051 183177640.00 AH P. Hairul 17/5 PHALOSARI UNGGUL J 183177640.00 AH P. Hairul 17/5 PHALOSARI UNGGUL J</t>
  </si>
  <si>
    <t>0506/FTSCY/WS95031 250000.00 ARUL BACHTIAR DWI 250000.00 ARUL BACHTIAR DWI</t>
  </si>
  <si>
    <t>DB DEBIT DOMESTIK</t>
  </si>
  <si>
    <t>TRN DEBIT DOM 008 CASHLEZ PT GAIN CASHLEZ PT GAIN</t>
  </si>
  <si>
    <t>0506/FTFVA/WS95031 26689/TIKTOK SHOP - - 4272554798806 26689/TIKTOK SHOP - - 4272554798806</t>
  </si>
  <si>
    <t>0506/FTSCY/WS95051 257035560.00 SIDO RAYA UTAMA CV 257035560.00 SIDO RAYA UTAMA CV</t>
  </si>
  <si>
    <t>0506/FTSCY/WS95011 155835060.00 Wed Jun 03 2023 14:00:00 GMT+0700 (Western Indonesia Time) ANDALAN YASA MITRA 155835060.00 Wed Jun 03 2023 14:00:00 GMT+0700 (Western Indonesia Time) ANDALAN YASA MITRA</t>
  </si>
  <si>
    <t>0506/FTSCY/WS95011 257873150.00 Wed Jun 03 2023 14:00:00 GMT+0700 (Western Indonesia Time) BROILER MAKMUR TAN 257873150.00 Wed Jun 03 2023 14:00:00 GMT+0700 (Western Indonesia Time) BROILER MAKMUR TAN</t>
  </si>
  <si>
    <t>0506/FTSCY/WS95011 63910650.00 Wed Jun 03 2023 14:00:00 GMT+0700 (Western Indonesia Time) ANUGERAH KARTIKA A 63910650.00 Wed Jun 03 2023 14:00:00 GMT+0700 (Western Indonesia Time) ANUGERAH KARTIKA A</t>
  </si>
  <si>
    <t>0506/FTSCY/WS95031 1200000.00 SUPRIYADI 1200000.00 SUPRIYADI</t>
  </si>
  <si>
    <t>BIF TRANSFER KE 9 NOUVAL HOLQI RISKU M-BCA 9 NOUVAL HOLQI RISKU M-BCA</t>
  </si>
  <si>
    <t>BIF BIAYA TXN KE 9 NOUVAL HOLQI RISKU M-BCA 9 NOUVAL HOLQI RISKU M-BCA</t>
  </si>
  <si>
    <t>0606/FTSCY/WS95271 50643250.00 Thu Jun 04 2023 14:00:00 GMT+0700 (Western Indonesia Time) BINTANG TAMA SANTO 50643250.00 Thu Jun 04 2023 14:00:00 GMT+0700 (Western Indonesia Time) BINTANG TAMA SANTO</t>
  </si>
  <si>
    <t>0606/FTSCY/WS95271 45606900.00 Thu Jun 04 2023 14:00:00 GMT+0700 (Western Indonesia Time) LAJU SATWA WISESA 45606900.00 Thu Jun 04 2023 14:00:00 GMT+0700 (Western Indonesia Time) LAJU SATWA WISESA</t>
  </si>
  <si>
    <t>0606/FTSCY/WS95031 1100000.00 SANDI FAJAR PRASET 1100000.00 SANDI FAJAR PRASET</t>
  </si>
  <si>
    <t>0606/FTSCY/WS95051 523990790.00 krmn 5/6 TERA MULIA KORPORI 523990790.00 krmn 5/6 TERA MULIA KORPORI</t>
  </si>
  <si>
    <t>0606/FTSCY/WS95011 149322600.00 Thu Jun 04 2023 14:00:00 GMT+0700 (Western Indonesia Time) ANUGERAH KARTIKA A 149322600.00 Thu Jun 04 2023 14:00:00 GMT+0700 (Western Indonesia Time) ANUGERAH KARTIKA A</t>
  </si>
  <si>
    <t>0606/FTSCY/WS95011 155064000.00 Thu Jun 04 2023 14:00:00 GMT+0700 (Western Indonesia Time) ANDALAN YASA MITRA 155064000.00 Thu Jun 04 2023 14:00:00 GMT+0700 (Western Indonesia Time) ANDALAN YASA MITRA</t>
  </si>
  <si>
    <t>0606/FTSCY/WS95011 60877180.00 Thu Jun 04 2023 14:00:00 GMT+0700 (Western Indonesia Time) ANDALAN YASA MITRA 60877180.00 Thu Jun 04 2023 14:00:00 GMT+0700 (Western Indonesia Time) ANDALAN YASA MITRA</t>
  </si>
  <si>
    <t>0606/FTSCY/WS95051 122937270.00 AH FM P. Hairul Wed May 27 2023 14:00:00 GMT+0700 (Western Indonesia Time) PHALOSARI UNGGUL J 122937270.00 AH FM P. Hairul Wed May 27 2023 14:00:00 GMT+0700 (Western Indonesia Time) PHALOSARI UNGGUL J</t>
  </si>
  <si>
    <t>0606/FTSCY/WS95031 400000.00 1.62 ARUL BACHTIAR DWI 400000.00 1.62 ARUL BACHTIAR DWI</t>
  </si>
  <si>
    <t>0606/FTSCY/WS95011 64810800.00 Byr Ayam JT06.06 RPA SBU ALDINI MARIA GUMIL 64810800.00 Byr Ayam JT06.06 RPA SBU ALDINI MARIA GUMIL</t>
  </si>
  <si>
    <t>0606/FTFVA/WS95031 55569/PT PRIMA FAJ probolinggo 12.5 t on 40190 55569/PT PRIMA FAJ probolinggo 12.5 t on 40190</t>
  </si>
  <si>
    <t>0606/FTSCY/WS95031 81217500.00 Fri Jun 05 2023 14:00:00 GMT+0700 (Western Indonesia Time) BINTANG TAMA SANTO 81217500.00 Fri Jun 05 2023 14:00:00 GMT+0700 (Western Indonesia Time) BINTANG TAMA SANTO</t>
  </si>
  <si>
    <t>0606/FTSCY/WS95031 3219600.00 bwi DIANA NOVITA 3219600.00 bwi DIANA NOVITA</t>
  </si>
  <si>
    <t>0606/FTSCY/WS95051 237465560.00 SIDO RAYA UTAMA CV 237465560.00 SIDO RAYA UTAMA CV</t>
  </si>
  <si>
    <t>0606/FTSCY/WS95271 187814400.00 Fri Jun 05 2023 14:00:00 GMT+0700 (Western Indonesia Time) ANUGERAH KARTIKA A 187814400.00 Fri Jun 05 2023 14:00:00 GMT+0700 (Western Indonesia Time) ANUGERAH KARTIKA A</t>
  </si>
  <si>
    <t>0606/FTSCY/WS95031 7516470.00 lunas HERMAWAN 7516470.00 lunas HERMAWAN</t>
  </si>
  <si>
    <t>0606/FTSCY/WS95271 14198000.00 krg 60 jt EKO SETIYAWAN 14198000.00 krg 60 jt EKO SETIYAWAN</t>
  </si>
  <si>
    <t>0706/FTSCY/WS95031 6167000.00 krg 60 jt EKO SETIYAWAN 6167000.00 krg 60 jt EKO SETIYAWAN</t>
  </si>
  <si>
    <t>0706/FTSCY/WS95031 1420000.00 NURHAYATI 1420000.00 NURHAYATI</t>
  </si>
  <si>
    <t>0706/FTSCY/WS95031 1500000.00 SUPRIYADI 1500000.00 SUPRIYADI</t>
  </si>
  <si>
    <t>BIF TRANSFER KE 9 AHMAD LUTHFI FADHI M-BCA 9 AHMAD LUTHFI FADHI M-BCA</t>
  </si>
  <si>
    <t>BIF BIAYA TXN KE 9 AHMAD LUTHFI FADHI M-BCA 9 AHMAD LUTHFI FADHI M-BCA</t>
  </si>
  <si>
    <t>0706/FTSCY/WS95051 337230240.00 krmn 6/6 TERA MULIA KORPORI 337230240.00 krmn 6/6 TERA MULIA KORPORI</t>
  </si>
  <si>
    <t>0706/FTSCY/WS95011 379734400.00 04/06 magetan SUPER UNGGAS JAYA 379734400.00 04/06 magetan SUPER UNGGAS JAYA</t>
  </si>
  <si>
    <t>0706/FTSCY/WS95271 60000.00 byr paket YUDISTIRA ADI KUSU 60000.00 byr paket YUDISTIRA ADI KUSU</t>
  </si>
  <si>
    <t>0706/FTSCY/WS95051 249259050.00 AH fm P. Hairul Tue May 19 2023 14:00:00 GMT+0700 (Western Indonesia Time) PHALOSARI UNGGUL J 249259050.00 AH fm P. Hairul Tue May 19 2023 14:00:00 GMT+0700 (Western Indonesia Time) PHALOSARI UNGGUL J</t>
  </si>
  <si>
    <t>0706/FTSCY/WS95031 700000.00 probolinggo DIANA NOVITA 700000.00 probolinggo</t>
  </si>
  <si>
    <t>0706/FTSCY/WS95031 1000000.00 YESI PURNAMASARI</t>
  </si>
  <si>
    <t>0706/FTSCY/WS95051 100000000.00 krmn 7/6 TERA MULIA KORPORI</t>
  </si>
  <si>
    <t>0706/FTSCY/WS95271 141690250.00 Fri Jun 05 2023 14:00:00 GMT+0700 (Western Indonesia Time) BROILER MAKMUR TAN</t>
  </si>
  <si>
    <t>0706/FTFVA/WS95031 55569/PT PRIMA FAJ bwi 10.5 ton - 40190</t>
  </si>
  <si>
    <t>0706/FTSCY/WS95051 268788630.00 SIDO RAYA UTAMA CV</t>
  </si>
  <si>
    <t>BIF TRANSFER KE 2 SUNARJI M-BCA</t>
  </si>
  <si>
    <t>BIF BIAYA TXN KE 2 SUNARJI M-BCA</t>
  </si>
  <si>
    <t>0706/FTSCY/WS95031 1000000.00 SUPRIYADI</t>
  </si>
  <si>
    <t>IDM F78A BAJERA BA 6019009510239343</t>
  </si>
  <si>
    <t>TRSF E-BANKING DB TANGGAL :07/06</t>
  </si>
  <si>
    <t>0706/FTSCY/WS95031 Sat Jun 06 2023 14:00:00 GMT+0700 (Western Indonesia Time) TUMBUH OPTIMAL PRI</t>
  </si>
  <si>
    <t>0706/FTSCY/WS95031 ANDE DOSO ANGGORO</t>
  </si>
  <si>
    <t>0706/FTSCY/WS95271 Fri Jun 05 2023 14:00:00 GMT+0700 (Western Indonesia Time) SUPER UNGGAS JAYA</t>
  </si>
  <si>
    <t>0806/FTSCY/WS95271 65000.00 YUDISTIRA ADI KUSU</t>
  </si>
  <si>
    <t>0806/FTSCY/WS95031 53395200.00 blitar BERLIAN UNGGUL JAY</t>
  </si>
  <si>
    <t>0806/FTSCY/WS95051 71886180.00 krmn 7/6 TERA MAKMURINDO CV</t>
  </si>
  <si>
    <t>0806/FTSCY/WS95051 385914545.00 krmn 7/6 TERA MULIA KORPORI</t>
  </si>
  <si>
    <t>TRANSAKSI DEBIT</t>
  </si>
  <si>
    <t>TGL: 08/06 QR 916 00000.00"JNE LM JA</t>
  </si>
  <si>
    <t>0806/FTSCY/WS95271 141183400.00 Sat Jun 06 2023 14:00:00 GMT+0700 (Western Indonesia Time) LAJU SATWA WISESA</t>
  </si>
  <si>
    <t>0806/FTSCY/WS95271 70318500.00 Sat Jun 06 2023 14:00:00 GMT+0700 (Western Indonesia Time) BINTANG TAMA SANTO</t>
  </si>
  <si>
    <t>0806/FTSCY/WS95051 190914030.00 AH UBA 27 mei PHALOSARI UNGGUL J</t>
  </si>
  <si>
    <t>0806/FTSCY/WS95031 5104400.00 ban 1.5 jt DIANA NOVITA</t>
  </si>
  <si>
    <t>0806/FTSCY/WS95051 100000000.00 krmn 8/6 TERA MULIA KORPORI</t>
  </si>
  <si>
    <t>0806/FTSCY/WS95031 780000.00 total 2,050 ARUL BACHTIAR DWI</t>
  </si>
  <si>
    <t>0806/FTSCY/WS95051 83980000.00 ah 3800x22100 GEMILANG INTI SUKS</t>
  </si>
  <si>
    <t>0806/FTFVA/WS95031 55569/PT PRIMA FAJ lamongan ,mlg , bw i 40190</t>
  </si>
  <si>
    <t>0806/FTSCY/WS95051 130549320.00 SIDO RAYA UTAMA CV</t>
  </si>
  <si>
    <t>0806/FTSCY/WS95031 1216760.00 tot. bon 2 jt SUPRIYADI</t>
  </si>
  <si>
    <t>TRSF E-BANKING DB TANGGAL :08/06</t>
  </si>
  <si>
    <t>0806/FTSCY/WS95271 Sun Jun 07 2023 14:00:00 GMT+0700 (Western Indonesia Time) ANUGERAH KARTIKA A</t>
  </si>
  <si>
    <t>BI-FAST DB TANGGAL :08/06</t>
  </si>
  <si>
    <t>BIF TRANSFER KE ERIK BASONI M-BCA</t>
  </si>
  <si>
    <t>BIF BIAYA TXN KE ERIK BASONI M-BCA</t>
  </si>
  <si>
    <t>0806/FTSCY/WS95011 Sun Jun 07 2023 14:00:00 GMT+0700 (Western Indonesia Time) ANUGERAH KARTIKA A</t>
  </si>
  <si>
    <t>0806/FTSCY/WS95011 Sun Jun 07 2023 14:00:00 GMT+0700 (Western Indonesia Time) BINTANG TAMA SANTO</t>
  </si>
  <si>
    <t>0806/FTSCY/WS95011 Sun Jun 07 2023 14:00:00 GMT+0700 (Western Indonesia Time) ANDALAN YASA MITRA</t>
  </si>
  <si>
    <t>0806/FTSCY/WS95011 titip jembeer LAWU ABADI NUSA PT</t>
  </si>
  <si>
    <t>BIF TRANSFER KE FAJAR ANDREANZAH M-BCA</t>
  </si>
  <si>
    <t>BIF BIAYA TXN KE FAJAR ANDREANZAH M-BCA</t>
  </si>
  <si>
    <t>0806/FTSCY/WS95031 ANDE DOSO ANGGORO</t>
  </si>
  <si>
    <t>TRSF E-BANKING CR TANGGAL :08/06</t>
  </si>
  <si>
    <t>0806/FTSCY/WS95271 Byr ayam p munib s bu ALDINI MARIA GUMIL</t>
  </si>
  <si>
    <t>0906/FTSCY/WS95051 50596488.00 krmn 9/6 - cn 898112 TERA MULIA KORPORI</t>
  </si>
  <si>
    <t>0906/FTSCY/WS95031 80940000.00 Sun Jun 07 2023 14:00:00 GMT+0700 (Western Indonesia Time) TUMBUH OPTIMAL PRI</t>
  </si>
  <si>
    <t>0906/FTFVA/WS95031 26689/TIKTOK SHOP - - 2663108583854</t>
  </si>
  <si>
    <t>0906/FTSCY/WS95051 251940000.00 ah 3800x3x22100 GEMILANG INTI SUKS</t>
  </si>
  <si>
    <t>0906/FTSCY/WS95031 2017000.00 DIANA NOVITA</t>
  </si>
  <si>
    <t>0906/FTSCY/WS95031 1710700.00 SUPRIYADI</t>
  </si>
  <si>
    <t>0906/FTFVA/WS95031 55574/GUNA MITRA S blora - 200177</t>
  </si>
  <si>
    <t>0906/FTSCY/WS95051 398788500.00 SIDO RAYA UTAMA CV</t>
  </si>
  <si>
    <t>0906/FTFVA/WS95031 55569/PT PRIMA FAJ probolinggo - 40190</t>
  </si>
  <si>
    <t>09/06  WSID9503100 1220 TELKOMSEL 82318368518 MUHAMMAD HAIRUL MA</t>
  </si>
  <si>
    <t>0906/FTSCY/WS95271 93170250.00 Mon Jun 08 2023 14:00:00 GMT+0700 (Western Indonesia Time) BINTANG TAMA SANTO</t>
  </si>
  <si>
    <t>0906/FTSCY/WS95271 104953000.00 Mon Jun 08 2023 14:00:00 GMT+0700 (Western Indonesia Time) LAWU ABADI NUSA PT</t>
  </si>
  <si>
    <t>ALFAMRT Y207 BRTN 6019009510239343</t>
  </si>
  <si>
    <t>TRSF E-BANKING DB TANGGAL :09/06</t>
  </si>
  <si>
    <t>0906/FTSCY/WS95011 magetan SUPER UNGGAS JAYA</t>
  </si>
  <si>
    <t>0906/FTSCY/WS95031 NURHAYATI</t>
  </si>
  <si>
    <t>1006/FTFVA/WS95031 55569/PT PRIMA FAJ pelunasan probolin ggo 40190</t>
  </si>
  <si>
    <t>1006/FTSCY/WS95031 77270100.00 Mon Jun 08 2023 14:00:00 GMT+0700 (Western Indonesia Time) BINTANG TAMA SANTO</t>
  </si>
  <si>
    <t>1006/FTSCY/WS95051 486953700.00 krmn 9/6 mkrjt TERA MAKMURINDO CV</t>
  </si>
  <si>
    <t>1006/FTSCY/WS95031 23755100.00 krg. 1 jt RODHIATUS SOLEHA</t>
  </si>
  <si>
    <t>BIF TRANSFER KE 9 NOUVAL HOLQI RISKU M-BCA</t>
  </si>
  <si>
    <t>BIF BIAYA TXN KE 9 NOUVAL HOLQI RISKU M-BCA</t>
  </si>
  <si>
    <t>1006/FTSCY/WS95051 166060000.00 ah 3800x21600+ 3800x22100 GEMILANG INTI SUKS</t>
  </si>
  <si>
    <t>1006/FTSCY/WS95051 100000000.00 krmn 10/6 TERA MULIA KORPORI</t>
  </si>
  <si>
    <t>1006/FTSCY/WS95011 255637280.00 Mon Jun 08 2023 14:00:00 GMT+0700 (Western Indonesia Time) BROILER MAKMUR TAN</t>
  </si>
  <si>
    <t>1006/FTSCY/WS95011 243593640.00 Mon Jun 08 2023 14:00:00 GMT+0700 (Western Indonesia Time) ANDALAN YASA MITRA</t>
  </si>
  <si>
    <t>1006/FTSCY/WS95271 87000000.00 pelunasan 08.06 ANDALAN YASA MITRA</t>
  </si>
  <si>
    <t>1006/FTSCY/WS95031 3366000.00 bwi DIANA NOVITA</t>
  </si>
  <si>
    <t>1006/FTSCY/WS95031 1691470.00 SUPRIYADI</t>
  </si>
  <si>
    <t>BIF TRANSFER KE 2 FAJAR ANDREANZAH M-BCA</t>
  </si>
  <si>
    <t>BIF BIAYA TXN KE 2 FAJAR ANDREANZAH M-BCA</t>
  </si>
  <si>
    <t>1006/FTSCY/WS95031 1311100.00 HERMAWAN</t>
  </si>
  <si>
    <t>1006/FTSCY/WS95031 250000.00 HERMAWAN</t>
  </si>
  <si>
    <t>1006/FTSCY/WS95271 127254600.00 Mon Jun 08 2023 14:00:00 GMT+0700 (Western Indonesia Time) GANESHA SATRIA NUS</t>
  </si>
  <si>
    <t>1006/FTSCY/WS95031 15429400.00 krg 80 jt EKO SETIYAWAN</t>
  </si>
  <si>
    <t>TARIKAN ATM 10/06</t>
  </si>
  <si>
    <t>TRSF E-BANKING CR TANGGAL :10/06</t>
  </si>
  <si>
    <t>1006/FTSCY/WS95051 SIDO RAYA UTAMA CV</t>
  </si>
  <si>
    <t>1106/FTSCY/WS95271 44210600.00 Byr ayam JT 09.06 RPA SBU ALDINI MARIA GUMIL</t>
  </si>
  <si>
    <t>1106/FTSCY/WS95031 72600000.00 Tue Jun 09 2023 14:00:00 GMT+0700 (Western Indonesia Time) RUKUN MITRA BERSAM</t>
  </si>
  <si>
    <t>1106/FTSCY/WS95031 645000.00 pelunasan LAWU ABADI NUSA PT</t>
  </si>
  <si>
    <t>1106/FTSCY/WS95031 1000000.00 RODHIATUS SOLEHA</t>
  </si>
  <si>
    <t>1106/FTFVA/WS95031 55569/PT PRIMA FAJ lamongan 9350 kg - 40190</t>
  </si>
  <si>
    <t>1106/FTFVA/WS95031 55574/GUNA MITRA S nganjuk 3000kg - 200177</t>
  </si>
  <si>
    <t>1106/FTFVA/WS95031 55569/PT PRIMA FAJ lamongan 9850kg - 40190</t>
  </si>
  <si>
    <t>TRSF E-BANKING CR TANGGAL :11/06</t>
  </si>
  <si>
    <t>1106/FTSCY/WS95031 Zainal ZAINAL ARIFIN</t>
  </si>
  <si>
    <t>1206/FTSCY/WS95051 456634500.00 krmn 10/6 TERA MULIA KORPORI</t>
  </si>
  <si>
    <t>1206/FTSCY/WS95051 81168600.00 krmn 10/6 TERA MAKMURINDO CV</t>
  </si>
  <si>
    <t>1206/FTSCY/WS95271 63810900.00 Tue Jun 09 2023 14:00:00 GMT+0700 (Western Indonesia Time) LAJU SATWA WISESA</t>
  </si>
  <si>
    <t>1206/FTSCY/WS95271 66000000.00 Tue Jun 09 2023 14:00:00 GMT+0700 (Western Indonesia Time) ANUGERAH KARTIKA A</t>
  </si>
  <si>
    <t>1206/FTSCY/WS95271 58834350.00 Wed Jun 10 2023 14:00:00 GMT+0700 (Western Indonesia Time) BINTANG TAMA SANTO</t>
  </si>
  <si>
    <t>1206/FTSCY/WS95271 106130700.00 Tue Jun 09 2023 14:00:00 GMT+0700 (Western Indonesia Time) ANDALAN YASA MITRA</t>
  </si>
  <si>
    <t>1206/FTSCY/WS95011 238819000.00 Tue Jun 09 2023 14:00:00 GMT+0700 (Western Indonesia Time) ANDALAN YASA MITRA</t>
  </si>
  <si>
    <t>1206/FTSCY/WS95051 315507840.00 AH FM P. HAIRUL Fri May 29 2023 14:00:00 GMT+0700 (Western Indonesia Time) PHALOSARI UNGGUL J</t>
  </si>
  <si>
    <t>1206/FTSCY/WS95051 82875000 ah 3750x22100 GEMILANG INTI SUKS</t>
  </si>
  <si>
    <t>1206/FTSCY/WS95051 100000000 krmn 12/6 TERA MULIA KORPORI</t>
  </si>
  <si>
    <t>1206/FTFVA/WS95031 55574/GUNA MITRA S kdr 7600kg - 200177</t>
  </si>
  <si>
    <t>1206/FTSCY/WS95051 299602420 SIDO RAYA UTAMA CV</t>
  </si>
  <si>
    <t>1206/FTSCY/WS95011 208213100 Sun Sep 06 2023 14:00:00 GMT+0700 (Western Indonesia Time) SUPER UNGGAS JAYA</t>
  </si>
  <si>
    <t>1206/FTSCY/WS95011 51695310 Sun Sep 06 2023 14:00:00 GMT+0700 (Western Indonesia Time) ANDALAN YASA MITRA</t>
  </si>
  <si>
    <t>1206/FTSCY/WS95031 100000000 9.06 ANDALAN YASA MITRA</t>
  </si>
  <si>
    <t>1306/FTSCY/WS95031 69610550 kd sulaiman jbr TERNAK SEJATI TABA</t>
  </si>
  <si>
    <t>1306/FTSCY/WS95031 28355200 krg70 jt EKO SETIYAWAN</t>
  </si>
  <si>
    <t>1306/FTSCY/WS95011 163359000 Fri Nov 06 2023 15:00:00 GMT+0700 (Western Indonesia Time) ANDALAN YASA MITRA</t>
  </si>
  <si>
    <t>1306/FTSCY/WS95271 3250000 HERMAWAN</t>
  </si>
  <si>
    <t>BIF TRANSFER KE 8 MISWATI M-BCA</t>
  </si>
  <si>
    <t>BIF BIAYA TXN KE 8 MISWATI M-BCA</t>
  </si>
  <si>
    <t>1306/FTSCY/WS95051 298178620 krmn 12/6 TERA MULIA KORPORI</t>
  </si>
  <si>
    <t>1306/FTSCY/WS95271 73545400 Fri Nov 06 2023 15:00:00 GMT+0700 (Western Indonesia Time) ANUGERAH KARTIKA A</t>
  </si>
  <si>
    <t>1306/FTSCY/WS95271 59851000 Fri Nov 06 2023 15:00:00 GMT+0700 (Western Indonesia Time) BINTANG TAMA SANTO</t>
  </si>
  <si>
    <t>1306/FTSCY/WS95271 300000 SITI RAHMA IFTITAH</t>
  </si>
  <si>
    <t>1306/FTSCY/WS95031 190000 NURUL AINI</t>
  </si>
  <si>
    <t>BIF TRANSFER KE 8 SEMBILAN BINTANG L M-BCA</t>
  </si>
  <si>
    <t>BIF BIAYA TXN KE 8 SEMBILAN BINTANG L M-BCA</t>
  </si>
  <si>
    <t>13/06 WSID9503101 0507 FIF 803001249921 MUHAMMAD HAIRUL MA</t>
  </si>
  <si>
    <t>BIF TRANSFER KE 2 TURYADI M-BCA</t>
  </si>
  <si>
    <t>BIF BIAYA TXN KE 2 TURYADI M-BCA</t>
  </si>
  <si>
    <t>BIF TRANSFER KE 11 ADIRA MUHAMMAD HAI M-BCA</t>
  </si>
  <si>
    <t>BIF BIAYA TXN KE 11 ADIRA MUHAMMAD HAI M-BCA</t>
  </si>
  <si>
    <t>1306/FTSCY/WS95051 152877900 AH fm P. Hairul 5 Juni PHALOSARI UNGGUL J</t>
  </si>
  <si>
    <t>1306/FTSCY/WS95051 168720000 ah 7600x22200 GEMILANG INTI SUKS</t>
  </si>
  <si>
    <t>1306/FTSCY/WS95271 157375350 Fri Nov 06 2023 15:00:00 GMT+0700 (Western Indonesia Time) BROILER MAKMUR TAN</t>
  </si>
  <si>
    <t>1306/FTSCY/WS95051 100000000 krmn 13/6 TERA MULIA KORPORI</t>
  </si>
  <si>
    <t>TARIKAN ATM 13/06</t>
  </si>
  <si>
    <t>1306/FTFVA/WS95031 55569/PT PRIMA FAJ malang 2900x2 , pr ob. 3500kg 40190</t>
  </si>
  <si>
    <t>1306/FTSCY/WS95031 500000 tot. bon 2 jt SUPRIYADI</t>
  </si>
  <si>
    <t>1306/FTSCY/WS95051 126212400 SIDO RAYA UTAMA CV</t>
  </si>
  <si>
    <t>1306/FTSCY/WS95271 300000000 Sun Dec 06 2023 15:00:00 GMT+0700 (Western Indonesia Time) MUHAMMAD HAIRUL MA</t>
  </si>
  <si>
    <t>1306/FTSCY/WS95271 300000000 MUHAMMAD HAIRUL MA</t>
  </si>
  <si>
    <t>1306/FTSCY/WS95011 335824740 Sun Dec 06 2023 15:00:00 GMT+0700 (Western Indonesia Time) SUPER UNGGAS JAYA</t>
  </si>
  <si>
    <t>1406/FTSCY/WS95031 2629000 DIANA NOVITA</t>
  </si>
  <si>
    <t>1406/FTSCY/WS95271 81090180 YAMAN DIDIK HARIYA</t>
  </si>
  <si>
    <t>1406/FTSCY/WS95271 50000000 pelunasan BROILER MAKMUR TAN</t>
  </si>
  <si>
    <t>1406/FTSCY/WS95271 10000000 pelunasan SUPER UNGGAS JAYA</t>
  </si>
  <si>
    <t>1406/FTSCY/WS95271 700000 NURHAYATI</t>
  </si>
  <si>
    <t>1406/FTSCY/WS95051 355748500 krmn 13/6 TERA MULIA KORPORI</t>
  </si>
  <si>
    <t>1406/FTSCY/WS95271 79779510 Sun Dec 06 2023 15:00:00 GMT+0700 (Western Indonesia Time) PT BERLIAN INDOMIT</t>
  </si>
  <si>
    <t>1406/FTSCY/WS95271 76765400 Sun Dec 06 2023 15:00:00 GMT+0700 (Western Indonesia Time) LAJU SATWA WISESA</t>
  </si>
  <si>
    <t>1406/FTSCY/WS95271 63910000 Sun Dec 06 2023 15:00:00 GMT+0700 (Western Indonesia Time) BROILER MAKMUR TAN</t>
  </si>
  <si>
    <t>1406/FTSCY/WS95031 61600000 12.06 ANDALAN YASA MITRA</t>
  </si>
  <si>
    <t>1406/FTSCY/WS95031 28159000 krg 50 jt EKO SETIYAWAN</t>
  </si>
  <si>
    <t>1406/FTSCY/WS95031 2485110 HERMAWAN</t>
  </si>
  <si>
    <t>1406/FTSCY/WS95031 2750000 uang bulanan NURUL AINI</t>
  </si>
  <si>
    <t>1406/FTSCY/WS95051 100000000 krmn 14/6 TERA MULIA KORPORI</t>
  </si>
  <si>
    <t>1406/FTFVA/WS95031 55574/GUNA MITRA S galek 7.4 ton - 200177</t>
  </si>
  <si>
    <t>1406/FTSCY/WS95031 940000 DIDIK HARYADI</t>
  </si>
  <si>
    <t>1406/FTSCY/WS95051 201392360 SIDO RAYA UTAMA CV</t>
  </si>
  <si>
    <t>2023-06-14</t>
  </si>
  <si>
    <t>1406/FTFVA/WS95031 55569/PT PRIMA FAJ pelunasan - 40190</t>
  </si>
  <si>
    <t>1406/FTSCY/WS95271 1576900.00 sisa bon 1 jt SUPRIYADI</t>
  </si>
  <si>
    <t>1406/FTSCY/WS95011 65000000.00 titip SUGENG RIADI</t>
  </si>
  <si>
    <t>1406/FTSCY/WS95011 134179020.00 Sat Jun 13 2023 14:00:00 GMT+0700 (Western Indonesia Time) ANDALAN YASA MITRA</t>
  </si>
  <si>
    <t>2023-06-15</t>
  </si>
  <si>
    <t>ALFAMRT Y283 SAT G 6019009510239343</t>
  </si>
  <si>
    <t>FLAZZ BCA</t>
  </si>
  <si>
    <t>TOPUP ALFAMRT Y283 145200010531681</t>
  </si>
  <si>
    <t>TARIKAN ATM 15/06</t>
  </si>
  <si>
    <t>1506/FTSCY/WS95051 313562500.00 krmn 14/6 TERA MAKMURINDO CV</t>
  </si>
  <si>
    <t>1506/FTFVA/WS95031 55574/GUNA MITRA S pelunasan - 200177</t>
  </si>
  <si>
    <t>1506/FTSCY/WS95031 81803500.00 pelunasan SUGENG RIADI</t>
  </si>
  <si>
    <t>1506/FTSCY/WS95051 85430040.00 AH FM P. Hairul Tue Jun 09 2023 14:00:00 GMT+0700 (Western Indonesia Time) PHALOSARI UNGGUL J</t>
  </si>
  <si>
    <t>1506/FTSCY/WS95051 100000000.00 krmn 15/6 TERA MULIA KORPORI</t>
  </si>
  <si>
    <t>1506/FTSCY/WS95051 263527300.00 ah 11660.5x22600 GEMILANG INTI SUKS</t>
  </si>
  <si>
    <t>1506/FTSCY/WS95271 133866000.00 Sat Jun 13 2023 14:00:00 GMT+0700 (Western Indonesia Time) GANESHA SATRIA NUS</t>
  </si>
  <si>
    <t>1506/FTFVA/WS95031 55569/PT PRIMA FAJ lamongan dan jembe r 40190</t>
  </si>
  <si>
    <t>1506/FTFVA/WS95031 55574/GUNA MITRA S blora 3.5 ton - 200177</t>
  </si>
  <si>
    <t>1506/FTSCY/WS95271 80306700.00 Sat Jun 13 2023 14:00:00 GMT+0700 (Western Indonesia Time) SUPER UNGGAS JAYA</t>
  </si>
  <si>
    <t>1506/FTSCY/WS95011 121613140.00 krg 80 jt kd sunardi jbg LAJU SATWA WISESA</t>
  </si>
  <si>
    <t>1506/FTSCY/WS95031 3014800.00 bwi DIANA NOVITA</t>
  </si>
  <si>
    <t>1506/FTSCY/WS95031 1616060.00 SUPRIYADI</t>
  </si>
  <si>
    <t>1506/FTSCY/WS95051 218132090.00 SIDO RAYA UTAMA CV</t>
  </si>
  <si>
    <t>1506/FTSCY/WS95011 127267270.00 Sat Jun 13 2023 14:00:00 GMT+0700 (Western Indonesia Time) ANDALAN YASA MITRA</t>
  </si>
  <si>
    <t>2023-06-16</t>
  </si>
  <si>
    <t>TRSF E-BANKING DB TANGGAL :15/06</t>
  </si>
  <si>
    <t>1506/FTSCY/WS95271 Sun Jun 14 2023 14:00:00 GMT+0700 (Western Indonesia Time) BINTANG TAMA SANTO</t>
  </si>
  <si>
    <t>1506/FTSCY/WS95011 Mon Jun 15 2023 14:00:00 GMT+0700 (Western Indonesia Time) PITIK DIGITAL INDO</t>
  </si>
  <si>
    <t>BI-FAST DB TANGGAL :15/06</t>
  </si>
  <si>
    <t>1506/FTSCY/WS95031 jombang HERMAWAN</t>
  </si>
  <si>
    <t>1606/FTSCY/WS95051 580340280.00 krmn 15/6 TERA MULIA KORPORI</t>
  </si>
  <si>
    <t>1606/FTSCY/WS95271 1500000.00 MUHAMMAD HAIRUL MA</t>
  </si>
  <si>
    <t>1606/FTSCY/WS95011 80000000.00 pelunasan jombang LAJU SATWA WISESA</t>
  </si>
  <si>
    <t>1606/FTSCY/WS95011 87018800.00 Sun Jun 14 2023 14:00:00 GMT+0700 (Western Indonesia Time) LAJU SATWA WISESA</t>
  </si>
  <si>
    <t>1606/FTSCY/WS95011 110700000.00 Sun Jun 14 2023 14:00:00 GMT+0700 (Western Indonesia Time) BINTANG TAMA SANTO</t>
  </si>
  <si>
    <t>1606/FTSCY/WS95011 51832000.00 Tue Jun 16 2023 14:00:00 GMT+0700 (Western Indonesia Time) ANUGERAH KARTIKA A</t>
  </si>
  <si>
    <t>1606/FTSCY/WS95011 64462500.00 Mon Sep 14 2023 14:00:00 GMT+0700 (Western Indonesia Time) BINTANG TAMA SANTO</t>
  </si>
  <si>
    <t>1606/FTSCY/WS95011 67013520.00 Sun Jun 14 2023 14:00:00 GMT+0700 (Western Indonesia Time) ANDALAN YASA MITRA</t>
  </si>
  <si>
    <t>1606/FTSCY/WS95051 62309890.00 Pembelian ayam TRIJAYA LESTARI FO</t>
  </si>
  <si>
    <t>1606/FTSCY/WS95051 173457510.00 ah 7641.3x22700 GEMILANG INTI SUKS</t>
  </si>
  <si>
    <t>1606/FTSCY/WS95031 100000.00 SAIFUL BAHRI</t>
  </si>
  <si>
    <t>1606/FTSCY/WS95271 70400000.00 Mon Jun 15 2023 14:00:00 GMT+0700 (Western Indonesia Time) LAWU ABADI NUSA PT</t>
  </si>
  <si>
    <t>1606/FTSCY/WS95271 138369200.00 Sun Jun 14 2023 14:00:00 GMT+0700 (Western Indonesia Time) BROILER MAKMUR TAN</t>
  </si>
  <si>
    <t>1606/FTSCY/WS95051 73700820.00 SIDO RAYA UTAMA CV</t>
  </si>
  <si>
    <t>1606/FTSCY/WS95031 1000000.00 bon 2 jt SUPRIYADI</t>
  </si>
  <si>
    <t>1606/FTSCY/WS95011 40000000.00 Titip Byr Ayam JT 11.06 RPA SBU ALDINI MARIA GUMIL</t>
  </si>
  <si>
    <t>BIAYA ADM</t>
  </si>
  <si>
    <t>2023-06-17</t>
  </si>
  <si>
    <t>1706/FTSCY/WS95031 60000000.00 titip TERNAK SEJATI TABA</t>
  </si>
  <si>
    <t>1706/FTSCY/WS95031 10754200.00 pelunasan TERNAK SEJATI TABA</t>
  </si>
  <si>
    <t>1706/FTSCY/WS95271 140936700.00 Mon Jun 15 2023 14:00:00 GMT+0700 (Western Indonesia Time) BINTANG TAMA SANTO</t>
  </si>
  <si>
    <t>1706/FTSCY/WS95031 924220.00 jbr DIANA NOVITA</t>
  </si>
  <si>
    <t>1706/FTSCY/WS95031 2269500.00 HERMAWAN</t>
  </si>
  <si>
    <t>1706/FTSCY/WS95031 87638680.00 YAMAN DIDIK HARIYA</t>
  </si>
  <si>
    <t>1706/FTSCY/WS95051 670674790.00 krmn 16/6 TERA MULIA KORPORI</t>
  </si>
  <si>
    <t>1706/FTSCY/WS95271 64001250.00 Mon Jun 15 2023 14:00:00 GMT+0700 (Western Indonesia Time) ANUGERAH KARTIKA A</t>
  </si>
  <si>
    <t>1706/FTSCY/WS95011 172693400.00 Mon Jun 15 2023 14:00:00 GMT+0700 (Western Indonesia Time) LAJU SATWA WISESA</t>
  </si>
  <si>
    <t>1706/FTSCY/WS95011 159461330.00 Mon Jun 15 2023 14:00:00 GMT+0700 (Western Indonesia Time) BROILER MAKMUR TAN</t>
  </si>
  <si>
    <t>1706/FTSCY/WS95011 66105000.00 Mon Jun 15 2023 14:00:00 GMT+0700 (Western Indonesia Time) ANUGERAH KARTIKA A</t>
  </si>
  <si>
    <t>1706/FTSCY/WS95271 50000000.00 krg 30 jt EKO SETIYAWAN</t>
  </si>
  <si>
    <t>1706/FTSCY/WS95051 65072010.00 Pembelian ayam TRIJAYA LESTARI FO</t>
  </si>
  <si>
    <t>1706/FTSCY/WS95051 136163290.00 SIDO RAYA UTAMA CV</t>
  </si>
  <si>
    <t>1706/FTFVA/WS95031 55569/PT PRIMA FAJ mlg 3800kg - 40190</t>
  </si>
  <si>
    <t>1706/FTSCY/WS95271 40000000.00 SANDI FAJAR PRASET</t>
  </si>
  <si>
    <t>1706/FTSCY/WS95271 400000.00 MUHAMMAD HAIRUL MA</t>
  </si>
  <si>
    <t>1706/FTSCY/WS95271 10000.00 MUHAMMAD HAIRUL MA</t>
  </si>
  <si>
    <t>2023-06-18</t>
  </si>
  <si>
    <t>1806/FTSCY/WS95031 81435200.00 Tue Jun 16 2023 14:00:00 GMT+0700 (Western Indonesia Time) LAWU ABADI NUSA PT</t>
  </si>
  <si>
    <t>1806/FTSCY/WS95031 2822840.00 jbr DIANA NOVITA</t>
  </si>
  <si>
    <t>1806/FTSCY/WS95271 93136030.00 YAMAN DIDIK HARIYA</t>
  </si>
  <si>
    <t>1806/FTSCY/WS95031 2000000.00 SUPRIYADI</t>
  </si>
  <si>
    <t>1806/FTSCY/WS95271 86811900.00 Thu Jun 11 2023 14:00:00 GMT+0700 (Western Indonesia Time) SUPER UNGGAS JAYA</t>
  </si>
  <si>
    <t>1806/FTSCY/WS95271 64732500.00 Tue Jun 16 2023 14:00:00 GMT+0700 (Western Indonesia Time) ANUGERAH KARTIKA A</t>
  </si>
  <si>
    <t>1806/FTSCY/WS95271 60280000.00 Tue Jun 16 2023 14:00:00 GMT+0700 (Western Indonesia Time) ANUGERAH KARTIKA A</t>
  </si>
  <si>
    <t>1806/FTSCY/WS95271 50000000.00 EKO SETIYAWAN</t>
  </si>
  <si>
    <t>1806/FTSCY/WS95051 88160000.00 AH 3800 2320 GEMILANG INTI SUKS</t>
  </si>
  <si>
    <t>1806/FTSCY/WS95031 400000.00 NURUL AINI</t>
  </si>
  <si>
    <t>1806/FTSCY/WS95271 40000000.00 SANDI FAJAR PRASET</t>
  </si>
  <si>
    <t>1806/FTSCY/WS95011 118866300.00 Tue Jun 16 2023 14:00:00 GMT+0700 (Western Indonesia Time) SUPER UNGGAS JAYA</t>
  </si>
  <si>
    <t>1806/FTSCY/WS95011 80049280.00 Tue Jun 16 2023 14:00:00 GMT+0700 (Western Indonesia Time) BROILER MAKMUR TAN</t>
  </si>
  <si>
    <t>1806/FTSCY/WS95031 1500000.00 HERMAWAN</t>
  </si>
  <si>
    <t>1806/FTSCY/WS95031 2500000.00 NURHAYATI</t>
  </si>
  <si>
    <t>2023-06-19</t>
  </si>
  <si>
    <t>1906/FTSCY/WS95271 88872940.00 YAMAN DIDIK HARIYA</t>
  </si>
  <si>
    <t>1906/FTSCY/WS95031 90607450.00 Wed Jun 17 2023 14:00:00 GMT+0700 (Western Indonesia Time) SUPER UNGGAS JAYA</t>
  </si>
  <si>
    <t>1906/FTSCY/WS95051 133731150.00 krmn 17/6 TERA MAKMURINDO CV</t>
  </si>
  <si>
    <t>1906/FTSCY/WS95051 494379040.00 krmn 17/6 TERA MULIA KORPORI</t>
  </si>
  <si>
    <t>1906/FTSCY/WS95051 1140000.00 cn temko Fri Jun 19 2023 14:00:00 GMT+0700 (Western Indonesia Time) HENDY BENEDICT LEO</t>
  </si>
  <si>
    <t>1906/FTSCY/WS95051 1048500.00 cn tmi 19/6 HENDY BENEDICT LEO</t>
  </si>
  <si>
    <t>1906/FTSCY/WS95271 270393320.00 Tue Jun 16 2023 14:00:00 GMT+0700 (Western Indonesia Time) SUPER UNGGAS JAYA</t>
  </si>
  <si>
    <t>1906/FTSCY/WS95051 136006080.00 AH FM P. HAIRUL Wed Jun 10 2023 14:00:00 GMT+0700 (Western Indonesia Time) PHALOSARI UNGGUL J</t>
  </si>
  <si>
    <t>1906/FTSCY/WS95051 88160000.00 ah 3800x23200 GEMILANG INTI SUKS</t>
  </si>
  <si>
    <t>1906/FTFVA/WS95031 55569/PT PRIMA FAJ mlg 3.8 ton - 40190</t>
  </si>
  <si>
    <t>19/06 /ZY8Q1/00000 ARUL BACHTIAR DWI</t>
  </si>
  <si>
    <t>1906/FTSCY/WS95271 14680800.00 bon 10 jt EKO SETIYAWAN</t>
  </si>
  <si>
    <t>1906/FTSCY/WS95011 30000000.00 EKO SETIYAWAN</t>
  </si>
  <si>
    <t>1906/FTSCY/WS95011 78750000.00 Thu Jun 18 2023 14:00:00 GMT+0700 (Western Indonesia Time) TUMBUH OPTIMAL PRI</t>
  </si>
  <si>
    <t>1906/FTSCY/WS95011 102338500.00 Thu Jun 18 2023 14:00:00 GMT+0700 (Western Indonesia Time) BINTANG TAMA SANTO</t>
  </si>
  <si>
    <t>1906/FTSCY/WS95011 68961060.00 Thu Jun 18 2023 14:00:00 GMT+0700 (Western Indonesia Time) SUPER UNGGAS JAYA</t>
  </si>
  <si>
    <t>1906/FTSCY/WS95011 162564000.00 Thu Jun 18 2023 14:00:00 GMT+0700 (Western Indonesia Time) ANDALAN YASA MITRA</t>
  </si>
  <si>
    <t>1906/FTSCY/WS95011 56885900.00 Thu Jun 18 2023 14:00:00 GMT+0700 (Western Indonesia Time) ANUGERAH KARTIKA A</t>
  </si>
  <si>
    <t>1906/FTSCY/WS95031 350000.00 ANDE DOSO ANGGORO</t>
  </si>
  <si>
    <t>1906/FTSCY/WS95031 550000.00 tpt. stor 13.050.0 SANDI FAJAR PRASET</t>
  </si>
  <si>
    <t>1906/FTSCY/WS95031 575400.00 pelunasan ANUGERAH KARTIKA A</t>
  </si>
  <si>
    <t>1906/FTSCY/WS95031 1983000.00 HERMAWAN</t>
  </si>
  <si>
    <t>1906/FTSCY/WS95031 2010700.00 NURHAYATI</t>
  </si>
  <si>
    <t>2023-06-20</t>
  </si>
  <si>
    <t>2006/FTSCY/WS95051 252899040.00 SIDO RAYA UTAMA CV</t>
  </si>
  <si>
    <t>ALFAMRT Y073 SUDI 6019009510239343</t>
  </si>
  <si>
    <t>2006/FTSCY/WS95031 86460100.00 Thu Jun 18 2023 14:00:00 GMT+0700 (Western Indonesia Time) SUPER UNGGAS JAYA</t>
  </si>
  <si>
    <t>2006/FTSCY/WS95051 90597990.00 AH 3822,7 23700 GEMILANG INTI SUKS</t>
  </si>
  <si>
    <t>2006/FTFVA/WS95031 55569/PT PRIMA FAJ lamongan 3700kg - 40190</t>
  </si>
  <si>
    <t>2006/FTFVA/WS95031 55569/PT PRIMA FAJ pelunasan mlg - 40190</t>
  </si>
  <si>
    <t>2006/FTSCY/WS95031 25000000.00 Titip Byr Ayam JT 11.06 RPA SBU ALDINI MARIA GUMIL</t>
  </si>
  <si>
    <t>2006/FTSCY/WS95051 327770350.00 SIDO RAYA UTAMA CV</t>
  </si>
  <si>
    <t>2006/FTSCY/WS95271 23000000.00 pelunasan ANUGERAH KARTIKA A</t>
  </si>
  <si>
    <t>2006/FTSCY/WS95271 131600000.00 Sat Jun 20 2023 14:00:00 GMT+0700 (Western Indonesia Time) ANUGERAH KARTIKA A</t>
  </si>
  <si>
    <t>2006/FTSCY/WS95271 38505390.00 Sat Jun 20 2023 14:00:00 GMT+0700 (Western Indonesia Time) ROFIQ MASJHURI</t>
  </si>
  <si>
    <t>2006/FTSCY/WS95011 241636400.00 Fri Jun 19 2023 14:00:00 GMT+0700 (Western Indonesia Time) SUPER UNGGAS JAYA</t>
  </si>
  <si>
    <t>2006/FTSCY/WS95031 1028240.00 NURHAYATI</t>
  </si>
  <si>
    <t>2006/FTSCY/WS95271 60000000.00 titip lmjg TERNAK SEJATI TABA</t>
  </si>
  <si>
    <t>2023-06-21</t>
  </si>
  <si>
    <t>2106/FTSCY/WS95031 9900000.00 pelunasan TERNAK SEJATI TABA</t>
  </si>
  <si>
    <t>2106/FTSCY/WS95031 2730105.00 MUJIANTO</t>
  </si>
  <si>
    <t>2106/FTSCY/WS95031 4375150.00 HERMAWAN</t>
  </si>
  <si>
    <t>2106/FTSCY/WS95031 75000000.00 PT BJP DIENDA CATUR MUSTI</t>
  </si>
  <si>
    <t>2106/FTSCY/WS95031 6433000.00 PT BJP SRI ASIH ANGGRAENI</t>
  </si>
  <si>
    <t>2106/FTSCY/WS95031 70086400.00 Fri Jun 19 2023 14:00:00 GMT+0700 (Western Indonesia Time) ANDALAN YASA MITRA</t>
  </si>
  <si>
    <t>2106/FTFVA/WS95031 55569/PT PRIMA FAJ 1430000 - 40190</t>
  </si>
  <si>
    <t>2106/FTSCY/WS95051 175802700.00 Pembelian ayam TRIJAYA LESTARI FO</t>
  </si>
  <si>
    <t>2106/FTSCY/WS95051 93178480.00 ah 4011.8x23600 dipot 1,5jt GEMILANG INTI SUKS</t>
  </si>
  <si>
    <t>2106/FTSCY/WS95051 143894362.00 AYAM 21/6/2023 SUCI RAHARJO PT</t>
  </si>
  <si>
    <t>2106/FTFVA/WS95031 55569/PT PRIMA FAJ mlg dan lamongan - 40190</t>
  </si>
  <si>
    <t>2106/FTFVA/WS95031 55574/GUNA MITRA S rembang 3500kg - 200177</t>
  </si>
  <si>
    <t>2106/FTSCY/WS95031 500000.00 tot. 2.5 jt SUPRIYADI</t>
  </si>
  <si>
    <t>2106/FTSCY/WS95031 700000.00 DIANA NOVITA</t>
  </si>
  <si>
    <t>2106/FTSCY/WS95031 500000.00 DIANA NOVITA</t>
  </si>
  <si>
    <t>2106/FTSCY/WS95271 65000000.00 titip kd pasuruan TABASSAM AL HATTAK</t>
  </si>
  <si>
    <t>2023-06-22</t>
  </si>
  <si>
    <t>TRSF E-BANKING CR TANGGAL :21/06</t>
  </si>
  <si>
    <t>2106/FTSCY/WS95051 SIDO RAYA UTAMA CV</t>
  </si>
  <si>
    <t>2206/FTSCY/WS95271 67830000.00 Sat Jun 20 2023 14:00:00 GMT+0700 (Western Indonesia Time) BINTANG TAMA SANTO</t>
  </si>
  <si>
    <t>2206/FTSCY/WS95271 156093750.00 Sat Jun 20 2023 14:00:00 GMT+0700 (Western Indonesia Time) BINTANG TAMA SANTO</t>
  </si>
  <si>
    <t>2206/FTSCY/WS95271 69105520.00 Sat Jun 20 2023 14:00:00 GMT+0700 (Western Indonesia Time) ANUGERAH KARTIKA A</t>
  </si>
  <si>
    <t>2206/FTSCY/WS95031 94277300.00 Sat Jun 20 2023 14:00:00 GMT+0700 (Western Indonesia Time) BROILER MAKMUR TAN</t>
  </si>
  <si>
    <t>22/06  WSID9503102 1220 TELKOMSEL 82318368518 MUHAMMAD HAIRUL MA</t>
  </si>
  <si>
    <t>2206/FTSCY/WS95011 84503650.00 Sat Jun 20 2023 14:00:00 GMT+0700 (Western Indonesia Time) SUPER UNGGAS JAYA</t>
  </si>
  <si>
    <t>2206/FTSCY/WS95031 3000000.00 SANDI FAJAR PRASET</t>
  </si>
  <si>
    <t>2206/FTSCY/WS95031 1926570.00 HERMAWAN</t>
  </si>
  <si>
    <t>2206/FTSCY/WS95271 1505820.00 MUJIANTO</t>
  </si>
  <si>
    <t>2206/FTSCY/WS95271 1078500.00 NURHAYATI</t>
  </si>
  <si>
    <t>2206/FTSCY/WS95031 1300000.00 pembelian ayam AHMAD SUWADI</t>
  </si>
  <si>
    <t>2206/FTSCY/WS95031 10600000.00 Pelunasan Ayam JT 11.06 RPA SBU ALDINI MARIA GUMIL</t>
  </si>
  <si>
    <t>2206/FTSCY/WS95051 72767595.00 AYAM HAIRUL TGL 22/6/2023 SUCI RAHARJO PT</t>
  </si>
  <si>
    <t>2206/FTSCY/WS95051 100000000.00 krmn 22/6 TERA MAKMURINDO CV</t>
  </si>
  <si>
    <t>2206/FTSCY/WS95271 2648900.00 SUPRIYADI</t>
  </si>
  <si>
    <t>2206/FTFVA/WS95031 55574/GUNA MITRA S mjk 3500kg - 200177</t>
  </si>
  <si>
    <t>2023-06-23</t>
  </si>
  <si>
    <t>TRSF E-BANKING DB TANGGAL :22/06</t>
  </si>
  <si>
    <t>2206/FTSCY/WS95011 ponorogo 3500kg UNGGAS MANDIRI BER</t>
  </si>
  <si>
    <t>2206/FTSCY/WS95011 titip 50 TABASSAM AL HATTAK</t>
  </si>
  <si>
    <t>2206/FTSCY/WS95271 DIANA NOVITA</t>
  </si>
  <si>
    <t>2306/FTSCY/WS95031 28000000.00 titip TABASSAM AZ ZUFAR</t>
  </si>
  <si>
    <t>2306/FTSCY/WS95031 50000000.00 pinjam GATUT SETYO WIBOWO</t>
  </si>
  <si>
    <t>2306/FTSCY/WS95031 50000000.00 TABASSAM AZ ZUFAR</t>
  </si>
  <si>
    <t>2306/FTSCY/WS95051 279334240.00 SIDO RAYA UTAMA CV</t>
  </si>
  <si>
    <t>2306/FTSCY/WS95031 1200000.00 pelunasan mjk TABASSAM AZ ZUFAR</t>
  </si>
  <si>
    <t>2306/FTSCY/WS95031 17627700.00 pelunasan nganjuk TABASSAM AL HATTAK</t>
  </si>
  <si>
    <t>2306/FTSCY/WS95011 74687760.00 Sat Mar 21 2023 14:00:00 GMT+0700 (Western Indonesia Time) LAWU ABADI NUSA PT</t>
  </si>
  <si>
    <t>2306/FTSCY/WS95011 109841850.00 Sat Mar 21 2023 14:00:00 GMT+0700 (Western Indonesia Time) GANESHA SATRIA NUS</t>
  </si>
  <si>
    <t>2306/FTSCY/WS95011 70500000.00 Sat Jun 20 2023 14:00:00 GMT+0700 (Western Indonesia Time) ANDALAN YASA MITRA</t>
  </si>
  <si>
    <t>2306/FTSCY/WS95031 1558360.00 MUJIANTO</t>
  </si>
  <si>
    <t>2306/FTSCY/WS95051 89650910.00 krmn 22/6 TERA MAKMURINDO CV</t>
  </si>
  <si>
    <t>2306/FTSCY/WS95051 475434550.00 krmn 22/6 TERA MULIA KORPORI</t>
  </si>
  <si>
    <t>2306/FTSCY/WS95271 65800000.00 Mon Jun 22 2023 14:00:00 GMT+0700 (Western Indonesia Time) BRANTAS ABADI SENT</t>
  </si>
  <si>
    <t>2306/FTSCY/WS95271 50000000.00 GATUT SETYO WIBOWO</t>
  </si>
  <si>
    <t>2306/FTSCY/WS95271 76800000.00 Sun Jun 21 2023 14:00:00 GMT+0700 (Western Indonesia Time) LAJU SATWA WISESA</t>
  </si>
  <si>
    <t>2306/FTSCY/WS95271 86268500.00 Sun Jun 21 2023 14:00:00 GMT+0700 (Western Indonesia Time) BINTANG TAMA SANTO</t>
  </si>
  <si>
    <t>2306/FTSCY/WS95031 1561000.00 SUPRIYADI</t>
  </si>
  <si>
    <t>2306/FTSCY/WS95031 433520.00 sisa tagihan AHMAD SUWADI</t>
  </si>
  <si>
    <t>2306/FTSCY/WS95271 10000000.00 EKO SETIYAWAN</t>
  </si>
  <si>
    <t>2306/FTSCY/WS95271 200000.00 NURUL AINI</t>
  </si>
  <si>
    <t>2306/FTSCY/WS95271 1200000.00 DIANA NOVITA</t>
  </si>
  <si>
    <t>2306/FTFVA/WS95031 55569/PT PRIMA FAJ blitar 7 ton - 40190</t>
  </si>
  <si>
    <t>2306/FTSCY/WS95011 68513470.00 magetan 2900kg UNGGAS MANDIRI BER</t>
  </si>
  <si>
    <t>2306/FTSCY/WS95011 62780000.00 titip tuban TABASSAM AZ ZUFAR</t>
  </si>
  <si>
    <t>2023-06-24</t>
  </si>
  <si>
    <t>TRSF E-BANKING CR TANGGAL :23/06</t>
  </si>
  <si>
    <t>2306/FTSCY/WS95051 SIDO RAYA UTAMA CV</t>
  </si>
  <si>
    <t>2406/FTSCY/WS95011 171103500.00 Sun Jun 21 2023 14:00:00 GMT+0700 (Western Indonesia Time) BROILER MAKMUR TAN</t>
  </si>
  <si>
    <t>2406/FTSCY/WS95011 135106590.00 Mon Jun 22 2023 14:00:00 GMT+0700 (Western Indonesia Time) SURYA INTI TERNAK</t>
  </si>
  <si>
    <t>2406/FTSCY/WS95011 93856740.00 Mon Jun 22 2023 14:00:00 GMT+0700 (Western Indonesia Time) PITIK DIGITAL INDO</t>
  </si>
  <si>
    <t>2406/FTSCY/WS95031 1100760.00 HERMAWAN</t>
  </si>
  <si>
    <t>2406/FTSCY/WS95031 1000000.00 NURHAYATI</t>
  </si>
  <si>
    <t>2406/FTSCY/WS95031 500000.00 claim kandang muyi din DEBRILIA IFTIKHARR</t>
  </si>
  <si>
    <t>2406/FTSCY/WS95011 84046600.00 PT BJP FAHMI UMAR</t>
  </si>
  <si>
    <t>2406/FTSCY/WS95051 535394415.00 krmn 23/6 TERA MULIA KORPORI</t>
  </si>
  <si>
    <t>2406/FTSCY/WS95031 25043890.00 pelunasan tuban TABASSAM AZ ZUFAR</t>
  </si>
  <si>
    <t>2406/FTSCY/WS95011 99560800.00 Mon Jun 22 2023 14:00:00 GMT+0700 (Western Indonesia Time) LAJU SATWA WISESA</t>
  </si>
  <si>
    <t>2406/FTSCY/WS95271 125000000.00 pelunasan 22/06 LAJU SATWA WISESA</t>
  </si>
  <si>
    <t>2406/FTSCY/WS95271 174886260.00 Mon Jun 22 2023 14:00:00 GMT+0700 (Western Indonesia Time) SUPER UNGGAS JAYA</t>
  </si>
  <si>
    <t>2406/FTSCY/WS95031 57000000.00 pelunasan SUPER UNGGAS JAYA</t>
  </si>
  <si>
    <t>2406/FTSCY/WS95051 218687700.00 UM AYAM HAIRUL TGL 24/6/2023 SUCI RAHARJO PT</t>
  </si>
  <si>
    <t>24/06 /ZY8Q1/00000 ARUL BACHTIAR DWI</t>
  </si>
  <si>
    <t>2406/FTSCY/WS95031 750000.00 Dp pembayaran ayam AHMAD SUWADI</t>
  </si>
  <si>
    <t>2406/FTSCY/WS95051 89724840.00 AH 3801,9 23600 GEMILANG INTI SUKS</t>
  </si>
  <si>
    <t>TGL: 24/06 QR 918 00000.00Toko Media</t>
  </si>
  <si>
    <t>GOLDEN MARKET-HO 6019009510239343</t>
  </si>
  <si>
    <t>2023-06-25</t>
  </si>
  <si>
    <t>TRSF E-BANKING DB TANGGAL :24/06</t>
  </si>
  <si>
    <t>2406/FTSCY/WS95031 jember DIANA NOVITA</t>
  </si>
  <si>
    <t>2406/FTSCY/WS95031 jember SUPRIYADI</t>
  </si>
  <si>
    <t>BIF TRANSFER KE 9 MUHAMMAD SODIK M-BCA</t>
  </si>
  <si>
    <t>BIF BIAYA TXN KE 9 MUHAMMAD SODIK M-BCA</t>
  </si>
  <si>
    <t>2506/FTSCY/WS95031 1000000.00 setoran SANDI FAJAR PRASET</t>
  </si>
  <si>
    <t>2506/FTSCY/WS95031 1732490.00 HERMAWAN</t>
  </si>
  <si>
    <t>2506/FTSCY/WS95031 5530200.00 blitar MUJIANTO</t>
  </si>
  <si>
    <t>2506/FTSCY/WS95271 90204380.00 Mon Jun 22 2023 14:00:00 GMT+0700 (Western Indonesia Time) ANDALAN YASA MITRA</t>
  </si>
  <si>
    <t>2506/FTFVA/WS95031 55569/PT PRIMA FAJ pelunasan blitar - 40190</t>
  </si>
  <si>
    <t>2506/FTSCY/WS95031 73470.00 pelunasan UNGGAS MANDIRI BER</t>
  </si>
  <si>
    <t>2506/FTSCY/WS95031 431570.00 pelunasan UNGGAS MANDIRI BER</t>
  </si>
  <si>
    <t>2506/FTSCY/WS95051 174415990.00 SIDO RAYA UTAMA CV</t>
  </si>
  <si>
    <t>2506/FTSCY/WS95271 75657900.00 Tue Jun 23 2023 14:00:00 GMT+0700 (Western Indonesia Time) LAJU SATWA WISESA</t>
  </si>
  <si>
    <t>2506/FTSCY/WS95271 127700000.00 Tue Jun 23 2023 14:00:00 GMT+0700 (Western Indonesia Time) BINTANG TAMA SANTO</t>
  </si>
  <si>
    <t>2506/FTSCY/WS95031 10000000.00 pelunasan BINTANG TAMA SANTO</t>
  </si>
  <si>
    <t>2506/FTFVA/WS95031 55574/GUNA MITRA S pelunasan mjk - 200177</t>
  </si>
  <si>
    <t>2506/FTSCY/WS95031 2355875.00 NURHAYATI</t>
  </si>
  <si>
    <t>2506/FTSCY/WS95031 350000.00 sisa 350.800 AHMAD SUWADI</t>
  </si>
  <si>
    <t>TARIKAN ATM 25/06</t>
  </si>
  <si>
    <t>2506/FTSCY/WS95031 350800.00 pelunasan Order tg l24 AHMAD SUWADI</t>
  </si>
  <si>
    <t>2506/FTSCY/WS95031 600000.00 Dp pembayaran Orde r Tgl 25 AHMAD SUWADI</t>
  </si>
  <si>
    <t>2506/FTSCY/WS95031 10000000.00 EKO SETIYAWAN</t>
  </si>
  <si>
    <t>BIF TRANSFER KE 2 M RIFAI MyBCA</t>
  </si>
  <si>
    <t>BIF BIAYA TXN KE 2 M RIFAI MyBCA</t>
  </si>
  <si>
    <t>2506/FTFVA/WS95031 55569/PT PRIMA FAJ lamongan 6.6 ton - 40190</t>
  </si>
  <si>
    <t>2506/FTSCY/WS95011 75900000.00 magetam 3.3 ton UNGGAS MANDIRI BER</t>
  </si>
  <si>
    <t>2506/FTSCY/WS95031 25000000.00 SANDI FAJAR PRASET</t>
  </si>
  <si>
    <t>2023-06-26</t>
  </si>
  <si>
    <t>2606/FTSCY/WS95031 1000000.00 DIANA NOVITA</t>
  </si>
  <si>
    <t>2606/FTSCY/WS95051 402771440.00 ayam TRIJAYA LESTARI FO</t>
  </si>
  <si>
    <t>2606/FTSCY/WS95051 91893300.00 ah 3952.4x23250 GEMILANG INTI SUKS</t>
  </si>
  <si>
    <t>2606/FTSCY/WS95051 67428068.00 ayam 24/6/2023 SUCI RAHARJO PT</t>
  </si>
  <si>
    <t>2606/FTSCY/WS95051 452805559.00 ayam 26/6/2023 SUCI RAHARJO PT</t>
  </si>
  <si>
    <t>2606/FTSCY/WS95051 100000000.00 krmn 26/6 TERA MULIA KORPORI</t>
  </si>
  <si>
    <t>2606/FTSCY/WS95031 1200000.00 DIANA NOVITA</t>
  </si>
  <si>
    <t>2606/FTSCY/WS95011 213913450.00 Tue Jun 23 2023 14:00:00 GMT+0700 (Western Indonesia Time) SUPER UNGGAS JAYA</t>
  </si>
  <si>
    <t>2606/FTSCY/WS95011 170050500.00 Tue Jun 23 2023 14:00:00 GMT+0700 (Western Indonesia Time) SURYA INTI TERNAK</t>
  </si>
  <si>
    <t>2606/FTSCY/WS95011 114625000.00 Tue Jun 23 2023 14:00:00 GMT+0700 (Western Indonesia Time) BROILER MAKMUR TAN</t>
  </si>
  <si>
    <t>2606/FTSCY/WS95271 55000000.00 pelunasan BROILER MAKMUR TAN</t>
  </si>
  <si>
    <t>2606/FTSCY/WS95051 511083900.00 SIDO RAYA UTAMA CV</t>
  </si>
  <si>
    <t>2606/FTSCY/WS95031 1000000.00 pembayaran Order 2 5 AHMAD SUWADI</t>
  </si>
  <si>
    <t>2606/FTSCY/WS95031 1731200.00 SUPRIYADI</t>
  </si>
  <si>
    <t>2606/FTSCY/WS95271 83424880.00 Tue Jun 23 2023 14:00:00 GMT+0700 (Western Indonesia Time) ANDALAN YASA MITRA</t>
  </si>
  <si>
    <t>2606/FTFVA/WS95031 55569/PT PRIMA FAJ pasuruan 11.4 ton - 40190</t>
  </si>
  <si>
    <t>2606/FTSCY/WS95031 10000000.00 EKO SETIYAWAN</t>
  </si>
  <si>
    <t>2606/FTSCY/WS95031 85513280.00 krg 53 jt GANESHA SATRIA NUS</t>
  </si>
  <si>
    <t>2606/FTSCY/WS95271 53000000.00 pelunasan GANESHA SATRIA NUS</t>
  </si>
  <si>
    <t>2606/FTSCY/WS95271 78200000.00 Thu Jun 25 2023 14:00:00 GMT+0700 (Western Indonesia Time) BINTANG TAMA SANTO</t>
  </si>
  <si>
    <t>2023-06-27</t>
  </si>
  <si>
    <t>TRSF E-BANKING CR TANGGAL :26/06</t>
  </si>
  <si>
    <t>2606/FTSCY/WS95271 SANDI FAJAR PRASET</t>
  </si>
  <si>
    <t>2706/FTSCY/WS95031 100000000.00 Fri Jun 26 2023 14:00:00 GMT+0700 (Western Indonesia Time) RUKUN MITRA BERSAM</t>
  </si>
  <si>
    <t>2706/FTSCY/WS95271 40796100.00 Fri Jun 26 2023 14:00:00 GMT+0700 (Western Indonesia Time) RUKUN MITRA BERSAM</t>
  </si>
  <si>
    <t>2706/FTSCY/WS95271 81857000.00 Fri Jun 26 2023 14:00:00 GMT+0700 (Western Indonesia Time) ANUGERAH KARTIKA A</t>
  </si>
  <si>
    <t>2706/FTSCY/WS95271 72829500.00 Fri Jun 26 2023 14:00:00 GMT+0700 (Western Indonesia Time) ANDALAN YASA MITRA</t>
  </si>
  <si>
    <t>2706/FTSCY/WS95271 104493750.00 Fri Jun 26 2023 14:00:00 GMT+0700 (Western Indonesia Time) BROILER MAKMUR TAN</t>
  </si>
  <si>
    <t>2706/FTSCY/WS95031 441040.00 pelunasan order tg l 25 AHMAD SUWADI</t>
  </si>
  <si>
    <t>2706/FTSCY/WS95011 52380900.00 tuban TABASSAM AZ ZUFAR</t>
  </si>
  <si>
    <t>2706/FTSCY/WS95051 285713840.00 krmn 26/6 TERA MULIA KORPORI</t>
  </si>
  <si>
    <t>2706/FTSCY/WS95051 133273260.00 AH FM P. HAIRUL Sat Jun 13 2023 14:00:00 GMT+0700 (Western Indonesia Time) PHALOSARI UNGGUL J</t>
  </si>
  <si>
    <t>TARIKAN ATM 27/06</t>
  </si>
  <si>
    <t>2706/FTSCY/WS95051 269040000.00 ah 3800x3x23600 GEMILANG INTI SUKS</t>
  </si>
  <si>
    <t>2706/FTSCY/WS95051 215102650.00 Pembelian ayam TRIJAYA LESTARI FO</t>
  </si>
  <si>
    <t>2706/FTSCY/WS95051 82446966.00 AYAM 27/6/2023 SUCI RAHARJO PT</t>
  </si>
  <si>
    <t>2706/FTSCY/WS95011 446702600.00 25/06 krg 13 jt LAJU SATWA WISESA</t>
  </si>
  <si>
    <t>2706/FTFVA/WS95031 55569/PT PRIMA FAJ pasuruan 3500kg - 40190</t>
  </si>
  <si>
    <t>2706/FTSCY/WS95051 141515350.00 SIDO RAYA UTAMA CV</t>
  </si>
  <si>
    <t>2706/FTSCY/WS95031 2000000.00 sisa 1.047.920 AHMAD SUWADI</t>
  </si>
  <si>
    <t>2023-06-28</t>
  </si>
  <si>
    <t>TRSF E-BANKING CR TANGGAL :27/06</t>
  </si>
  <si>
    <t>2706/FTSCY/WS95051 Titip Byr Ayam JT 27.06 RPA SBU ALDINI MARIA GUMIL</t>
  </si>
  <si>
    <t>2806/FTSCY/WS95011 286276100.00 Thu Jun 25 2023 14:00:00 GMT+0700 (Western Indonesia Time) SUPER UNGGAS JAYA</t>
  </si>
  <si>
    <t>2806/FTSCY/WS95011 111000000.00 pelunasan 25/06 BROILER MAKMUR TAN</t>
  </si>
  <si>
    <t>2806/FTSCY/WS95011 65055000.00 Thu Jun 25 2023 14:00:00 GMT+0700 (Western Indonesia Time) ANUGERAH KARTIKA A</t>
  </si>
  <si>
    <t>2806/FTSCY/WS95011 13000000.00 pelunasan LAJU SATWA WISESA</t>
  </si>
  <si>
    <t>2806/FTSCY/WS95011 24561250.00 krg 65 jt GANESHA SATRIA NUS</t>
  </si>
  <si>
    <t>2806/FTSCY/WS95271 65000000.00 pelunasan GANESHA SATRIA NUS</t>
  </si>
  <si>
    <t>2806/FTSCY/WS95271 80562100.00 Fri Jun 26 2023 14:00:00 GMT+0700 (Western Indonesia Time) ANDALAN YASA MITRA</t>
  </si>
  <si>
    <t>2806/FTSCY/WS95271 69943000.00 Thu Jun 25 2023 14:00:00 GMT+0700 (Western Indonesia Time) ANDALAN YASA MITRA</t>
  </si>
  <si>
    <t>2806/FTSCY/WS95051 468403200.00 krmn 27/6 TERA MULIA KORPORI</t>
  </si>
  <si>
    <t>2806/FTSCY/WS95031 4593500.00 lunas MUJIANTO</t>
  </si>
  <si>
    <t>2806/FTSCY/WS95031 4091960.00 HERMAWAN</t>
  </si>
  <si>
    <t>2806/FTSCY/WS95031 1000000.00 DIANA NOVITA</t>
  </si>
  <si>
    <t>2806/FTSCY/WS95031 1820400.00 SUPRIYADI</t>
  </si>
  <si>
    <t>2806/FTSCY/WS95031 1300000.00 NURHAYATI</t>
  </si>
  <si>
    <t>2806/FTSCY/WS95031 67500000.00 mlg TABASSAM AL HATTAK</t>
  </si>
  <si>
    <t>2806/FTSCY/WS95271 79100000.00 YAMAN DIDIK HARIYA</t>
  </si>
  <si>
    <t>2806/FTSCY/WS95031 600000.00 KATRIN MAI JINGGA</t>
  </si>
  <si>
    <t>2806/FTSCY/WS95031 1047920.00 lunas order tgl 26 AHMAD SUWADI</t>
  </si>
  <si>
    <t>2806/FTSCY/WS95271 1050000.00 MUHAMMAD HAIRUL MA</t>
  </si>
  <si>
    <t>2806/FTSCY/WS95051 136314100.00 AYAM 28/6/2023 SUCI RAHARJO PT</t>
  </si>
  <si>
    <t>2806/FTSCY/WS95051 159249900.00 SIDO RAYA UTAMA CV</t>
  </si>
  <si>
    <t>2806/FTSCY/WS95271 65527210.00 kd p wiji mlg SUGENG RIADI</t>
  </si>
  <si>
    <t>28/06  WSID9503102 1220 TELKOMSEL 81326518324 MUHAMMAD HAIRUL MA</t>
  </si>
  <si>
    <t>2023-06-29</t>
  </si>
  <si>
    <t>29/06 /Z76Z1/00000 ZAINAL ARIFIN</t>
  </si>
  <si>
    <t>2906/FTSCY/WS95271 77710000.00 pelunasan SUGENG RIADI</t>
  </si>
  <si>
    <t>2906/FTSCY/WS95271 78750000.00 blitar GANESHA SATRIA NUS</t>
  </si>
  <si>
    <t>2906/FTSCY/WS95271 54045000.00 Sat Jun 27 2023 14:00:00 GMT+0700 (Western Indonesia Time) ANUGERAH KARTIKA A</t>
  </si>
  <si>
    <t>2906/FTSCY/WS95271 76181600.00 Sat Jun 27 2023 14:00:00 GMT+0700 (Western Indonesia Time) ANDALAN YASA MITRA</t>
  </si>
  <si>
    <t>2906/FTSCY/WS95031 1400000.00 bon 1 jt DIANA NOVITA</t>
  </si>
  <si>
    <t>2906/FTSCY/WS95031 500000.00 SUPRIYADI</t>
  </si>
  <si>
    <t>2906/FTSCY/WS95031 5000000.00 EKO SETIYAWAN</t>
  </si>
  <si>
    <t>2906/FTSCY/WS95011 358212960.00 Fri Jun 26 2023 14:00:00 GMT+0700 (Western Indonesia Time) BROILER MAKMUR TAN</t>
  </si>
  <si>
    <t>2906/FTFVA/WS95031 55569/PT PRIMA FAJ bwi dan pasuruan - 40190</t>
  </si>
  <si>
    <t>2023-06-30</t>
  </si>
  <si>
    <t>3006/FTSCY/WS95031 2620000.00 ARUL BACHTIAR DWI</t>
  </si>
  <si>
    <t>3006/FTSCY/WS95271 2620000.00 MUHAMMAD HAIRUL MA</t>
  </si>
  <si>
    <t>3006/FTSCY/WS95031 75000000.00 PT BJP DIENDA CATUR MUSTI</t>
  </si>
  <si>
    <t>3006/FTSCY/WS95031 7500000.00 BT BJP SRI ASIH ANGGRAENI</t>
  </si>
  <si>
    <t>3006/FTSCY/WS95051 68679631.00 AYAM HAIRUL TGL 28/6/2023 SUCI RAHARJO PT</t>
  </si>
  <si>
    <t>3006/FTSCY/WS95051 219712841.00 AYAM HAIRUL TGL 30/6/2023 SUCI RAHARJO PT</t>
  </si>
  <si>
    <t>BIF TRANSFER KE 2 ANIS SULIATI MyBCA</t>
  </si>
  <si>
    <t>BIF BIAYA TXN KE 2 ANIS SULIATI MyBCA</t>
  </si>
  <si>
    <t>3006/FTSCY/WS95271 100000000.00 pelunasan BROILER MAKMUR TAN</t>
  </si>
  <si>
    <t>3006/FTFVA/WS95031 55569/PT PRIMA FAJ pelunasan - 40190</t>
  </si>
  <si>
    <t>3006/FTSCY/WS95051 306409200.00 SIDO RAYA UTAMA CV</t>
  </si>
  <si>
    <t>3006/FTSCY/WS95031 1800000.00 DIANA NOVITA</t>
  </si>
  <si>
    <t>3006/FTSCY/WS95031 1500000.00 YESI PURNAMASARI</t>
  </si>
  <si>
    <t>3006/FTSCY/WS95031 2594100.00 SUPRIYADI</t>
  </si>
  <si>
    <t>SETORAN VIA CDM</t>
  </si>
  <si>
    <t>30/06  WSID:ZQ4E1 MUHAMMAD HAIRUL MA</t>
  </si>
  <si>
    <t>3006/FTSCY/WS95011 110000000.00 Titip Byr Ayam RPA SBU ALDINI MARIA GUMIL</t>
  </si>
  <si>
    <t>3006/FTSCY/WS95031 1200000.00 NURUL AINI</t>
  </si>
  <si>
    <t>3006/FTSCY/WS95271 29900000.00 SANDI FAJAR PRASET</t>
  </si>
  <si>
    <t>3006/FTSCY/WS95271 29900000.00 MUHAMMAD HAIRUL MA</t>
  </si>
  <si>
    <t>3006/FTSCY/WS95271 12700000.00 tot. 42.600.000 SANDI FAJAR PRASET</t>
  </si>
  <si>
    <t>3006/FTSCY/WS95271 156115440.00 pelunasan ANDALAN YASA MITRA</t>
  </si>
  <si>
    <t>3006/FTSCY/WS95011 133800000.00 Tue Jun 30 2023 14:00:00 GMT+0700 (Western Indonesia Time) BINTANG TAMA SANTO</t>
  </si>
  <si>
    <t>3006/FTSCY/WS95011 138502370.00 Tue Jun 30 2023 14:00:00 GMT+0700 (Western Indonesia Time) ANDALAN YASA MITRA</t>
  </si>
  <si>
    <t>CR KOREKSI BUNGA</t>
  </si>
  <si>
    <t>BUNGA</t>
  </si>
  <si>
    <t>PAJAK BUNGA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</si>
</sst>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dd&quot;-&quot;dd"/>
    <numFmt numFmtId="165" formatCode="dd&quot;/&quot;m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000000"/>
      <name val="&quot;Helvetica Neue&quot;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2" xfId="0" applyAlignment="1" applyFont="1" applyNumberFormat="1">
      <alignment readingOrder="0"/>
    </xf>
    <xf borderId="0" fillId="0" fontId="1" numFmtId="0" xfId="0" applyFont="1"/>
    <xf borderId="0" fillId="0" fontId="2" numFmtId="2" xfId="0" applyAlignment="1" applyFont="1" applyNumberFormat="1">
      <alignment vertical="bottom"/>
    </xf>
    <xf borderId="0" fillId="0" fontId="1" numFmtId="164" xfId="0" applyAlignment="1" applyFont="1" applyNumberFormat="1">
      <alignment horizontal="right" readingOrder="0"/>
    </xf>
    <xf borderId="0" fillId="0" fontId="1" numFmtId="0" xfId="0" applyAlignment="1" applyFont="1">
      <alignment readingOrder="0"/>
    </xf>
    <xf borderId="0" fillId="0" fontId="1" numFmtId="2" xfId="0" applyFont="1" applyNumberFormat="1"/>
    <xf borderId="0" fillId="0" fontId="2" numFmtId="2" xfId="0" applyAlignment="1" applyFont="1" applyNumberFormat="1">
      <alignment readingOrder="0" vertical="bottom"/>
    </xf>
    <xf borderId="0" fillId="0" fontId="1" numFmtId="165" xfId="0" applyFont="1" applyNumberFormat="1"/>
    <xf borderId="0" fillId="2" fontId="1" numFmtId="0" xfId="0" applyAlignment="1" applyFill="1" applyFont="1">
      <alignment readingOrder="0"/>
    </xf>
    <xf borderId="0" fillId="2" fontId="1" numFmtId="2" xfId="0" applyAlignment="1" applyFill="1" applyFont="1" applyNumberFormat="1">
      <alignment readingOrder="0"/>
    </xf>
    <xf borderId="0" fillId="2" fontId="1" numFmtId="2" xfId="0" applyFill="1" applyFont="1" applyNumberFormat="1"/>
    <xf borderId="1" fillId="3" fontId="3" numFmtId="0" xfId="0" applyAlignment="1" applyBorder="1" applyFill="1" applyFont="1">
      <alignment readingOrder="0" vertical="top"/>
    </xf>
    <xf borderId="1" fillId="3" fontId="3" numFmtId="2" xfId="0" applyAlignment="1" applyBorder="1" applyFill="1" applyFont="1" applyNumberFormat="1">
      <alignment readingOrder="0" vertical="top"/>
    </xf>
    <xf borderId="0" fillId="0" fontId="4" numFmtId="2" xfId="0" applyAlignment="1" applyFont="1" applyNumberFormat="1">
      <alignment readingOrder="0"/>
    </xf>
    <xf borderId="0" fillId="0" fontId="4" numFmtId="2" xfId="0" applyFont="1" applyNumberFormat="1"/>
    <xf borderId="1" fillId="3" fontId="3" numFmtId="2" xfId="0" applyAlignment="1" applyBorder="1" applyFill="1" applyFont="1" applyNumberFormat="1">
      <alignment vertical="top"/>
    </xf>
    <xf quotePrefix="1"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8" max="9" width="15.38"/>
  </cols>
  <sheetData>
    <row r="1">
      <c r="A1" s="1"/>
      <c r="D1" s="2"/>
      <c r="E1" s="2"/>
      <c r="F1" s="2"/>
      <c r="G1" s="2"/>
      <c r="H1" s="2"/>
      <c r="I1" s="4"/>
    </row>
    <row r="2">
      <c r="A2" s="5">
        <v>45078.0</v>
      </c>
      <c r="B2" s="6" t="s">
        <v>0</v>
      </c>
      <c r="C2" s="6" t="s">
        <v>0</v>
      </c>
      <c r="D2" s="7"/>
      <c r="E2" s="7">
        <f>SUM(E3:E597) </f>
        <v>23674824706</v>
      </c>
      <c r="F2" s="7"/>
      <c r="G2" s="2">
        <v>1.5379634376E8</v>
      </c>
      <c r="H2" s="7"/>
      <c r="I2" s="4"/>
    </row>
    <row r="3">
      <c r="A3" s="5">
        <v>45078.0</v>
      </c>
      <c r="B3" s="6" t="s">
        <v>1</v>
      </c>
      <c r="C3" s="6" t="s">
        <v>2</v>
      </c>
      <c r="D3" s="2"/>
      <c r="E3" s="2">
        <v>6.51345E7</v>
      </c>
      <c r="F3" s="2" t="s">
        <v>3</v>
      </c>
      <c r="G3" s="7">
        <f>G2-D3+E3</f>
        <v>218930843.8</v>
      </c>
      <c r="H3" s="2">
        <v>2.1893084376E8</v>
      </c>
      <c r="I3" s="4"/>
    </row>
    <row r="4">
      <c r="A4" s="5">
        <v>45078.0</v>
      </c>
      <c r="B4" s="6" t="s">
        <v>4</v>
      </c>
      <c r="C4" s="6" t="s">
        <v>5</v>
      </c>
      <c r="D4" s="2">
        <v>8.5709E7</v>
      </c>
      <c r="E4" s="2"/>
      <c r="F4" s="2" t="s">
        <v>6</v>
      </c>
      <c r="G4" s="7">
        <f t="array" ref="G4:G597">SCAN(G3, MAP(D4:D597, E4:E597, LAMBDA(d, c, IF(AND(d="", c=""), "", N(c) - N(d)))), LAMBDA(saldo, mutasi, IF(mutasi="", "", saldo + mutasi)))</f>
        <v>133221843.8</v>
      </c>
      <c r="H4" s="7"/>
      <c r="I4" s="8" t="s">
        <v>7</v>
      </c>
    </row>
    <row r="5">
      <c r="A5" s="5">
        <v>45078.0</v>
      </c>
      <c r="B5" s="6" t="s">
        <v>8</v>
      </c>
      <c r="C5" s="6" t="s">
        <v>8</v>
      </c>
      <c r="D5" s="2">
        <v>300000.0</v>
      </c>
      <c r="E5" s="2"/>
      <c r="F5" s="7"/>
      <c r="G5" s="7">
        <v>1.3292184375999999E8</v>
      </c>
      <c r="H5" s="7"/>
      <c r="I5" s="8" t="s">
        <v>9</v>
      </c>
    </row>
    <row r="6">
      <c r="A6" s="5">
        <v>45078.0</v>
      </c>
      <c r="B6" s="6" t="s">
        <v>4</v>
      </c>
      <c r="C6" s="6" t="s">
        <v>10</v>
      </c>
      <c r="D6" s="2">
        <v>2191500.0</v>
      </c>
      <c r="E6" s="2"/>
      <c r="F6" s="2" t="s">
        <v>6</v>
      </c>
      <c r="G6" s="7">
        <v>1.3073034375999999E8</v>
      </c>
      <c r="H6" s="7"/>
      <c r="I6" s="8" t="s">
        <v>11</v>
      </c>
    </row>
    <row r="7">
      <c r="A7" s="5">
        <v>45078.0</v>
      </c>
      <c r="B7" s="6" t="s">
        <v>12</v>
      </c>
      <c r="C7" s="6" t="s">
        <v>13</v>
      </c>
      <c r="D7" s="2"/>
      <c r="E7" s="2">
        <v>100000.0</v>
      </c>
      <c r="F7" s="2" t="s">
        <v>3</v>
      </c>
      <c r="G7" s="7">
        <v>1.3083034375999999E8</v>
      </c>
      <c r="H7" s="7"/>
      <c r="I7" s="4" t="s">
        <v>14</v>
      </c>
    </row>
    <row r="8">
      <c r="A8" s="5">
        <v>45078.0</v>
      </c>
      <c r="B8" s="6" t="s">
        <v>4</v>
      </c>
      <c r="C8" s="6" t="s">
        <v>15</v>
      </c>
      <c r="D8" s="2">
        <v>15000.0</v>
      </c>
      <c r="E8" s="2"/>
      <c r="F8" s="2" t="s">
        <v>6</v>
      </c>
      <c r="G8" s="7">
        <v>1.3081534375999999E8</v>
      </c>
      <c r="H8" s="7"/>
      <c r="I8" s="8" t="s">
        <v>16</v>
      </c>
    </row>
    <row r="9">
      <c r="A9" s="5">
        <v>45078.0</v>
      </c>
      <c r="B9" s="6" t="s">
        <v>4</v>
      </c>
      <c r="C9" s="6" t="s">
        <v>17</v>
      </c>
      <c r="D9" s="2">
        <v>6.62E7</v>
      </c>
      <c r="E9" s="2"/>
      <c r="F9" s="2" t="s">
        <v>6</v>
      </c>
      <c r="G9" s="7">
        <v>6.461534375999999E7</v>
      </c>
      <c r="H9" s="7"/>
      <c r="I9" s="4" t="s">
        <v>7</v>
      </c>
    </row>
    <row r="10">
      <c r="A10" s="5">
        <v>45078.0</v>
      </c>
      <c r="B10" s="6" t="s">
        <v>4</v>
      </c>
      <c r="C10" s="6" t="s">
        <v>18</v>
      </c>
      <c r="D10" s="2">
        <v>6.4E7</v>
      </c>
      <c r="E10" s="2"/>
      <c r="F10" s="2" t="s">
        <v>6</v>
      </c>
      <c r="G10" s="7">
        <v>615343.7599999905</v>
      </c>
      <c r="H10" s="7"/>
      <c r="I10" s="4" t="s">
        <v>7</v>
      </c>
    </row>
    <row r="11">
      <c r="A11" s="5">
        <v>45078.0</v>
      </c>
      <c r="B11" s="6" t="s">
        <v>8</v>
      </c>
      <c r="C11" s="6" t="s">
        <v>8</v>
      </c>
      <c r="D11" s="2">
        <v>150000.0</v>
      </c>
      <c r="E11" s="2"/>
      <c r="F11" s="7"/>
      <c r="G11" s="7">
        <v>465343.75999999046</v>
      </c>
      <c r="H11" s="2">
        <v>465343.76</v>
      </c>
      <c r="I11" s="8" t="s">
        <v>9</v>
      </c>
    </row>
    <row r="12">
      <c r="A12" s="5">
        <v>44963.0</v>
      </c>
      <c r="B12" s="6" t="s">
        <v>12</v>
      </c>
      <c r="C12" s="6" t="s">
        <v>19</v>
      </c>
      <c r="D12" s="2"/>
      <c r="E12" s="2">
        <v>1.4131477E8</v>
      </c>
      <c r="F12" s="2" t="s">
        <v>3</v>
      </c>
      <c r="G12" s="7">
        <v>1.4178011376E8</v>
      </c>
      <c r="H12" s="7"/>
      <c r="I12" s="4" t="s">
        <v>7</v>
      </c>
    </row>
    <row r="13">
      <c r="A13" s="5">
        <v>44963.0</v>
      </c>
      <c r="B13" s="6" t="s">
        <v>20</v>
      </c>
      <c r="C13" s="6" t="s">
        <v>20</v>
      </c>
      <c r="D13" s="2">
        <v>100000.0</v>
      </c>
      <c r="E13" s="2"/>
      <c r="F13" s="7"/>
      <c r="G13" s="7">
        <v>1.4168011376E8</v>
      </c>
      <c r="H13" s="7"/>
      <c r="I13" s="8" t="s">
        <v>9</v>
      </c>
    </row>
    <row r="14">
      <c r="A14" s="5">
        <v>44963.0</v>
      </c>
      <c r="B14" s="6" t="s">
        <v>4</v>
      </c>
      <c r="C14" s="6" t="s">
        <v>21</v>
      </c>
      <c r="D14" s="2">
        <v>1.115E7</v>
      </c>
      <c r="E14" s="2"/>
      <c r="F14" s="2" t="s">
        <v>6</v>
      </c>
      <c r="G14" s="7">
        <v>1.3053011375999999E8</v>
      </c>
      <c r="H14" s="7"/>
      <c r="I14" s="4" t="s">
        <v>7</v>
      </c>
    </row>
    <row r="15">
      <c r="A15" s="5">
        <v>44963.0</v>
      </c>
      <c r="B15" s="6" t="s">
        <v>4</v>
      </c>
      <c r="C15" s="6" t="s">
        <v>22</v>
      </c>
      <c r="D15" s="2">
        <v>1.475E7</v>
      </c>
      <c r="E15" s="2"/>
      <c r="F15" s="2" t="s">
        <v>6</v>
      </c>
      <c r="G15" s="7">
        <v>1.1578011375999999E8</v>
      </c>
      <c r="H15" s="7"/>
      <c r="I15" s="4" t="s">
        <v>7</v>
      </c>
    </row>
    <row r="16">
      <c r="A16" s="5">
        <v>44963.0</v>
      </c>
      <c r="B16" s="6" t="s">
        <v>4</v>
      </c>
      <c r="C16" s="6" t="s">
        <v>23</v>
      </c>
      <c r="D16" s="2">
        <v>6.0604E7</v>
      </c>
      <c r="E16" s="2"/>
      <c r="F16" s="2" t="s">
        <v>6</v>
      </c>
      <c r="G16" s="7">
        <v>5.517611375999999E7</v>
      </c>
      <c r="H16" s="7"/>
      <c r="I16" s="4" t="s">
        <v>7</v>
      </c>
    </row>
    <row r="17">
      <c r="A17" s="5">
        <v>44963.0</v>
      </c>
      <c r="B17" s="6" t="s">
        <v>24</v>
      </c>
      <c r="C17" s="6" t="s">
        <v>25</v>
      </c>
      <c r="D17" s="2">
        <v>202500.0</v>
      </c>
      <c r="E17" s="2"/>
      <c r="F17" s="7"/>
      <c r="G17" s="7">
        <v>5.497361375999999E7</v>
      </c>
      <c r="H17" s="2">
        <v>5.497361376E7</v>
      </c>
      <c r="I17" s="8" t="s">
        <v>9</v>
      </c>
    </row>
    <row r="18">
      <c r="A18" s="5">
        <v>44963.0</v>
      </c>
      <c r="B18" s="6" t="s">
        <v>12</v>
      </c>
      <c r="C18" s="6" t="s">
        <v>26</v>
      </c>
      <c r="D18" s="2"/>
      <c r="E18" s="2">
        <v>1.0E8</v>
      </c>
      <c r="F18" s="2" t="s">
        <v>3</v>
      </c>
      <c r="G18" s="7">
        <v>1.5497361376E8</v>
      </c>
      <c r="H18" s="2">
        <v>1.5497361376E8</v>
      </c>
      <c r="I18" s="4" t="s">
        <v>7</v>
      </c>
    </row>
    <row r="19">
      <c r="A19" s="5">
        <v>44963.0</v>
      </c>
      <c r="B19" s="6" t="s">
        <v>4</v>
      </c>
      <c r="C19" s="6" t="s">
        <v>27</v>
      </c>
      <c r="D19" s="2">
        <v>160000.0</v>
      </c>
      <c r="E19" s="7"/>
      <c r="F19" s="2" t="s">
        <v>6</v>
      </c>
      <c r="G19" s="7">
        <v>1.5481361376E8</v>
      </c>
      <c r="H19" s="7"/>
      <c r="I19" s="8" t="s">
        <v>9</v>
      </c>
    </row>
    <row r="20">
      <c r="A20" s="5">
        <v>44963.0</v>
      </c>
      <c r="B20" s="6" t="s">
        <v>4</v>
      </c>
      <c r="C20" s="6" t="s">
        <v>28</v>
      </c>
      <c r="D20" s="2">
        <v>6.99266E7</v>
      </c>
      <c r="E20" s="7"/>
      <c r="F20" s="2" t="s">
        <v>6</v>
      </c>
      <c r="G20" s="7">
        <v>8.488701375999999E7</v>
      </c>
      <c r="H20" s="7"/>
      <c r="I20" s="4" t="s">
        <v>7</v>
      </c>
    </row>
    <row r="21">
      <c r="A21" s="5">
        <v>44963.0</v>
      </c>
      <c r="B21" s="6" t="s">
        <v>4</v>
      </c>
      <c r="C21" s="6" t="s">
        <v>29</v>
      </c>
      <c r="D21" s="2">
        <v>1700000.0</v>
      </c>
      <c r="E21" s="7"/>
      <c r="F21" s="2" t="s">
        <v>6</v>
      </c>
      <c r="G21" s="7">
        <v>8.318701375999999E7</v>
      </c>
      <c r="H21" s="7"/>
      <c r="I21" s="8" t="s">
        <v>11</v>
      </c>
    </row>
    <row r="22">
      <c r="A22" s="5">
        <v>44963.0</v>
      </c>
      <c r="B22" s="6" t="s">
        <v>4</v>
      </c>
      <c r="C22" s="6" t="s">
        <v>30</v>
      </c>
      <c r="D22" s="2">
        <v>3080300.0</v>
      </c>
      <c r="E22" s="7"/>
      <c r="F22" s="2" t="s">
        <v>6</v>
      </c>
      <c r="G22" s="7">
        <v>8.010671375999999E7</v>
      </c>
      <c r="H22" s="7"/>
      <c r="I22" s="8" t="s">
        <v>11</v>
      </c>
    </row>
    <row r="23">
      <c r="A23" s="5">
        <v>44963.0</v>
      </c>
      <c r="B23" s="6" t="s">
        <v>12</v>
      </c>
      <c r="C23" s="6" t="s">
        <v>31</v>
      </c>
      <c r="D23" s="2"/>
      <c r="E23" s="2">
        <v>1.414362E8</v>
      </c>
      <c r="F23" s="2" t="s">
        <v>3</v>
      </c>
      <c r="G23" s="7">
        <v>2.2154291376E8</v>
      </c>
      <c r="H23" s="7"/>
      <c r="I23" s="4" t="s">
        <v>7</v>
      </c>
    </row>
    <row r="24">
      <c r="A24" s="5">
        <v>44963.0</v>
      </c>
      <c r="B24" s="6" t="s">
        <v>4</v>
      </c>
      <c r="C24" s="6" t="s">
        <v>32</v>
      </c>
      <c r="D24" s="2">
        <v>7.54435E7</v>
      </c>
      <c r="E24" s="7"/>
      <c r="F24" s="2" t="s">
        <v>6</v>
      </c>
      <c r="G24" s="7">
        <v>1.4609941376E8</v>
      </c>
      <c r="H24" s="7"/>
      <c r="I24" s="8" t="s">
        <v>7</v>
      </c>
    </row>
    <row r="25">
      <c r="A25" s="5">
        <v>44963.0</v>
      </c>
      <c r="B25" s="6" t="s">
        <v>4</v>
      </c>
      <c r="C25" s="6" t="s">
        <v>33</v>
      </c>
      <c r="D25" s="2">
        <v>5.84929E7</v>
      </c>
      <c r="E25" s="7"/>
      <c r="F25" s="2" t="s">
        <v>6</v>
      </c>
      <c r="G25" s="7">
        <v>8.760651375999999E7</v>
      </c>
      <c r="H25" s="7"/>
      <c r="I25" s="8" t="s">
        <v>7</v>
      </c>
    </row>
    <row r="26">
      <c r="A26" s="5">
        <v>44963.0</v>
      </c>
      <c r="B26" s="6" t="s">
        <v>4</v>
      </c>
      <c r="C26" s="6" t="s">
        <v>34</v>
      </c>
      <c r="D26" s="2">
        <v>7.58869E7</v>
      </c>
      <c r="E26" s="7"/>
      <c r="F26" s="2" t="s">
        <v>6</v>
      </c>
      <c r="G26" s="7">
        <v>1.171961375999999E7</v>
      </c>
      <c r="H26" s="2">
        <v>1.171961376E7</v>
      </c>
      <c r="I26" s="4" t="s">
        <v>7</v>
      </c>
    </row>
    <row r="27">
      <c r="A27" s="5">
        <v>44991.0</v>
      </c>
      <c r="B27" s="6" t="s">
        <v>4</v>
      </c>
      <c r="C27" s="6" t="s">
        <v>35</v>
      </c>
      <c r="D27" s="2">
        <v>1500000.0</v>
      </c>
      <c r="E27" s="7"/>
      <c r="F27" s="2" t="s">
        <v>6</v>
      </c>
      <c r="G27" s="7">
        <v>1.021961375999999E7</v>
      </c>
      <c r="H27" s="7"/>
      <c r="I27" s="8" t="s">
        <v>11</v>
      </c>
    </row>
    <row r="28">
      <c r="A28" s="5">
        <v>44991.0</v>
      </c>
      <c r="B28" s="6" t="s">
        <v>4</v>
      </c>
      <c r="C28" s="6" t="s">
        <v>36</v>
      </c>
      <c r="D28" s="2">
        <v>1000000.0</v>
      </c>
      <c r="E28" s="7"/>
      <c r="F28" s="2" t="s">
        <v>6</v>
      </c>
      <c r="G28" s="7">
        <v>9219613.75999999</v>
      </c>
      <c r="H28" s="7"/>
      <c r="I28" s="8" t="s">
        <v>37</v>
      </c>
    </row>
    <row r="29">
      <c r="A29" s="5">
        <v>44991.0</v>
      </c>
      <c r="B29" s="6" t="s">
        <v>4</v>
      </c>
      <c r="C29" s="6" t="s">
        <v>38</v>
      </c>
      <c r="D29" s="2">
        <v>290900.0</v>
      </c>
      <c r="E29" s="7"/>
      <c r="F29" s="2" t="s">
        <v>6</v>
      </c>
      <c r="G29" s="7">
        <v>8928713.75999999</v>
      </c>
      <c r="H29" s="7"/>
      <c r="I29" s="8" t="s">
        <v>37</v>
      </c>
    </row>
    <row r="30">
      <c r="A30" s="5">
        <v>44991.0</v>
      </c>
      <c r="B30" s="6" t="s">
        <v>12</v>
      </c>
      <c r="C30" s="6" t="s">
        <v>39</v>
      </c>
      <c r="D30" s="2"/>
      <c r="E30" s="2">
        <v>2.1100979E8</v>
      </c>
      <c r="F30" s="2" t="s">
        <v>3</v>
      </c>
      <c r="G30" s="7">
        <v>2.1993850376E8</v>
      </c>
      <c r="H30" s="7"/>
      <c r="I30" s="4" t="s">
        <v>7</v>
      </c>
    </row>
    <row r="31">
      <c r="A31" s="5">
        <v>44991.0</v>
      </c>
      <c r="B31" s="6" t="s">
        <v>12</v>
      </c>
      <c r="C31" s="6" t="s">
        <v>40</v>
      </c>
      <c r="D31" s="2"/>
      <c r="E31" s="2">
        <v>5.5927511E8</v>
      </c>
      <c r="F31" s="2" t="s">
        <v>3</v>
      </c>
      <c r="G31" s="7">
        <v>7.7921361376E8</v>
      </c>
      <c r="H31" s="2">
        <v>7.7921361376E8</v>
      </c>
      <c r="I31" s="4"/>
    </row>
    <row r="32">
      <c r="A32" s="5">
        <v>44991.0</v>
      </c>
      <c r="B32" s="6" t="s">
        <v>41</v>
      </c>
      <c r="C32" s="6" t="s">
        <v>42</v>
      </c>
      <c r="D32" s="2">
        <v>64700.0</v>
      </c>
      <c r="E32" s="7"/>
      <c r="F32" s="7"/>
      <c r="G32" s="7">
        <v>7.7914891376E8</v>
      </c>
      <c r="H32" s="2">
        <v>7.7914891376E8</v>
      </c>
      <c r="I32" s="8" t="s">
        <v>9</v>
      </c>
    </row>
    <row r="33">
      <c r="A33" s="5">
        <v>44991.0</v>
      </c>
      <c r="B33" s="6" t="s">
        <v>4</v>
      </c>
      <c r="C33" s="6" t="s">
        <v>43</v>
      </c>
      <c r="D33" s="2">
        <v>3.956708E8</v>
      </c>
      <c r="E33" s="7"/>
      <c r="F33" s="2" t="s">
        <v>6</v>
      </c>
      <c r="G33" s="7">
        <v>3.8347811376E8</v>
      </c>
      <c r="H33" s="7"/>
      <c r="I33" s="8" t="s">
        <v>7</v>
      </c>
    </row>
    <row r="34">
      <c r="A34" s="5">
        <v>44991.0</v>
      </c>
      <c r="B34" s="6" t="s">
        <v>4</v>
      </c>
      <c r="C34" s="6" t="s">
        <v>44</v>
      </c>
      <c r="D34" s="2">
        <v>7.15391E7</v>
      </c>
      <c r="E34" s="7"/>
      <c r="F34" s="2" t="s">
        <v>6</v>
      </c>
      <c r="G34" s="7">
        <v>3.1193901376E8</v>
      </c>
      <c r="H34" s="7"/>
      <c r="I34" s="8" t="s">
        <v>7</v>
      </c>
    </row>
    <row r="35">
      <c r="A35" s="5">
        <v>44991.0</v>
      </c>
      <c r="B35" s="6" t="s">
        <v>4</v>
      </c>
      <c r="C35" s="6" t="s">
        <v>45</v>
      </c>
      <c r="D35" s="2">
        <v>1.3851595E8</v>
      </c>
      <c r="E35" s="7"/>
      <c r="F35" s="2" t="s">
        <v>6</v>
      </c>
      <c r="G35" s="7">
        <v>1.7342306376E8</v>
      </c>
      <c r="H35" s="7"/>
      <c r="I35" s="4" t="s">
        <v>7</v>
      </c>
    </row>
    <row r="36">
      <c r="A36" s="5">
        <v>44991.0</v>
      </c>
      <c r="B36" s="6" t="s">
        <v>4</v>
      </c>
      <c r="C36" s="6" t="s">
        <v>46</v>
      </c>
      <c r="D36" s="2">
        <v>1.3392042E8</v>
      </c>
      <c r="E36" s="7"/>
      <c r="F36" s="2" t="s">
        <v>6</v>
      </c>
      <c r="G36" s="7">
        <v>3.950264375999999E7</v>
      </c>
      <c r="H36" s="7"/>
      <c r="I36" s="4" t="s">
        <v>7</v>
      </c>
    </row>
    <row r="37">
      <c r="A37" s="5">
        <v>44991.0</v>
      </c>
      <c r="B37" s="6" t="s">
        <v>4</v>
      </c>
      <c r="C37" s="6" t="s">
        <v>47</v>
      </c>
      <c r="D37" s="2">
        <v>127100.0</v>
      </c>
      <c r="E37" s="7"/>
      <c r="F37" s="2" t="s">
        <v>6</v>
      </c>
      <c r="G37" s="7">
        <v>3.937554375999999E7</v>
      </c>
      <c r="H37" s="7"/>
      <c r="I37" s="8" t="s">
        <v>9</v>
      </c>
    </row>
    <row r="38">
      <c r="A38" s="5">
        <v>44991.0</v>
      </c>
      <c r="B38" s="6" t="s">
        <v>12</v>
      </c>
      <c r="C38" s="6" t="s">
        <v>48</v>
      </c>
      <c r="D38" s="2"/>
      <c r="E38" s="2">
        <v>1.3391785E8</v>
      </c>
      <c r="F38" s="2" t="s">
        <v>3</v>
      </c>
      <c r="G38" s="7">
        <v>1.7329339376E8</v>
      </c>
      <c r="H38" s="7"/>
      <c r="I38" s="4" t="s">
        <v>7</v>
      </c>
    </row>
    <row r="39">
      <c r="A39" s="5">
        <v>44991.0</v>
      </c>
      <c r="B39" s="6" t="s">
        <v>24</v>
      </c>
      <c r="C39" s="6" t="s">
        <v>49</v>
      </c>
      <c r="D39" s="2">
        <v>27000.0</v>
      </c>
      <c r="E39" s="7"/>
      <c r="F39" s="7"/>
      <c r="G39" s="7">
        <v>1.7326639376E8</v>
      </c>
      <c r="H39" s="7"/>
      <c r="I39" s="8" t="s">
        <v>9</v>
      </c>
    </row>
    <row r="40">
      <c r="A40" s="5">
        <v>44991.0</v>
      </c>
      <c r="B40" s="6" t="s">
        <v>4</v>
      </c>
      <c r="C40" s="6" t="s">
        <v>50</v>
      </c>
      <c r="D40" s="2">
        <v>6.342056E7</v>
      </c>
      <c r="E40" s="7"/>
      <c r="F40" s="2" t="s">
        <v>6</v>
      </c>
      <c r="G40" s="7">
        <v>1.0984583375999999E8</v>
      </c>
      <c r="H40" s="7"/>
      <c r="I40" s="8" t="s">
        <v>7</v>
      </c>
    </row>
    <row r="41">
      <c r="A41" s="5">
        <v>44991.0</v>
      </c>
      <c r="B41" s="6" t="s">
        <v>4</v>
      </c>
      <c r="C41" s="6" t="s">
        <v>47</v>
      </c>
      <c r="D41" s="2">
        <v>107900.0</v>
      </c>
      <c r="E41" s="7"/>
      <c r="F41" s="2" t="s">
        <v>6</v>
      </c>
      <c r="G41" s="7">
        <v>1.0973793375999999E8</v>
      </c>
      <c r="H41" s="7"/>
      <c r="I41" s="8" t="s">
        <v>9</v>
      </c>
    </row>
    <row r="42">
      <c r="A42" s="5">
        <v>44991.0</v>
      </c>
      <c r="B42" s="6" t="s">
        <v>12</v>
      </c>
      <c r="C42" s="6" t="s">
        <v>51</v>
      </c>
      <c r="D42" s="2"/>
      <c r="E42" s="2">
        <v>8.424E7</v>
      </c>
      <c r="F42" s="2" t="s">
        <v>3</v>
      </c>
      <c r="G42" s="7">
        <v>1.9397793376E8</v>
      </c>
      <c r="H42" s="7"/>
      <c r="I42" s="4" t="s">
        <v>7</v>
      </c>
    </row>
    <row r="43">
      <c r="A43" s="5">
        <v>44991.0</v>
      </c>
      <c r="B43" s="6" t="s">
        <v>12</v>
      </c>
      <c r="C43" s="6" t="s">
        <v>52</v>
      </c>
      <c r="D43" s="2"/>
      <c r="E43" s="2">
        <v>3.5170517E8</v>
      </c>
      <c r="F43" s="2" t="s">
        <v>3</v>
      </c>
      <c r="G43" s="7">
        <v>5.4568310376E8</v>
      </c>
      <c r="H43" s="2">
        <v>5.4568310376E8</v>
      </c>
      <c r="I43" s="4"/>
    </row>
    <row r="44">
      <c r="A44" s="5">
        <v>44991.0</v>
      </c>
      <c r="B44" s="6" t="s">
        <v>53</v>
      </c>
      <c r="C44" s="6" t="s">
        <v>53</v>
      </c>
      <c r="D44" s="2">
        <v>1050000.0</v>
      </c>
      <c r="E44" s="7"/>
      <c r="F44" s="7"/>
      <c r="G44" s="7">
        <v>5.4463310376E8</v>
      </c>
      <c r="H44" s="2">
        <v>5.4463310376E8</v>
      </c>
      <c r="I44" s="8" t="s">
        <v>9</v>
      </c>
    </row>
    <row r="45">
      <c r="A45" s="5">
        <v>44991.0</v>
      </c>
      <c r="B45" s="6" t="s">
        <v>4</v>
      </c>
      <c r="C45" s="6" t="s">
        <v>54</v>
      </c>
      <c r="D45" s="2">
        <v>2313000.0</v>
      </c>
      <c r="E45" s="7"/>
      <c r="F45" s="2" t="s">
        <v>6</v>
      </c>
      <c r="G45" s="7">
        <v>5.4232010376E8</v>
      </c>
      <c r="H45" s="2">
        <v>5.4232010376E8</v>
      </c>
      <c r="I45" s="8" t="s">
        <v>9</v>
      </c>
    </row>
    <row r="46">
      <c r="A46" s="5">
        <v>45022.0</v>
      </c>
      <c r="B46" s="6" t="s">
        <v>55</v>
      </c>
      <c r="C46" s="6" t="s">
        <v>56</v>
      </c>
      <c r="D46" s="2">
        <v>1500000.0</v>
      </c>
      <c r="E46" s="7"/>
      <c r="F46" s="2" t="s">
        <v>6</v>
      </c>
      <c r="G46" s="7">
        <v>5.4082010376E8</v>
      </c>
      <c r="H46" s="7"/>
      <c r="I46" s="8" t="s">
        <v>11</v>
      </c>
    </row>
    <row r="47">
      <c r="A47" s="5">
        <v>45022.0</v>
      </c>
      <c r="B47" s="6" t="s">
        <v>55</v>
      </c>
      <c r="C47" s="6" t="s">
        <v>57</v>
      </c>
      <c r="D47" s="2">
        <v>2500.0</v>
      </c>
      <c r="E47" s="7"/>
      <c r="F47" s="2" t="s">
        <v>6</v>
      </c>
      <c r="G47" s="7">
        <v>5.4081760376E8</v>
      </c>
      <c r="H47" s="7"/>
      <c r="I47" s="8" t="s">
        <v>11</v>
      </c>
    </row>
    <row r="48">
      <c r="A48" s="5">
        <v>45022.0</v>
      </c>
      <c r="B48" s="6" t="s">
        <v>4</v>
      </c>
      <c r="C48" s="6" t="s">
        <v>58</v>
      </c>
      <c r="D48" s="2">
        <v>1000000.0</v>
      </c>
      <c r="E48" s="7"/>
      <c r="F48" s="2" t="s">
        <v>6</v>
      </c>
      <c r="G48" s="7">
        <v>5.3981760376E8</v>
      </c>
      <c r="H48" s="7"/>
      <c r="I48" s="8" t="s">
        <v>11</v>
      </c>
    </row>
    <row r="49">
      <c r="A49" s="5">
        <v>45022.0</v>
      </c>
      <c r="B49" s="6" t="s">
        <v>4</v>
      </c>
      <c r="C49" s="6" t="s">
        <v>59</v>
      </c>
      <c r="D49" s="2">
        <v>428010.0</v>
      </c>
      <c r="E49" s="7"/>
      <c r="F49" s="2" t="s">
        <v>6</v>
      </c>
      <c r="G49" s="7">
        <v>5.3938959376E8</v>
      </c>
      <c r="H49" s="7"/>
      <c r="I49" s="8" t="s">
        <v>11</v>
      </c>
    </row>
    <row r="50">
      <c r="A50" s="5">
        <v>45022.0</v>
      </c>
      <c r="B50" s="6" t="s">
        <v>4</v>
      </c>
      <c r="C50" s="6" t="s">
        <v>60</v>
      </c>
      <c r="D50" s="2">
        <v>1.3175192E8</v>
      </c>
      <c r="E50" s="7"/>
      <c r="F50" s="2" t="s">
        <v>6</v>
      </c>
      <c r="G50" s="7">
        <v>4.0763767376E8</v>
      </c>
      <c r="H50" s="7"/>
      <c r="I50" s="4" t="s">
        <v>7</v>
      </c>
    </row>
    <row r="51">
      <c r="A51" s="5">
        <v>45022.0</v>
      </c>
      <c r="B51" s="6" t="s">
        <v>4</v>
      </c>
      <c r="C51" s="6" t="s">
        <v>61</v>
      </c>
      <c r="D51" s="2">
        <v>7.277105E7</v>
      </c>
      <c r="E51" s="7"/>
      <c r="F51" s="2" t="s">
        <v>6</v>
      </c>
      <c r="G51" s="7">
        <v>3.3486662376E8</v>
      </c>
      <c r="H51" s="7"/>
      <c r="I51" s="8" t="s">
        <v>7</v>
      </c>
    </row>
    <row r="52">
      <c r="A52" s="5">
        <v>45022.0</v>
      </c>
      <c r="B52" s="6" t="s">
        <v>4</v>
      </c>
      <c r="C52" s="6" t="s">
        <v>62</v>
      </c>
      <c r="D52" s="2">
        <v>2.1E7</v>
      </c>
      <c r="E52" s="7"/>
      <c r="F52" s="2" t="s">
        <v>6</v>
      </c>
      <c r="G52" s="7">
        <v>3.1386662376E8</v>
      </c>
      <c r="H52" s="7"/>
      <c r="I52" s="8" t="s">
        <v>11</v>
      </c>
    </row>
    <row r="53">
      <c r="A53" s="5">
        <v>45022.0</v>
      </c>
      <c r="B53" s="6" t="s">
        <v>41</v>
      </c>
      <c r="C53" s="6" t="s">
        <v>63</v>
      </c>
      <c r="D53" s="2">
        <v>220100.0</v>
      </c>
      <c r="E53" s="7"/>
      <c r="F53" s="7"/>
      <c r="G53" s="7">
        <v>3.1364652376E8</v>
      </c>
      <c r="H53" s="7"/>
      <c r="I53" s="8" t="s">
        <v>9</v>
      </c>
    </row>
    <row r="54">
      <c r="A54" s="5">
        <v>45022.0</v>
      </c>
      <c r="B54" s="6" t="s">
        <v>4</v>
      </c>
      <c r="C54" s="6" t="s">
        <v>64</v>
      </c>
      <c r="D54" s="2">
        <v>8.410445E7</v>
      </c>
      <c r="E54" s="7"/>
      <c r="F54" s="2" t="s">
        <v>6</v>
      </c>
      <c r="G54" s="7">
        <v>2.2954207376E8</v>
      </c>
      <c r="H54" s="7"/>
      <c r="I54" s="4" t="s">
        <v>7</v>
      </c>
    </row>
    <row r="55">
      <c r="A55" s="5">
        <v>45022.0</v>
      </c>
      <c r="B55" s="6" t="s">
        <v>4</v>
      </c>
      <c r="C55" s="6" t="s">
        <v>58</v>
      </c>
      <c r="D55" s="2">
        <v>1000000.0</v>
      </c>
      <c r="E55" s="7"/>
      <c r="F55" s="2" t="s">
        <v>6</v>
      </c>
      <c r="G55" s="7">
        <v>2.2854207376E8</v>
      </c>
      <c r="H55" s="7"/>
      <c r="I55" s="8" t="s">
        <v>11</v>
      </c>
    </row>
    <row r="56">
      <c r="A56" s="5">
        <v>45022.0</v>
      </c>
      <c r="B56" s="6" t="s">
        <v>4</v>
      </c>
      <c r="C56" s="6" t="s">
        <v>65</v>
      </c>
      <c r="D56" s="2">
        <v>6.451E7</v>
      </c>
      <c r="E56" s="7"/>
      <c r="F56" s="2" t="s">
        <v>6</v>
      </c>
      <c r="G56" s="7">
        <v>1.6403207376E8</v>
      </c>
      <c r="H56" s="7"/>
      <c r="I56" s="4" t="s">
        <v>7</v>
      </c>
    </row>
    <row r="57">
      <c r="A57" s="5">
        <v>45022.0</v>
      </c>
      <c r="B57" s="6" t="s">
        <v>4</v>
      </c>
      <c r="C57" s="6" t="s">
        <v>66</v>
      </c>
      <c r="D57" s="2">
        <v>7.595E7</v>
      </c>
      <c r="E57" s="7"/>
      <c r="F57" s="2" t="s">
        <v>6</v>
      </c>
      <c r="G57" s="7">
        <v>8.808207375999999E7</v>
      </c>
      <c r="H57" s="2">
        <v>8.808207376E7</v>
      </c>
      <c r="I57" s="4" t="s">
        <v>7</v>
      </c>
    </row>
    <row r="58">
      <c r="A58" s="5">
        <v>45022.0</v>
      </c>
      <c r="B58" s="6" t="s">
        <v>4</v>
      </c>
      <c r="C58" s="6" t="s">
        <v>67</v>
      </c>
      <c r="D58" s="2">
        <v>6.14685E7</v>
      </c>
      <c r="E58" s="7"/>
      <c r="F58" s="2" t="s">
        <v>6</v>
      </c>
      <c r="G58" s="7">
        <v>2.661357375999999E7</v>
      </c>
      <c r="H58" s="2">
        <v>2.661357376E7</v>
      </c>
      <c r="I58" s="4" t="s">
        <v>7</v>
      </c>
    </row>
    <row r="59">
      <c r="A59" s="5">
        <v>45052.0</v>
      </c>
      <c r="B59" s="6" t="s">
        <v>4</v>
      </c>
      <c r="C59" s="6" t="s">
        <v>68</v>
      </c>
      <c r="D59" s="2">
        <v>631470.0</v>
      </c>
      <c r="E59" s="7"/>
      <c r="F59" s="2" t="s">
        <v>6</v>
      </c>
      <c r="G59" s="7">
        <v>2.598210375999999E7</v>
      </c>
      <c r="H59" s="7"/>
      <c r="I59" s="4" t="s">
        <v>7</v>
      </c>
    </row>
    <row r="60">
      <c r="A60" s="5">
        <v>45052.0</v>
      </c>
      <c r="B60" s="6" t="s">
        <v>12</v>
      </c>
      <c r="C60" s="6" t="s">
        <v>69</v>
      </c>
      <c r="D60" s="2"/>
      <c r="E60" s="2">
        <v>4.7066004E8</v>
      </c>
      <c r="F60" s="2" t="s">
        <v>3</v>
      </c>
      <c r="G60" s="7">
        <v>4.9664214376E8</v>
      </c>
      <c r="H60" s="7"/>
      <c r="I60" s="4"/>
    </row>
    <row r="61">
      <c r="A61" s="5">
        <v>45052.0</v>
      </c>
      <c r="B61" s="6" t="s">
        <v>4</v>
      </c>
      <c r="C61" s="6" t="s">
        <v>70</v>
      </c>
      <c r="D61" s="2">
        <v>1.297383E8</v>
      </c>
      <c r="E61" s="7"/>
      <c r="F61" s="2" t="s">
        <v>6</v>
      </c>
      <c r="G61" s="7">
        <v>3.6690384376E8</v>
      </c>
      <c r="H61" s="7"/>
      <c r="I61" s="4" t="s">
        <v>7</v>
      </c>
    </row>
    <row r="62">
      <c r="A62" s="5">
        <v>45052.0</v>
      </c>
      <c r="B62" s="6" t="s">
        <v>4</v>
      </c>
      <c r="C62" s="6" t="s">
        <v>71</v>
      </c>
      <c r="D62" s="2">
        <v>1.591E8</v>
      </c>
      <c r="E62" s="7"/>
      <c r="F62" s="2" t="s">
        <v>6</v>
      </c>
      <c r="G62" s="7">
        <v>2.0780384376E8</v>
      </c>
      <c r="H62" s="7"/>
      <c r="I62" s="4" t="s">
        <v>7</v>
      </c>
    </row>
    <row r="63">
      <c r="A63" s="5">
        <v>45052.0</v>
      </c>
      <c r="B63" s="6" t="s">
        <v>4</v>
      </c>
      <c r="C63" s="6" t="s">
        <v>72</v>
      </c>
      <c r="D63" s="2">
        <v>6.25994E7</v>
      </c>
      <c r="E63" s="7"/>
      <c r="F63" s="2" t="s">
        <v>6</v>
      </c>
      <c r="G63" s="7">
        <v>1.4520444376E8</v>
      </c>
      <c r="H63" s="7"/>
      <c r="I63" s="8" t="s">
        <v>7</v>
      </c>
    </row>
    <row r="64">
      <c r="A64" s="5">
        <v>45052.0</v>
      </c>
      <c r="B64" s="6" t="s">
        <v>4</v>
      </c>
      <c r="C64" s="6" t="s">
        <v>73</v>
      </c>
      <c r="D64" s="2">
        <v>1970300.0</v>
      </c>
      <c r="E64" s="7"/>
      <c r="F64" s="2" t="s">
        <v>6</v>
      </c>
      <c r="G64" s="7">
        <v>1.4323414376E8</v>
      </c>
      <c r="H64" s="7"/>
      <c r="I64" s="8" t="s">
        <v>11</v>
      </c>
    </row>
    <row r="65">
      <c r="A65" s="5">
        <v>45052.0</v>
      </c>
      <c r="B65" s="6" t="s">
        <v>4</v>
      </c>
      <c r="C65" s="6" t="s">
        <v>74</v>
      </c>
      <c r="D65" s="2">
        <v>50599.0</v>
      </c>
      <c r="E65" s="7"/>
      <c r="F65" s="2" t="s">
        <v>6</v>
      </c>
      <c r="G65" s="7">
        <v>1.4318354476E8</v>
      </c>
      <c r="H65" s="7"/>
      <c r="I65" s="8" t="s">
        <v>9</v>
      </c>
    </row>
    <row r="66">
      <c r="A66" s="5">
        <v>45052.0</v>
      </c>
      <c r="B66" s="6" t="s">
        <v>12</v>
      </c>
      <c r="C66" s="6" t="s">
        <v>75</v>
      </c>
      <c r="D66" s="2"/>
      <c r="E66" s="2">
        <v>850000.0</v>
      </c>
      <c r="F66" s="2" t="s">
        <v>3</v>
      </c>
      <c r="G66" s="7">
        <v>1.4403354476E8</v>
      </c>
      <c r="H66" s="7"/>
      <c r="I66" s="4"/>
    </row>
    <row r="67">
      <c r="A67" s="5">
        <v>45052.0</v>
      </c>
      <c r="B67" s="6" t="s">
        <v>12</v>
      </c>
      <c r="C67" s="6" t="s">
        <v>76</v>
      </c>
      <c r="D67" s="2"/>
      <c r="E67" s="2">
        <v>7.693438E7</v>
      </c>
      <c r="F67" s="2" t="s">
        <v>3</v>
      </c>
      <c r="G67" s="7">
        <v>2.2096792476E8</v>
      </c>
      <c r="H67" s="7"/>
      <c r="I67" s="4"/>
    </row>
    <row r="68">
      <c r="A68" s="5">
        <v>45052.0</v>
      </c>
      <c r="B68" s="6" t="s">
        <v>12</v>
      </c>
      <c r="C68" s="6" t="s">
        <v>77</v>
      </c>
      <c r="D68" s="2"/>
      <c r="E68" s="2">
        <v>1.8317764E8</v>
      </c>
      <c r="F68" s="2" t="s">
        <v>3</v>
      </c>
      <c r="G68" s="7">
        <v>4.0414556476E8</v>
      </c>
      <c r="H68" s="7"/>
      <c r="I68" s="4"/>
    </row>
    <row r="69">
      <c r="A69" s="5">
        <v>45052.0</v>
      </c>
      <c r="B69" s="6" t="s">
        <v>12</v>
      </c>
      <c r="C69" s="6" t="s">
        <v>78</v>
      </c>
      <c r="D69" s="2"/>
      <c r="E69" s="2">
        <v>250000.0</v>
      </c>
      <c r="F69" s="2" t="s">
        <v>3</v>
      </c>
      <c r="G69" s="7">
        <v>4.0439556476E8</v>
      </c>
      <c r="H69" s="2">
        <v>4.0439556476E8</v>
      </c>
      <c r="I69" s="4"/>
    </row>
    <row r="70">
      <c r="A70" s="5">
        <v>45052.0</v>
      </c>
      <c r="B70" s="6" t="s">
        <v>79</v>
      </c>
      <c r="C70" s="6" t="s">
        <v>80</v>
      </c>
      <c r="D70" s="2">
        <v>660000.0</v>
      </c>
      <c r="E70" s="7"/>
      <c r="F70" s="2" t="s">
        <v>6</v>
      </c>
      <c r="G70" s="7">
        <v>4.0373556476E8</v>
      </c>
      <c r="H70" s="2">
        <v>4.0373556476E8</v>
      </c>
      <c r="I70" s="8" t="s">
        <v>7</v>
      </c>
    </row>
    <row r="71">
      <c r="A71" s="5">
        <v>45052.0</v>
      </c>
      <c r="B71" s="6" t="s">
        <v>4</v>
      </c>
      <c r="C71" s="6" t="s">
        <v>81</v>
      </c>
      <c r="D71" s="2">
        <v>130517.0</v>
      </c>
      <c r="E71" s="7"/>
      <c r="F71" s="2" t="s">
        <v>6</v>
      </c>
      <c r="G71" s="7">
        <v>4.0360504776E8</v>
      </c>
      <c r="H71" s="7"/>
      <c r="I71" s="8" t="s">
        <v>9</v>
      </c>
    </row>
    <row r="72">
      <c r="A72" s="5">
        <v>45052.0</v>
      </c>
      <c r="B72" s="6" t="s">
        <v>12</v>
      </c>
      <c r="C72" s="6" t="s">
        <v>82</v>
      </c>
      <c r="D72" s="2"/>
      <c r="E72" s="2">
        <v>2.5703556E8</v>
      </c>
      <c r="F72" s="2" t="s">
        <v>3</v>
      </c>
      <c r="G72" s="7">
        <v>6.6064060776E8</v>
      </c>
      <c r="H72" s="7"/>
      <c r="I72" s="4"/>
    </row>
    <row r="73">
      <c r="A73" s="5">
        <v>45052.0</v>
      </c>
      <c r="B73" s="6" t="s">
        <v>4</v>
      </c>
      <c r="C73" s="6" t="s">
        <v>83</v>
      </c>
      <c r="D73" s="2">
        <v>1.5583506E8</v>
      </c>
      <c r="E73" s="7"/>
      <c r="F73" s="2" t="s">
        <v>6</v>
      </c>
      <c r="G73" s="7">
        <v>5.0480554776E8</v>
      </c>
      <c r="H73" s="7"/>
      <c r="I73" s="8" t="s">
        <v>7</v>
      </c>
    </row>
    <row r="74">
      <c r="A74" s="5">
        <v>45052.0</v>
      </c>
      <c r="B74" s="6" t="s">
        <v>4</v>
      </c>
      <c r="C74" s="6" t="s">
        <v>84</v>
      </c>
      <c r="D74" s="2">
        <v>2.5787315E8</v>
      </c>
      <c r="E74" s="7"/>
      <c r="F74" s="2" t="s">
        <v>6</v>
      </c>
      <c r="G74" s="7">
        <v>2.4693239776E8</v>
      </c>
      <c r="H74" s="7"/>
      <c r="I74" s="8" t="s">
        <v>7</v>
      </c>
    </row>
    <row r="75">
      <c r="A75" s="5">
        <v>45052.0</v>
      </c>
      <c r="B75" s="6" t="s">
        <v>4</v>
      </c>
      <c r="C75" s="6" t="s">
        <v>85</v>
      </c>
      <c r="D75" s="2">
        <v>6.391065E7</v>
      </c>
      <c r="E75" s="7"/>
      <c r="F75" s="2" t="s">
        <v>6</v>
      </c>
      <c r="G75" s="7">
        <v>1.8302174776E8</v>
      </c>
      <c r="H75" s="7"/>
      <c r="I75" s="8" t="s">
        <v>7</v>
      </c>
    </row>
    <row r="76">
      <c r="A76" s="5">
        <v>45052.0</v>
      </c>
      <c r="B76" s="6" t="s">
        <v>4</v>
      </c>
      <c r="C76" s="6" t="s">
        <v>86</v>
      </c>
      <c r="D76" s="2">
        <v>1200000.0</v>
      </c>
      <c r="E76" s="7"/>
      <c r="F76" s="2" t="s">
        <v>6</v>
      </c>
      <c r="G76" s="7">
        <v>1.8182174776E8</v>
      </c>
      <c r="H76" s="2">
        <v>1.8182174776E8</v>
      </c>
      <c r="I76" s="8" t="s">
        <v>11</v>
      </c>
    </row>
    <row r="77">
      <c r="A77" s="5">
        <v>45083.0</v>
      </c>
      <c r="B77" s="6" t="s">
        <v>55</v>
      </c>
      <c r="C77" s="6" t="s">
        <v>87</v>
      </c>
      <c r="D77" s="2">
        <v>105000.0</v>
      </c>
      <c r="E77" s="7"/>
      <c r="F77" s="2" t="s">
        <v>6</v>
      </c>
      <c r="G77" s="7">
        <v>1.8171674776E8</v>
      </c>
      <c r="H77" s="7"/>
      <c r="I77" s="8" t="s">
        <v>9</v>
      </c>
    </row>
    <row r="78">
      <c r="A78" s="5">
        <v>45083.0</v>
      </c>
      <c r="B78" s="6" t="s">
        <v>55</v>
      </c>
      <c r="C78" s="6" t="s">
        <v>88</v>
      </c>
      <c r="D78" s="2">
        <v>2500.0</v>
      </c>
      <c r="E78" s="7"/>
      <c r="F78" s="2" t="s">
        <v>6</v>
      </c>
      <c r="G78" s="7">
        <v>1.8171424776E8</v>
      </c>
      <c r="H78" s="7"/>
      <c r="I78" s="8" t="s">
        <v>9</v>
      </c>
    </row>
    <row r="79">
      <c r="A79" s="5">
        <v>45083.0</v>
      </c>
      <c r="B79" s="6" t="s">
        <v>4</v>
      </c>
      <c r="C79" s="6" t="s">
        <v>89</v>
      </c>
      <c r="D79" s="2">
        <v>5.064325E7</v>
      </c>
      <c r="E79" s="7"/>
      <c r="F79" s="2" t="s">
        <v>6</v>
      </c>
      <c r="G79" s="7">
        <v>1.3107099775999999E8</v>
      </c>
      <c r="H79" s="7"/>
      <c r="I79" s="8" t="s">
        <v>7</v>
      </c>
    </row>
    <row r="80">
      <c r="A80" s="5">
        <v>45083.0</v>
      </c>
      <c r="B80" s="6" t="s">
        <v>4</v>
      </c>
      <c r="C80" s="6" t="s">
        <v>90</v>
      </c>
      <c r="D80" s="2">
        <v>4.56069E7</v>
      </c>
      <c r="E80" s="7"/>
      <c r="F80" s="2" t="s">
        <v>6</v>
      </c>
      <c r="G80" s="7">
        <v>8.546409775999999E7</v>
      </c>
      <c r="H80" s="7"/>
      <c r="I80" s="8" t="s">
        <v>7</v>
      </c>
    </row>
    <row r="81">
      <c r="A81" s="5">
        <v>45083.0</v>
      </c>
      <c r="B81" s="6" t="s">
        <v>4</v>
      </c>
      <c r="C81" s="6" t="s">
        <v>91</v>
      </c>
      <c r="D81" s="2">
        <v>1100000.0</v>
      </c>
      <c r="E81" s="7"/>
      <c r="F81" s="2" t="s">
        <v>6</v>
      </c>
      <c r="G81" s="7">
        <v>8.436409775999999E7</v>
      </c>
      <c r="H81" s="7"/>
      <c r="I81" s="8" t="s">
        <v>7</v>
      </c>
    </row>
    <row r="82">
      <c r="A82" s="5">
        <v>45083.0</v>
      </c>
      <c r="B82" s="6" t="s">
        <v>12</v>
      </c>
      <c r="C82" s="6" t="s">
        <v>92</v>
      </c>
      <c r="D82" s="2"/>
      <c r="E82" s="2">
        <v>5.2399079E8</v>
      </c>
      <c r="F82" s="2" t="s">
        <v>3</v>
      </c>
      <c r="G82" s="7">
        <v>6.0835488776E8</v>
      </c>
      <c r="H82" s="2">
        <v>6.0835488776E8</v>
      </c>
      <c r="I82" s="4"/>
    </row>
    <row r="83">
      <c r="A83" s="5">
        <v>45083.0</v>
      </c>
      <c r="B83" s="6" t="s">
        <v>4</v>
      </c>
      <c r="C83" s="6" t="s">
        <v>93</v>
      </c>
      <c r="D83" s="2">
        <v>1.493226E8</v>
      </c>
      <c r="E83" s="7"/>
      <c r="F83" s="2" t="s">
        <v>6</v>
      </c>
      <c r="G83" s="7">
        <v>4.5903228776E8</v>
      </c>
      <c r="H83" s="2">
        <v>4.5903228776E8</v>
      </c>
      <c r="I83" s="8" t="s">
        <v>7</v>
      </c>
    </row>
    <row r="84">
      <c r="A84" s="5">
        <v>45083.0</v>
      </c>
      <c r="B84" s="6" t="s">
        <v>4</v>
      </c>
      <c r="C84" s="6" t="s">
        <v>94</v>
      </c>
      <c r="D84" s="2">
        <v>1.55064E8</v>
      </c>
      <c r="E84" s="7"/>
      <c r="F84" s="2" t="s">
        <v>6</v>
      </c>
      <c r="G84" s="7">
        <v>3.0396828776E8</v>
      </c>
      <c r="H84" s="7"/>
      <c r="I84" s="8" t="s">
        <v>7</v>
      </c>
    </row>
    <row r="85">
      <c r="A85" s="5">
        <v>45083.0</v>
      </c>
      <c r="B85" s="6" t="s">
        <v>4</v>
      </c>
      <c r="C85" s="6" t="s">
        <v>95</v>
      </c>
      <c r="D85" s="2">
        <v>6.087718E7</v>
      </c>
      <c r="E85" s="7"/>
      <c r="F85" s="2" t="s">
        <v>6</v>
      </c>
      <c r="G85" s="7">
        <v>2.4309110776E8</v>
      </c>
      <c r="H85" s="7"/>
      <c r="I85" s="8" t="s">
        <v>7</v>
      </c>
    </row>
    <row r="86">
      <c r="A86" s="5">
        <v>45083.0</v>
      </c>
      <c r="B86" s="6" t="s">
        <v>12</v>
      </c>
      <c r="C86" s="6" t="s">
        <v>96</v>
      </c>
      <c r="D86" s="2"/>
      <c r="E86" s="2">
        <v>1.2293727E8</v>
      </c>
      <c r="F86" s="2" t="s">
        <v>3</v>
      </c>
      <c r="G86" s="7">
        <v>3.6602837776E8</v>
      </c>
      <c r="H86" s="7"/>
      <c r="I86" s="4"/>
    </row>
    <row r="87">
      <c r="A87" s="5">
        <v>45083.0</v>
      </c>
      <c r="B87" s="6" t="s">
        <v>12</v>
      </c>
      <c r="C87" s="6" t="s">
        <v>97</v>
      </c>
      <c r="D87" s="2"/>
      <c r="E87" s="2">
        <v>400000.0</v>
      </c>
      <c r="F87" s="2" t="s">
        <v>3</v>
      </c>
      <c r="G87" s="7">
        <v>3.6642837776E8</v>
      </c>
      <c r="H87" s="7"/>
      <c r="I87" s="4"/>
    </row>
    <row r="88">
      <c r="A88" s="5">
        <v>45083.0</v>
      </c>
      <c r="B88" s="6" t="s">
        <v>12</v>
      </c>
      <c r="C88" s="6" t="s">
        <v>98</v>
      </c>
      <c r="D88" s="2"/>
      <c r="E88" s="2">
        <v>6.48108E7</v>
      </c>
      <c r="F88" s="2" t="s">
        <v>3</v>
      </c>
      <c r="G88" s="7">
        <v>4.3123917776E8</v>
      </c>
      <c r="H88" s="7"/>
      <c r="I88" s="4"/>
    </row>
    <row r="89">
      <c r="A89" s="5">
        <v>45083.0</v>
      </c>
      <c r="B89" s="6" t="s">
        <v>4</v>
      </c>
      <c r="C89" s="6" t="s">
        <v>99</v>
      </c>
      <c r="D89" s="2">
        <v>2.7125E8</v>
      </c>
      <c r="E89" s="7"/>
      <c r="F89" s="2" t="s">
        <v>6</v>
      </c>
      <c r="G89" s="7">
        <v>1.5998917776E8</v>
      </c>
      <c r="H89" s="7"/>
      <c r="I89" s="8" t="s">
        <v>7</v>
      </c>
    </row>
    <row r="90">
      <c r="A90" s="5">
        <v>45083.0</v>
      </c>
      <c r="B90" s="6" t="s">
        <v>4</v>
      </c>
      <c r="C90" s="6" t="s">
        <v>100</v>
      </c>
      <c r="D90" s="2">
        <v>8.12175E7</v>
      </c>
      <c r="E90" s="7"/>
      <c r="F90" s="2" t="s">
        <v>6</v>
      </c>
      <c r="G90" s="7">
        <v>7.877167775999999E7</v>
      </c>
      <c r="H90" s="7"/>
      <c r="I90" s="8" t="s">
        <v>7</v>
      </c>
    </row>
    <row r="91">
      <c r="A91" s="5">
        <v>45083.0</v>
      </c>
      <c r="B91" s="6" t="s">
        <v>4</v>
      </c>
      <c r="C91" s="6" t="s">
        <v>101</v>
      </c>
      <c r="D91" s="2">
        <v>3219600.0</v>
      </c>
      <c r="E91" s="7"/>
      <c r="F91" s="2" t="s">
        <v>6</v>
      </c>
      <c r="G91" s="7">
        <v>7.555207775999999E7</v>
      </c>
      <c r="H91" s="7"/>
      <c r="I91" s="8" t="s">
        <v>11</v>
      </c>
    </row>
    <row r="92">
      <c r="A92" s="5">
        <v>45083.0</v>
      </c>
      <c r="B92" s="6" t="s">
        <v>12</v>
      </c>
      <c r="C92" s="6" t="s">
        <v>102</v>
      </c>
      <c r="D92" s="2"/>
      <c r="E92" s="2">
        <v>2.3746556E8</v>
      </c>
      <c r="F92" s="2" t="s">
        <v>3</v>
      </c>
      <c r="G92" s="7">
        <v>3.1301763776E8</v>
      </c>
      <c r="H92" s="7"/>
      <c r="I92" s="4"/>
    </row>
    <row r="93">
      <c r="A93" s="5">
        <v>45083.0</v>
      </c>
      <c r="B93" s="6" t="s">
        <v>4</v>
      </c>
      <c r="C93" s="6" t="s">
        <v>103</v>
      </c>
      <c r="D93" s="2">
        <v>1.878144E8</v>
      </c>
      <c r="E93" s="7"/>
      <c r="F93" s="2" t="s">
        <v>6</v>
      </c>
      <c r="G93" s="7">
        <v>1.2520323775999999E8</v>
      </c>
      <c r="H93" s="7"/>
      <c r="I93" s="8" t="s">
        <v>7</v>
      </c>
    </row>
    <row r="94">
      <c r="A94" s="5">
        <v>45083.0</v>
      </c>
      <c r="B94" s="6" t="s">
        <v>4</v>
      </c>
      <c r="C94" s="6" t="s">
        <v>104</v>
      </c>
      <c r="D94" s="2">
        <v>7516470.0</v>
      </c>
      <c r="E94" s="7"/>
      <c r="F94" s="2" t="s">
        <v>6</v>
      </c>
      <c r="G94" s="7">
        <v>1.1768676775999999E8</v>
      </c>
      <c r="H94" s="2">
        <v>1.1768676776E8</v>
      </c>
      <c r="I94" s="8" t="s">
        <v>11</v>
      </c>
    </row>
    <row r="95">
      <c r="A95" s="5">
        <v>45083.0</v>
      </c>
      <c r="B95" s="6" t="s">
        <v>4</v>
      </c>
      <c r="C95" s="6" t="s">
        <v>105</v>
      </c>
      <c r="D95" s="2">
        <v>1.4198E7</v>
      </c>
      <c r="E95" s="7"/>
      <c r="F95" s="2" t="s">
        <v>6</v>
      </c>
      <c r="G95" s="7">
        <v>1.0348876775999999E8</v>
      </c>
      <c r="H95" s="2">
        <v>1.0348876776E8</v>
      </c>
      <c r="I95" s="8" t="s">
        <v>11</v>
      </c>
    </row>
    <row r="96">
      <c r="A96" s="5">
        <v>45113.0</v>
      </c>
      <c r="B96" s="6" t="s">
        <v>4</v>
      </c>
      <c r="C96" s="6" t="s">
        <v>106</v>
      </c>
      <c r="D96" s="2">
        <v>6167000.0</v>
      </c>
      <c r="E96" s="7"/>
      <c r="F96" s="2" t="s">
        <v>6</v>
      </c>
      <c r="G96" s="7">
        <v>9.732176775999999E7</v>
      </c>
      <c r="H96" s="7"/>
      <c r="I96" s="8" t="s">
        <v>11</v>
      </c>
    </row>
    <row r="97">
      <c r="A97" s="5">
        <v>45113.0</v>
      </c>
      <c r="B97" s="6" t="s">
        <v>4</v>
      </c>
      <c r="C97" s="6" t="s">
        <v>107</v>
      </c>
      <c r="D97" s="2">
        <v>1420000.0</v>
      </c>
      <c r="E97" s="7"/>
      <c r="F97" s="2" t="s">
        <v>6</v>
      </c>
      <c r="G97" s="7">
        <v>9.590176775999999E7</v>
      </c>
      <c r="H97" s="7"/>
      <c r="I97" s="8" t="s">
        <v>37</v>
      </c>
    </row>
    <row r="98">
      <c r="A98" s="5">
        <v>45113.0</v>
      </c>
      <c r="B98" s="6" t="s">
        <v>4</v>
      </c>
      <c r="C98" s="6" t="s">
        <v>108</v>
      </c>
      <c r="D98" s="2">
        <v>1500000.0</v>
      </c>
      <c r="E98" s="7"/>
      <c r="F98" s="2" t="s">
        <v>6</v>
      </c>
      <c r="G98" s="7">
        <v>9.440176775999999E7</v>
      </c>
      <c r="H98" s="7"/>
      <c r="I98" s="8" t="s">
        <v>11</v>
      </c>
    </row>
    <row r="99">
      <c r="A99" s="5">
        <v>45113.0</v>
      </c>
      <c r="B99" s="6" t="s">
        <v>55</v>
      </c>
      <c r="C99" s="6" t="s">
        <v>109</v>
      </c>
      <c r="D99" s="2">
        <v>80000.0</v>
      </c>
      <c r="E99" s="7"/>
      <c r="F99" s="2" t="s">
        <v>6</v>
      </c>
      <c r="G99" s="7">
        <v>9.432176775999999E7</v>
      </c>
      <c r="H99" s="7"/>
      <c r="I99" s="8" t="s">
        <v>9</v>
      </c>
    </row>
    <row r="100">
      <c r="A100" s="5">
        <v>45113.0</v>
      </c>
      <c r="B100" s="6" t="s">
        <v>55</v>
      </c>
      <c r="C100" s="6" t="s">
        <v>110</v>
      </c>
      <c r="D100" s="2">
        <v>2500.0</v>
      </c>
      <c r="E100" s="7"/>
      <c r="F100" s="2" t="s">
        <v>6</v>
      </c>
      <c r="G100" s="7">
        <v>9.431926775999999E7</v>
      </c>
      <c r="H100" s="7"/>
      <c r="I100" s="8" t="s">
        <v>9</v>
      </c>
    </row>
    <row r="101">
      <c r="A101" s="5">
        <v>45113.0</v>
      </c>
      <c r="B101" s="6" t="s">
        <v>12</v>
      </c>
      <c r="C101" s="6" t="s">
        <v>111</v>
      </c>
      <c r="D101" s="2"/>
      <c r="E101" s="2">
        <v>3.3723024E8</v>
      </c>
      <c r="F101" s="2" t="s">
        <v>3</v>
      </c>
      <c r="G101" s="7">
        <v>4.3154950776E8</v>
      </c>
      <c r="H101" s="7"/>
      <c r="I101" s="4"/>
    </row>
    <row r="102">
      <c r="A102" s="5">
        <v>45113.0</v>
      </c>
      <c r="B102" s="6" t="s">
        <v>4</v>
      </c>
      <c r="C102" s="6" t="s">
        <v>112</v>
      </c>
      <c r="D102" s="2">
        <v>3.797344E8</v>
      </c>
      <c r="E102" s="7"/>
      <c r="F102" s="2" t="s">
        <v>6</v>
      </c>
      <c r="G102" s="7">
        <v>5.181510775999999E7</v>
      </c>
      <c r="H102" s="7"/>
      <c r="I102" s="8" t="s">
        <v>7</v>
      </c>
    </row>
    <row r="103">
      <c r="A103" s="5">
        <v>45113.0</v>
      </c>
      <c r="B103" s="6" t="s">
        <v>4</v>
      </c>
      <c r="C103" s="6" t="s">
        <v>113</v>
      </c>
      <c r="D103" s="2">
        <v>60000.0</v>
      </c>
      <c r="E103" s="7"/>
      <c r="F103" s="2" t="s">
        <v>6</v>
      </c>
      <c r="G103" s="7">
        <v>5.175510775999999E7</v>
      </c>
      <c r="H103" s="7"/>
      <c r="I103" s="8" t="s">
        <v>9</v>
      </c>
    </row>
    <row r="104">
      <c r="A104" s="5">
        <v>45113.0</v>
      </c>
      <c r="B104" s="6" t="s">
        <v>12</v>
      </c>
      <c r="C104" s="6" t="s">
        <v>114</v>
      </c>
      <c r="D104" s="2"/>
      <c r="E104" s="2">
        <v>2.4925905E8</v>
      </c>
      <c r="F104" s="2" t="s">
        <v>3</v>
      </c>
      <c r="G104" s="7">
        <v>3.0101415776E8</v>
      </c>
      <c r="H104" s="7"/>
      <c r="I104" s="4"/>
    </row>
    <row r="105">
      <c r="A105" s="5">
        <v>45113.0</v>
      </c>
      <c r="B105" s="6" t="s">
        <v>4</v>
      </c>
      <c r="C105" s="6" t="s">
        <v>115</v>
      </c>
      <c r="D105" s="2">
        <v>700000.0</v>
      </c>
      <c r="E105" s="7"/>
      <c r="F105" s="2" t="s">
        <v>6</v>
      </c>
      <c r="G105" s="7">
        <v>3.0031415776E8</v>
      </c>
      <c r="H105" s="7"/>
      <c r="I105" s="8" t="s">
        <v>11</v>
      </c>
    </row>
    <row r="106">
      <c r="A106" s="5">
        <v>45113.0</v>
      </c>
      <c r="B106" s="6" t="s">
        <v>12</v>
      </c>
      <c r="C106" s="6" t="s">
        <v>116</v>
      </c>
      <c r="D106" s="2"/>
      <c r="E106" s="2">
        <v>1000000.0</v>
      </c>
      <c r="F106" s="2" t="s">
        <v>3</v>
      </c>
      <c r="G106" s="7">
        <v>3.0131415776E8</v>
      </c>
      <c r="H106" s="7"/>
      <c r="I106" s="4"/>
    </row>
    <row r="107">
      <c r="A107" s="5">
        <v>45113.0</v>
      </c>
      <c r="B107" s="6" t="s">
        <v>12</v>
      </c>
      <c r="C107" s="6" t="s">
        <v>117</v>
      </c>
      <c r="D107" s="2"/>
      <c r="E107" s="2">
        <v>1.0E8</v>
      </c>
      <c r="F107" s="2" t="s">
        <v>3</v>
      </c>
      <c r="G107" s="7">
        <v>4.0131415776E8</v>
      </c>
      <c r="H107" s="2">
        <v>4.0131415776E8</v>
      </c>
      <c r="I107" s="4"/>
    </row>
    <row r="108">
      <c r="A108" s="5">
        <v>45113.0</v>
      </c>
      <c r="B108" s="6" t="s">
        <v>4</v>
      </c>
      <c r="C108" s="6" t="s">
        <v>118</v>
      </c>
      <c r="D108" s="2">
        <v>1.4169025E8</v>
      </c>
      <c r="E108" s="7"/>
      <c r="F108" s="2" t="s">
        <v>6</v>
      </c>
      <c r="G108" s="7">
        <v>2.5962390776E8</v>
      </c>
      <c r="H108" s="2">
        <v>2.5962390776E8</v>
      </c>
      <c r="I108" s="8" t="s">
        <v>7</v>
      </c>
    </row>
    <row r="109">
      <c r="A109" s="5">
        <v>45113.0</v>
      </c>
      <c r="B109" s="6" t="s">
        <v>4</v>
      </c>
      <c r="C109" s="6" t="s">
        <v>119</v>
      </c>
      <c r="D109" s="2">
        <v>2.1735E8</v>
      </c>
      <c r="E109" s="7"/>
      <c r="F109" s="2" t="s">
        <v>6</v>
      </c>
      <c r="G109" s="7">
        <v>4.227390775999999E7</v>
      </c>
      <c r="H109" s="7"/>
      <c r="I109" s="8" t="s">
        <v>7</v>
      </c>
    </row>
    <row r="110">
      <c r="A110" s="5">
        <v>45113.0</v>
      </c>
      <c r="B110" s="6" t="s">
        <v>12</v>
      </c>
      <c r="C110" s="6" t="s">
        <v>120</v>
      </c>
      <c r="D110" s="2"/>
      <c r="E110" s="2">
        <v>2.6878863E8</v>
      </c>
      <c r="F110" s="2" t="s">
        <v>3</v>
      </c>
      <c r="G110" s="7">
        <v>3.1106253776E8</v>
      </c>
      <c r="H110" s="7"/>
      <c r="I110" s="4"/>
    </row>
    <row r="111">
      <c r="A111" s="5">
        <v>45113.0</v>
      </c>
      <c r="B111" s="6" t="s">
        <v>55</v>
      </c>
      <c r="C111" s="6" t="s">
        <v>121</v>
      </c>
      <c r="D111" s="2">
        <v>1000000.0</v>
      </c>
      <c r="E111" s="7"/>
      <c r="F111" s="2" t="s">
        <v>6</v>
      </c>
      <c r="G111" s="7">
        <v>3.1006253776E8</v>
      </c>
      <c r="H111" s="7"/>
      <c r="I111" s="8" t="s">
        <v>9</v>
      </c>
    </row>
    <row r="112">
      <c r="A112" s="5">
        <v>45113.0</v>
      </c>
      <c r="B112" s="6" t="s">
        <v>55</v>
      </c>
      <c r="C112" s="6" t="s">
        <v>122</v>
      </c>
      <c r="D112" s="2">
        <v>2500.0</v>
      </c>
      <c r="E112" s="7"/>
      <c r="F112" s="2" t="s">
        <v>6</v>
      </c>
      <c r="G112" s="7">
        <v>3.1006003776E8</v>
      </c>
      <c r="H112" s="7"/>
      <c r="I112" s="8" t="s">
        <v>9</v>
      </c>
    </row>
    <row r="113">
      <c r="A113" s="5">
        <v>45113.0</v>
      </c>
      <c r="B113" s="6" t="s">
        <v>4</v>
      </c>
      <c r="C113" s="6" t="s">
        <v>123</v>
      </c>
      <c r="D113" s="2">
        <v>1000000.0</v>
      </c>
      <c r="E113" s="7"/>
      <c r="F113" s="2" t="s">
        <v>6</v>
      </c>
      <c r="G113" s="7">
        <v>3.0906003776E8</v>
      </c>
      <c r="H113" s="7"/>
      <c r="I113" s="8" t="s">
        <v>11</v>
      </c>
    </row>
    <row r="114">
      <c r="A114" s="5">
        <v>45113.0</v>
      </c>
      <c r="B114" s="6" t="s">
        <v>41</v>
      </c>
      <c r="C114" s="6" t="s">
        <v>124</v>
      </c>
      <c r="D114" s="2">
        <v>566800.0</v>
      </c>
      <c r="E114" s="7"/>
      <c r="F114" s="7"/>
      <c r="G114" s="7">
        <v>3.0849323776E8</v>
      </c>
      <c r="H114" s="2">
        <v>3.0849323776E8</v>
      </c>
      <c r="I114" s="8" t="s">
        <v>9</v>
      </c>
    </row>
    <row r="115">
      <c r="A115" s="5">
        <v>45144.0</v>
      </c>
      <c r="B115" s="6" t="s">
        <v>125</v>
      </c>
      <c r="C115" s="6" t="s">
        <v>126</v>
      </c>
      <c r="D115" s="2">
        <v>6.84012E7</v>
      </c>
      <c r="E115" s="7"/>
      <c r="F115" s="2" t="s">
        <v>6</v>
      </c>
      <c r="G115" s="7">
        <v>2.4009203776E8</v>
      </c>
      <c r="H115" s="7"/>
      <c r="I115" s="8" t="s">
        <v>7</v>
      </c>
    </row>
    <row r="116">
      <c r="A116" s="5">
        <v>45144.0</v>
      </c>
      <c r="B116" s="6" t="s">
        <v>125</v>
      </c>
      <c r="C116" s="6" t="s">
        <v>127</v>
      </c>
      <c r="D116" s="2">
        <v>651440.0</v>
      </c>
      <c r="E116" s="7"/>
      <c r="F116" s="2" t="s">
        <v>6</v>
      </c>
      <c r="G116" s="7">
        <v>2.3944059776E8</v>
      </c>
      <c r="H116" s="7"/>
      <c r="I116" s="8" t="s">
        <v>37</v>
      </c>
    </row>
    <row r="117">
      <c r="A117" s="5">
        <v>45144.0</v>
      </c>
      <c r="B117" s="6" t="s">
        <v>125</v>
      </c>
      <c r="C117" s="6" t="s">
        <v>128</v>
      </c>
      <c r="D117" s="2">
        <v>1.4555E8</v>
      </c>
      <c r="E117" s="7"/>
      <c r="F117" s="2" t="s">
        <v>6</v>
      </c>
      <c r="G117" s="7">
        <v>9.389059775999999E7</v>
      </c>
      <c r="H117" s="7"/>
      <c r="I117" s="8" t="s">
        <v>7</v>
      </c>
    </row>
    <row r="118">
      <c r="A118" s="5">
        <v>45144.0</v>
      </c>
      <c r="B118" s="6" t="s">
        <v>4</v>
      </c>
      <c r="C118" s="6" t="s">
        <v>129</v>
      </c>
      <c r="D118" s="2">
        <v>65000.0</v>
      </c>
      <c r="E118" s="7"/>
      <c r="F118" s="2" t="s">
        <v>6</v>
      </c>
      <c r="G118" s="7">
        <v>9.382559775999999E7</v>
      </c>
      <c r="H118" s="7"/>
      <c r="I118" s="8" t="s">
        <v>9</v>
      </c>
    </row>
    <row r="119">
      <c r="A119" s="5">
        <v>45144.0</v>
      </c>
      <c r="B119" s="6" t="s">
        <v>4</v>
      </c>
      <c r="C119" s="6" t="s">
        <v>130</v>
      </c>
      <c r="D119" s="2">
        <v>5.33952E7</v>
      </c>
      <c r="E119" s="7"/>
      <c r="F119" s="2" t="s">
        <v>6</v>
      </c>
      <c r="G119" s="7">
        <v>4.043039775999999E7</v>
      </c>
      <c r="H119" s="7"/>
      <c r="I119" s="8" t="s">
        <v>7</v>
      </c>
    </row>
    <row r="120">
      <c r="A120" s="5">
        <v>45144.0</v>
      </c>
      <c r="B120" s="6" t="s">
        <v>12</v>
      </c>
      <c r="C120" s="6" t="s">
        <v>131</v>
      </c>
      <c r="D120" s="2"/>
      <c r="E120" s="2">
        <v>7.188618E7</v>
      </c>
      <c r="F120" s="2" t="s">
        <v>3</v>
      </c>
      <c r="G120" s="7">
        <v>1.1231657775999999E8</v>
      </c>
      <c r="H120" s="7"/>
      <c r="I120" s="4"/>
    </row>
    <row r="121">
      <c r="A121" s="5">
        <v>45144.0</v>
      </c>
      <c r="B121" s="6" t="s">
        <v>12</v>
      </c>
      <c r="C121" s="6" t="s">
        <v>132</v>
      </c>
      <c r="D121" s="2"/>
      <c r="E121" s="2">
        <v>3.85914545E8</v>
      </c>
      <c r="F121" s="2" t="s">
        <v>3</v>
      </c>
      <c r="G121" s="7">
        <v>4.9823112276E8</v>
      </c>
      <c r="H121" s="2">
        <v>4.9823112276E8</v>
      </c>
      <c r="I121" s="4"/>
    </row>
    <row r="122">
      <c r="A122" s="5">
        <v>45144.0</v>
      </c>
      <c r="B122" s="6" t="s">
        <v>133</v>
      </c>
      <c r="C122" s="6" t="s">
        <v>134</v>
      </c>
      <c r="D122" s="2">
        <v>162640.0</v>
      </c>
      <c r="E122" s="7"/>
      <c r="F122" s="7"/>
      <c r="G122" s="7">
        <v>4.9806848276E8</v>
      </c>
      <c r="H122" s="2">
        <v>4.9806848276E8</v>
      </c>
      <c r="I122" s="8" t="s">
        <v>9</v>
      </c>
    </row>
    <row r="123">
      <c r="A123" s="5">
        <v>45144.0</v>
      </c>
      <c r="B123" s="6" t="s">
        <v>4</v>
      </c>
      <c r="C123" s="6" t="s">
        <v>135</v>
      </c>
      <c r="D123" s="2">
        <v>1.411834E8</v>
      </c>
      <c r="E123" s="7"/>
      <c r="F123" s="2" t="s">
        <v>6</v>
      </c>
      <c r="G123" s="7">
        <v>3.5688508276E8</v>
      </c>
      <c r="H123" s="7"/>
      <c r="I123" s="8" t="s">
        <v>7</v>
      </c>
    </row>
    <row r="124">
      <c r="A124" s="5">
        <v>45144.0</v>
      </c>
      <c r="B124" s="6" t="s">
        <v>4</v>
      </c>
      <c r="C124" s="6" t="s">
        <v>136</v>
      </c>
      <c r="D124" s="2">
        <v>7.03185E7</v>
      </c>
      <c r="E124" s="7"/>
      <c r="F124" s="2" t="s">
        <v>6</v>
      </c>
      <c r="G124" s="7">
        <v>2.8656658276E8</v>
      </c>
      <c r="H124" s="7"/>
      <c r="I124" s="8" t="s">
        <v>7</v>
      </c>
    </row>
    <row r="125">
      <c r="A125" s="5">
        <v>45144.0</v>
      </c>
      <c r="B125" s="6" t="s">
        <v>12</v>
      </c>
      <c r="C125" s="6" t="s">
        <v>137</v>
      </c>
      <c r="D125" s="2"/>
      <c r="E125" s="2">
        <v>1.9091403E8</v>
      </c>
      <c r="F125" s="2" t="s">
        <v>3</v>
      </c>
      <c r="G125" s="7">
        <v>4.7748061276E8</v>
      </c>
      <c r="H125" s="7"/>
      <c r="I125" s="4"/>
    </row>
    <row r="126">
      <c r="A126" s="5">
        <v>45144.0</v>
      </c>
      <c r="B126" s="6" t="s">
        <v>4</v>
      </c>
      <c r="C126" s="6" t="s">
        <v>138</v>
      </c>
      <c r="D126" s="2">
        <v>5104400.0</v>
      </c>
      <c r="E126" s="7"/>
      <c r="F126" s="2" t="s">
        <v>6</v>
      </c>
      <c r="G126" s="7">
        <v>4.7237621276E8</v>
      </c>
      <c r="H126" s="7"/>
      <c r="I126" s="8" t="s">
        <v>11</v>
      </c>
    </row>
    <row r="127">
      <c r="A127" s="5">
        <v>45144.0</v>
      </c>
      <c r="B127" s="6" t="s">
        <v>12</v>
      </c>
      <c r="C127" s="6" t="s">
        <v>139</v>
      </c>
      <c r="D127" s="2"/>
      <c r="E127" s="2">
        <v>1.0E8</v>
      </c>
      <c r="F127" s="2" t="s">
        <v>3</v>
      </c>
      <c r="G127" s="7">
        <v>5.7237621276E8</v>
      </c>
      <c r="H127" s="7"/>
      <c r="I127" s="4"/>
    </row>
    <row r="128">
      <c r="A128" s="5">
        <v>45144.0</v>
      </c>
      <c r="B128" s="6" t="s">
        <v>12</v>
      </c>
      <c r="C128" s="6" t="s">
        <v>140</v>
      </c>
      <c r="D128" s="2"/>
      <c r="E128" s="2">
        <v>780000.0</v>
      </c>
      <c r="F128" s="2" t="s">
        <v>3</v>
      </c>
      <c r="G128" s="7">
        <v>5.7315621276E8</v>
      </c>
      <c r="H128" s="7"/>
      <c r="I128" s="4"/>
    </row>
    <row r="129">
      <c r="A129" s="5">
        <v>45144.0</v>
      </c>
      <c r="B129" s="6" t="s">
        <v>12</v>
      </c>
      <c r="C129" s="6" t="s">
        <v>141</v>
      </c>
      <c r="D129" s="2"/>
      <c r="E129" s="2">
        <v>8.398E7</v>
      </c>
      <c r="F129" s="2" t="s">
        <v>3</v>
      </c>
      <c r="G129" s="7">
        <v>6.5713621276E8</v>
      </c>
      <c r="H129" s="7"/>
      <c r="I129" s="4"/>
    </row>
    <row r="130">
      <c r="A130" s="5">
        <v>45144.0</v>
      </c>
      <c r="B130" s="6" t="s">
        <v>4</v>
      </c>
      <c r="C130" s="6" t="s">
        <v>142</v>
      </c>
      <c r="D130" s="2">
        <v>4.0489E8</v>
      </c>
      <c r="E130" s="7"/>
      <c r="F130" s="2" t="s">
        <v>6</v>
      </c>
      <c r="G130" s="7">
        <v>2.5224621276E8</v>
      </c>
      <c r="H130" s="7"/>
      <c r="I130" s="8" t="s">
        <v>7</v>
      </c>
    </row>
    <row r="131">
      <c r="A131" s="5">
        <v>45144.0</v>
      </c>
      <c r="B131" s="6" t="s">
        <v>12</v>
      </c>
      <c r="C131" s="6" t="s">
        <v>143</v>
      </c>
      <c r="D131" s="2"/>
      <c r="E131" s="2">
        <v>1.3054932E8</v>
      </c>
      <c r="F131" s="2" t="s">
        <v>3</v>
      </c>
      <c r="G131" s="7">
        <v>3.8279553276E8</v>
      </c>
      <c r="H131" s="7"/>
      <c r="I131" s="4"/>
    </row>
    <row r="132">
      <c r="A132" s="5">
        <v>45144.0</v>
      </c>
      <c r="B132" s="6" t="s">
        <v>4</v>
      </c>
      <c r="C132" s="6" t="s">
        <v>144</v>
      </c>
      <c r="D132" s="2">
        <v>1216760.0</v>
      </c>
      <c r="E132" s="7"/>
      <c r="F132" s="2" t="s">
        <v>6</v>
      </c>
      <c r="G132" s="7">
        <v>3.8157877276E8</v>
      </c>
      <c r="H132" s="2">
        <v>3.8157877276E8</v>
      </c>
      <c r="I132" s="8" t="s">
        <v>11</v>
      </c>
    </row>
    <row r="133">
      <c r="A133" s="5">
        <v>45175.0</v>
      </c>
      <c r="B133" s="6" t="s">
        <v>145</v>
      </c>
      <c r="C133" s="6" t="s">
        <v>146</v>
      </c>
      <c r="D133" s="2">
        <v>5.97055E7</v>
      </c>
      <c r="E133" s="7"/>
      <c r="F133" s="2" t="s">
        <v>6</v>
      </c>
      <c r="G133" s="7">
        <v>3.2187327276E8</v>
      </c>
      <c r="H133" s="7"/>
      <c r="I133" s="8" t="s">
        <v>7</v>
      </c>
    </row>
    <row r="134">
      <c r="A134" s="5">
        <v>45175.0</v>
      </c>
      <c r="B134" s="6" t="s">
        <v>147</v>
      </c>
      <c r="C134" s="6" t="s">
        <v>148</v>
      </c>
      <c r="D134" s="2">
        <v>300000.0</v>
      </c>
      <c r="E134" s="7"/>
      <c r="F134" s="2" t="s">
        <v>6</v>
      </c>
      <c r="G134" s="7">
        <v>3.2157327276E8</v>
      </c>
      <c r="H134" s="2">
        <v>3.2157327276E8</v>
      </c>
      <c r="I134" s="8" t="s">
        <v>37</v>
      </c>
    </row>
    <row r="135">
      <c r="A135" s="5">
        <v>45175.0</v>
      </c>
      <c r="B135" s="6" t="s">
        <v>147</v>
      </c>
      <c r="C135" s="6" t="s">
        <v>149</v>
      </c>
      <c r="D135" s="2">
        <v>2500.0</v>
      </c>
      <c r="E135" s="7"/>
      <c r="F135" s="2" t="s">
        <v>6</v>
      </c>
      <c r="G135" s="7">
        <v>3.2157077276E8</v>
      </c>
      <c r="H135" s="2">
        <v>3.2157077276E8</v>
      </c>
      <c r="I135" s="8" t="s">
        <v>37</v>
      </c>
    </row>
    <row r="136">
      <c r="A136" s="5">
        <v>45175.0</v>
      </c>
      <c r="B136" s="6" t="s">
        <v>145</v>
      </c>
      <c r="C136" s="6" t="s">
        <v>150</v>
      </c>
      <c r="D136" s="2">
        <v>5.27688E7</v>
      </c>
      <c r="E136" s="7"/>
      <c r="F136" s="2" t="s">
        <v>6</v>
      </c>
      <c r="G136" s="7">
        <v>2.6880197276E8</v>
      </c>
      <c r="H136" s="7"/>
      <c r="I136" s="8" t="s">
        <v>7</v>
      </c>
    </row>
    <row r="137">
      <c r="A137" s="5">
        <v>45175.0</v>
      </c>
      <c r="B137" s="6" t="s">
        <v>145</v>
      </c>
      <c r="C137" s="6" t="s">
        <v>151</v>
      </c>
      <c r="D137" s="2">
        <v>1.470378E8</v>
      </c>
      <c r="E137" s="7"/>
      <c r="F137" s="2" t="s">
        <v>6</v>
      </c>
      <c r="G137" s="7">
        <v>1.2176417275999999E8</v>
      </c>
      <c r="H137" s="7"/>
      <c r="I137" s="8" t="s">
        <v>7</v>
      </c>
    </row>
    <row r="138">
      <c r="A138" s="5">
        <v>45175.0</v>
      </c>
      <c r="B138" s="6" t="s">
        <v>145</v>
      </c>
      <c r="C138" s="6" t="s">
        <v>152</v>
      </c>
      <c r="D138" s="2">
        <v>7.56E7</v>
      </c>
      <c r="E138" s="7"/>
      <c r="F138" s="2" t="s">
        <v>6</v>
      </c>
      <c r="G138" s="7">
        <v>4.616417275999999E7</v>
      </c>
      <c r="H138" s="7"/>
      <c r="I138" s="8" t="s">
        <v>7</v>
      </c>
    </row>
    <row r="139">
      <c r="A139" s="5">
        <v>45175.0</v>
      </c>
      <c r="B139" s="6" t="s">
        <v>145</v>
      </c>
      <c r="C139" s="6" t="s">
        <v>153</v>
      </c>
      <c r="D139" s="2">
        <v>4.0E7</v>
      </c>
      <c r="E139" s="7"/>
      <c r="F139" s="2" t="s">
        <v>6</v>
      </c>
      <c r="G139" s="7">
        <v>6164172.75999999</v>
      </c>
      <c r="H139" s="7"/>
      <c r="I139" s="8" t="s">
        <v>7</v>
      </c>
    </row>
    <row r="140">
      <c r="A140" s="5">
        <v>45175.0</v>
      </c>
      <c r="B140" s="6" t="s">
        <v>147</v>
      </c>
      <c r="C140" s="6" t="s">
        <v>154</v>
      </c>
      <c r="D140" s="2">
        <v>2700000.0</v>
      </c>
      <c r="E140" s="7"/>
      <c r="F140" s="2" t="s">
        <v>6</v>
      </c>
      <c r="G140" s="7">
        <v>3464172.7599999905</v>
      </c>
      <c r="H140" s="7"/>
      <c r="I140" s="8" t="s">
        <v>11</v>
      </c>
    </row>
    <row r="141">
      <c r="A141" s="5">
        <v>45175.0</v>
      </c>
      <c r="B141" s="6" t="s">
        <v>147</v>
      </c>
      <c r="C141" s="6" t="s">
        <v>155</v>
      </c>
      <c r="D141" s="2">
        <v>2500.0</v>
      </c>
      <c r="E141" s="7"/>
      <c r="F141" s="2" t="s">
        <v>6</v>
      </c>
      <c r="G141" s="7">
        <v>3461672.7599999905</v>
      </c>
      <c r="H141" s="7"/>
      <c r="I141" s="8" t="s">
        <v>11</v>
      </c>
    </row>
    <row r="142">
      <c r="A142" s="5">
        <v>45175.0</v>
      </c>
      <c r="B142" s="6" t="s">
        <v>145</v>
      </c>
      <c r="C142" s="6" t="s">
        <v>156</v>
      </c>
      <c r="D142" s="2">
        <v>760000.0</v>
      </c>
      <c r="E142" s="7"/>
      <c r="F142" s="2" t="s">
        <v>6</v>
      </c>
      <c r="G142" s="7">
        <v>2701672.7599999905</v>
      </c>
      <c r="H142" s="7"/>
      <c r="I142" s="8" t="s">
        <v>37</v>
      </c>
    </row>
    <row r="143">
      <c r="A143" s="5">
        <v>45175.0</v>
      </c>
      <c r="B143" s="6" t="s">
        <v>157</v>
      </c>
      <c r="C143" s="6" t="s">
        <v>158</v>
      </c>
      <c r="D143" s="2"/>
      <c r="E143" s="2">
        <v>3.0E7</v>
      </c>
      <c r="F143" s="2" t="s">
        <v>3</v>
      </c>
      <c r="G143" s="7">
        <v>3.270167275999999E7</v>
      </c>
      <c r="H143" s="7"/>
      <c r="I143" s="4"/>
    </row>
    <row r="144">
      <c r="A144" s="5">
        <v>45175.0</v>
      </c>
      <c r="B144" s="6" t="s">
        <v>12</v>
      </c>
      <c r="C144" s="6" t="s">
        <v>159</v>
      </c>
      <c r="D144" s="2"/>
      <c r="E144" s="2">
        <v>5.0596488E7</v>
      </c>
      <c r="F144" s="2" t="s">
        <v>3</v>
      </c>
      <c r="G144" s="7">
        <v>8.329816075999999E7</v>
      </c>
      <c r="H144" s="7"/>
      <c r="I144" s="4"/>
    </row>
    <row r="145">
      <c r="A145" s="5">
        <v>45175.0</v>
      </c>
      <c r="B145" s="6" t="s">
        <v>4</v>
      </c>
      <c r="C145" s="6" t="s">
        <v>160</v>
      </c>
      <c r="D145" s="2">
        <v>8.094E7</v>
      </c>
      <c r="E145" s="7"/>
      <c r="F145" s="2" t="s">
        <v>6</v>
      </c>
      <c r="G145" s="7">
        <v>2358160.7599999905</v>
      </c>
      <c r="H145" s="7"/>
      <c r="I145" s="8" t="s">
        <v>7</v>
      </c>
    </row>
    <row r="146">
      <c r="A146" s="5">
        <v>45175.0</v>
      </c>
      <c r="B146" s="6" t="s">
        <v>4</v>
      </c>
      <c r="C146" s="6" t="s">
        <v>161</v>
      </c>
      <c r="D146" s="2">
        <v>65700.0</v>
      </c>
      <c r="E146" s="7"/>
      <c r="F146" s="2" t="s">
        <v>6</v>
      </c>
      <c r="G146" s="7">
        <v>2292460.7599999905</v>
      </c>
      <c r="H146" s="2">
        <v>2292460.76</v>
      </c>
      <c r="I146" s="8" t="s">
        <v>9</v>
      </c>
    </row>
    <row r="147">
      <c r="A147" s="5">
        <v>45175.0</v>
      </c>
      <c r="B147" s="6" t="s">
        <v>12</v>
      </c>
      <c r="C147" s="6" t="s">
        <v>162</v>
      </c>
      <c r="D147" s="2"/>
      <c r="E147" s="2">
        <v>2.5194E8</v>
      </c>
      <c r="F147" s="2" t="s">
        <v>3</v>
      </c>
      <c r="G147" s="7">
        <v>2.5423246076E8</v>
      </c>
      <c r="H147" s="2">
        <v>2.5423246076E8</v>
      </c>
      <c r="I147" s="4"/>
    </row>
    <row r="148">
      <c r="A148" s="5">
        <v>45175.0</v>
      </c>
      <c r="B148" s="6" t="s">
        <v>4</v>
      </c>
      <c r="C148" s="6" t="s">
        <v>163</v>
      </c>
      <c r="D148" s="2">
        <v>2017000.0</v>
      </c>
      <c r="E148" s="7"/>
      <c r="F148" s="2" t="s">
        <v>6</v>
      </c>
      <c r="G148" s="7">
        <v>2.5221546076E8</v>
      </c>
      <c r="H148" s="7"/>
      <c r="I148" s="8" t="s">
        <v>11</v>
      </c>
    </row>
    <row r="149">
      <c r="A149" s="5">
        <v>45175.0</v>
      </c>
      <c r="B149" s="6" t="s">
        <v>4</v>
      </c>
      <c r="C149" s="6" t="s">
        <v>164</v>
      </c>
      <c r="D149" s="2">
        <v>1710700.0</v>
      </c>
      <c r="E149" s="7"/>
      <c r="F149" s="2" t="s">
        <v>6</v>
      </c>
      <c r="G149" s="7">
        <v>2.5050476076E8</v>
      </c>
      <c r="H149" s="7"/>
      <c r="I149" s="8" t="s">
        <v>11</v>
      </c>
    </row>
    <row r="150">
      <c r="A150" s="5">
        <v>45175.0</v>
      </c>
      <c r="B150" s="6" t="s">
        <v>4</v>
      </c>
      <c r="C150" s="6" t="s">
        <v>165</v>
      </c>
      <c r="D150" s="2">
        <v>8.17E7</v>
      </c>
      <c r="E150" s="7"/>
      <c r="F150" s="2" t="s">
        <v>6</v>
      </c>
      <c r="G150" s="7">
        <v>1.6880476076E8</v>
      </c>
      <c r="H150" s="7"/>
      <c r="I150" s="8" t="s">
        <v>7</v>
      </c>
    </row>
    <row r="151">
      <c r="A151" s="5">
        <v>45175.0</v>
      </c>
      <c r="B151" s="6" t="s">
        <v>12</v>
      </c>
      <c r="C151" s="6" t="s">
        <v>166</v>
      </c>
      <c r="D151" s="2"/>
      <c r="E151" s="2">
        <v>3.987885E8</v>
      </c>
      <c r="F151" s="2" t="s">
        <v>3</v>
      </c>
      <c r="G151" s="7">
        <v>5.6759326076E8</v>
      </c>
      <c r="H151" s="7"/>
      <c r="I151" s="4"/>
    </row>
    <row r="152">
      <c r="A152" s="5">
        <v>45175.0</v>
      </c>
      <c r="B152" s="6" t="s">
        <v>4</v>
      </c>
      <c r="C152" s="6" t="s">
        <v>167</v>
      </c>
      <c r="D152" s="2">
        <v>1.567551E8</v>
      </c>
      <c r="E152" s="7"/>
      <c r="F152" s="2" t="s">
        <v>6</v>
      </c>
      <c r="G152" s="7">
        <v>4.1083816076E8</v>
      </c>
      <c r="H152" s="7"/>
      <c r="I152" s="8" t="s">
        <v>7</v>
      </c>
    </row>
    <row r="153">
      <c r="A153" s="5">
        <v>45175.0</v>
      </c>
      <c r="B153" s="6" t="s">
        <v>24</v>
      </c>
      <c r="C153" s="6" t="s">
        <v>168</v>
      </c>
      <c r="D153" s="2">
        <v>102000.0</v>
      </c>
      <c r="E153" s="7"/>
      <c r="F153" s="7"/>
      <c r="G153" s="7">
        <v>4.1073616076E8</v>
      </c>
      <c r="H153" s="7"/>
      <c r="I153" s="8" t="s">
        <v>9</v>
      </c>
    </row>
    <row r="154">
      <c r="A154" s="5">
        <v>45175.0</v>
      </c>
      <c r="B154" s="6" t="s">
        <v>4</v>
      </c>
      <c r="C154" s="6" t="s">
        <v>169</v>
      </c>
      <c r="D154" s="2">
        <v>9.317025E7</v>
      </c>
      <c r="E154" s="7"/>
      <c r="F154" s="2" t="s">
        <v>6</v>
      </c>
      <c r="G154" s="7">
        <v>3.1756591076E8</v>
      </c>
      <c r="H154" s="7"/>
      <c r="I154" s="8" t="s">
        <v>7</v>
      </c>
    </row>
    <row r="155">
      <c r="A155" s="5">
        <v>45175.0</v>
      </c>
      <c r="B155" s="6" t="s">
        <v>4</v>
      </c>
      <c r="C155" s="6" t="s">
        <v>170</v>
      </c>
      <c r="D155" s="2">
        <v>1.04953E8</v>
      </c>
      <c r="E155" s="7"/>
      <c r="F155" s="2" t="s">
        <v>6</v>
      </c>
      <c r="G155" s="7">
        <v>2.1261291076E8</v>
      </c>
      <c r="H155" s="7"/>
      <c r="I155" s="8" t="s">
        <v>7</v>
      </c>
    </row>
    <row r="156">
      <c r="A156" s="5">
        <v>45175.0</v>
      </c>
      <c r="B156" s="6" t="s">
        <v>41</v>
      </c>
      <c r="C156" s="6" t="s">
        <v>171</v>
      </c>
      <c r="D156" s="2">
        <v>187100.0</v>
      </c>
      <c r="E156" s="7"/>
      <c r="F156" s="7"/>
      <c r="G156" s="7">
        <v>2.1242581076E8</v>
      </c>
      <c r="H156" s="2">
        <v>2.1242581076E8</v>
      </c>
      <c r="I156" s="8" t="s">
        <v>9</v>
      </c>
    </row>
    <row r="157">
      <c r="A157" s="5">
        <v>45205.0</v>
      </c>
      <c r="B157" s="6" t="s">
        <v>172</v>
      </c>
      <c r="C157" s="6" t="s">
        <v>173</v>
      </c>
      <c r="D157" s="2">
        <v>1.310725E8</v>
      </c>
      <c r="E157" s="7"/>
      <c r="F157" s="2" t="s">
        <v>6</v>
      </c>
      <c r="G157" s="7">
        <v>8.135331075999999E7</v>
      </c>
      <c r="H157" s="7"/>
      <c r="I157" s="8" t="s">
        <v>7</v>
      </c>
    </row>
    <row r="158">
      <c r="A158" s="5">
        <v>45205.0</v>
      </c>
      <c r="B158" s="6" t="s">
        <v>172</v>
      </c>
      <c r="C158" s="6" t="s">
        <v>174</v>
      </c>
      <c r="D158" s="2">
        <v>601250.0</v>
      </c>
      <c r="E158" s="7"/>
      <c r="F158" s="2" t="s">
        <v>6</v>
      </c>
      <c r="G158" s="7">
        <v>8.075206075999999E7</v>
      </c>
      <c r="H158" s="7"/>
      <c r="I158" s="8" t="s">
        <v>37</v>
      </c>
    </row>
    <row r="159">
      <c r="A159" s="5">
        <v>45205.0</v>
      </c>
      <c r="B159" s="6" t="s">
        <v>4</v>
      </c>
      <c r="C159" s="6" t="s">
        <v>175</v>
      </c>
      <c r="D159" s="2">
        <v>2780800.0</v>
      </c>
      <c r="E159" s="7"/>
      <c r="F159" s="2" t="s">
        <v>6</v>
      </c>
      <c r="G159" s="7">
        <v>7.797126075999999E7</v>
      </c>
      <c r="H159" s="2">
        <v>7.797126076E7</v>
      </c>
      <c r="I159" s="8" t="s">
        <v>7</v>
      </c>
    </row>
    <row r="160">
      <c r="A160" s="5">
        <v>45205.0</v>
      </c>
      <c r="B160" s="6" t="s">
        <v>4</v>
      </c>
      <c r="C160" s="6" t="s">
        <v>176</v>
      </c>
      <c r="D160" s="2">
        <v>7.72701E7</v>
      </c>
      <c r="E160" s="7"/>
      <c r="F160" s="2" t="s">
        <v>6</v>
      </c>
      <c r="G160" s="7">
        <v>701160.7599999905</v>
      </c>
      <c r="H160" s="2">
        <v>701160.76</v>
      </c>
      <c r="I160" s="8" t="s">
        <v>7</v>
      </c>
    </row>
    <row r="161">
      <c r="A161" s="5">
        <v>45205.0</v>
      </c>
      <c r="B161" s="6" t="s">
        <v>12</v>
      </c>
      <c r="C161" s="6" t="s">
        <v>177</v>
      </c>
      <c r="D161" s="2"/>
      <c r="E161" s="2">
        <v>4.869537E8</v>
      </c>
      <c r="F161" s="2" t="s">
        <v>3</v>
      </c>
      <c r="G161" s="7">
        <v>4.8765486076E8</v>
      </c>
      <c r="H161" s="7"/>
      <c r="I161" s="4"/>
    </row>
    <row r="162">
      <c r="A162" s="5">
        <v>45205.0</v>
      </c>
      <c r="B162" s="6" t="s">
        <v>12</v>
      </c>
      <c r="C162" s="6" t="s">
        <v>178</v>
      </c>
      <c r="D162" s="2"/>
      <c r="E162" s="2">
        <v>2.37551E7</v>
      </c>
      <c r="F162" s="2" t="s">
        <v>3</v>
      </c>
      <c r="G162" s="7">
        <v>5.1140996076E8</v>
      </c>
      <c r="H162" s="7"/>
      <c r="I162" s="4"/>
    </row>
    <row r="163">
      <c r="A163" s="5">
        <v>45205.0</v>
      </c>
      <c r="B163" s="6" t="s">
        <v>41</v>
      </c>
      <c r="C163" s="6" t="s">
        <v>171</v>
      </c>
      <c r="D163" s="2">
        <v>22000.0</v>
      </c>
      <c r="E163" s="7"/>
      <c r="F163" s="7"/>
      <c r="G163" s="7">
        <v>5.1138796076E8</v>
      </c>
      <c r="H163" s="7"/>
      <c r="I163" s="8" t="s">
        <v>9</v>
      </c>
    </row>
    <row r="164">
      <c r="A164" s="5">
        <v>45205.0</v>
      </c>
      <c r="B164" s="6" t="s">
        <v>55</v>
      </c>
      <c r="C164" s="6" t="s">
        <v>179</v>
      </c>
      <c r="D164" s="2">
        <v>75000.0</v>
      </c>
      <c r="E164" s="7"/>
      <c r="F164" s="2" t="s">
        <v>6</v>
      </c>
      <c r="G164" s="7">
        <v>5.1131296076E8</v>
      </c>
      <c r="H164" s="7"/>
      <c r="I164" s="8" t="s">
        <v>9</v>
      </c>
    </row>
    <row r="165">
      <c r="A165" s="5">
        <v>45205.0</v>
      </c>
      <c r="B165" s="6" t="s">
        <v>55</v>
      </c>
      <c r="C165" s="6" t="s">
        <v>180</v>
      </c>
      <c r="D165" s="2">
        <v>2500.0</v>
      </c>
      <c r="E165" s="7"/>
      <c r="F165" s="2" t="s">
        <v>6</v>
      </c>
      <c r="G165" s="7">
        <v>5.1131046076E8</v>
      </c>
      <c r="H165" s="7"/>
      <c r="I165" s="8" t="s">
        <v>9</v>
      </c>
    </row>
    <row r="166">
      <c r="A166" s="5">
        <v>45205.0</v>
      </c>
      <c r="B166" s="6" t="s">
        <v>12</v>
      </c>
      <c r="C166" s="6" t="s">
        <v>181</v>
      </c>
      <c r="D166" s="2"/>
      <c r="E166" s="2">
        <v>1.6606E8</v>
      </c>
      <c r="F166" s="2" t="s">
        <v>3</v>
      </c>
      <c r="G166" s="7">
        <v>6.7737046076E8</v>
      </c>
      <c r="H166" s="7"/>
      <c r="I166" s="4"/>
    </row>
    <row r="167">
      <c r="A167" s="5">
        <v>45205.0</v>
      </c>
      <c r="B167" s="6" t="s">
        <v>12</v>
      </c>
      <c r="C167" s="6" t="s">
        <v>182</v>
      </c>
      <c r="D167" s="2"/>
      <c r="E167" s="2">
        <v>1.0E8</v>
      </c>
      <c r="F167" s="2" t="s">
        <v>3</v>
      </c>
      <c r="G167" s="7">
        <v>7.7737046076E8</v>
      </c>
      <c r="H167" s="7"/>
      <c r="I167" s="4"/>
    </row>
    <row r="168">
      <c r="A168" s="5">
        <v>45205.0</v>
      </c>
      <c r="B168" s="6" t="s">
        <v>4</v>
      </c>
      <c r="C168" s="6" t="s">
        <v>183</v>
      </c>
      <c r="D168" s="2">
        <v>2.5563728E8</v>
      </c>
      <c r="E168" s="7"/>
      <c r="F168" s="2" t="s">
        <v>6</v>
      </c>
      <c r="G168" s="7">
        <v>5.2173318076E8</v>
      </c>
      <c r="H168" s="7"/>
      <c r="I168" s="8" t="s">
        <v>7</v>
      </c>
    </row>
    <row r="169">
      <c r="A169" s="5">
        <v>45205.0</v>
      </c>
      <c r="B169" s="6" t="s">
        <v>4</v>
      </c>
      <c r="C169" s="6" t="s">
        <v>184</v>
      </c>
      <c r="D169" s="2">
        <v>2.4359364E8</v>
      </c>
      <c r="E169" s="7"/>
      <c r="F169" s="2" t="s">
        <v>6</v>
      </c>
      <c r="G169" s="7">
        <v>2.7813954076E8</v>
      </c>
      <c r="H169" s="7"/>
      <c r="I169" s="8" t="s">
        <v>7</v>
      </c>
    </row>
    <row r="170">
      <c r="A170" s="5">
        <v>45205.0</v>
      </c>
      <c r="B170" s="6" t="s">
        <v>4</v>
      </c>
      <c r="C170" s="6" t="s">
        <v>185</v>
      </c>
      <c r="D170" s="2">
        <v>8.7E7</v>
      </c>
      <c r="E170" s="7"/>
      <c r="F170" s="2" t="s">
        <v>6</v>
      </c>
      <c r="G170" s="7">
        <v>1.9113954076E8</v>
      </c>
      <c r="H170" s="7"/>
      <c r="I170" s="8" t="s">
        <v>7</v>
      </c>
    </row>
    <row r="171">
      <c r="A171" s="5">
        <v>45205.0</v>
      </c>
      <c r="B171" s="6" t="s">
        <v>4</v>
      </c>
      <c r="C171" s="6" t="s">
        <v>186</v>
      </c>
      <c r="D171" s="2">
        <v>3366000.0</v>
      </c>
      <c r="E171" s="7"/>
      <c r="F171" s="2" t="s">
        <v>6</v>
      </c>
      <c r="G171" s="7">
        <v>1.8777354076E8</v>
      </c>
      <c r="H171" s="2">
        <v>1.8777354076E8</v>
      </c>
      <c r="I171" s="8" t="s">
        <v>11</v>
      </c>
    </row>
    <row r="172">
      <c r="A172" s="5">
        <v>45205.0</v>
      </c>
      <c r="B172" s="6" t="s">
        <v>41</v>
      </c>
      <c r="C172" s="6" t="s">
        <v>171</v>
      </c>
      <c r="D172" s="2">
        <v>68200.0</v>
      </c>
      <c r="E172" s="7"/>
      <c r="F172" s="7"/>
      <c r="G172" s="7">
        <v>1.8770534076E8</v>
      </c>
      <c r="H172" s="2">
        <v>1.8770534076E8</v>
      </c>
      <c r="I172" s="8" t="s">
        <v>9</v>
      </c>
    </row>
    <row r="173">
      <c r="A173" s="5">
        <v>45205.0</v>
      </c>
      <c r="B173" s="6" t="s">
        <v>4</v>
      </c>
      <c r="C173" s="6" t="s">
        <v>187</v>
      </c>
      <c r="D173" s="2">
        <v>1691470.0</v>
      </c>
      <c r="E173" s="7"/>
      <c r="F173" s="2" t="s">
        <v>6</v>
      </c>
      <c r="G173" s="7">
        <v>1.8601387076E8</v>
      </c>
      <c r="H173" s="7"/>
      <c r="I173" s="8" t="s">
        <v>11</v>
      </c>
    </row>
    <row r="174">
      <c r="A174" s="5">
        <v>45205.0</v>
      </c>
      <c r="B174" s="6" t="s">
        <v>55</v>
      </c>
      <c r="C174" s="6" t="s">
        <v>188</v>
      </c>
      <c r="D174" s="2">
        <v>3643980.0</v>
      </c>
      <c r="E174" s="7"/>
      <c r="F174" s="2" t="s">
        <v>6</v>
      </c>
      <c r="G174" s="7">
        <v>1.8236989076E8</v>
      </c>
      <c r="H174" s="7"/>
      <c r="I174" s="8" t="s">
        <v>11</v>
      </c>
    </row>
    <row r="175">
      <c r="A175" s="5">
        <v>45205.0</v>
      </c>
      <c r="B175" s="6" t="s">
        <v>55</v>
      </c>
      <c r="C175" s="6" t="s">
        <v>189</v>
      </c>
      <c r="D175" s="2">
        <v>2500.0</v>
      </c>
      <c r="E175" s="7"/>
      <c r="F175" s="2" t="s">
        <v>6</v>
      </c>
      <c r="G175" s="7">
        <v>1.8236739076E8</v>
      </c>
      <c r="H175" s="7"/>
      <c r="I175" s="8" t="s">
        <v>11</v>
      </c>
    </row>
    <row r="176">
      <c r="A176" s="5">
        <v>45205.0</v>
      </c>
      <c r="B176" s="6" t="s">
        <v>4</v>
      </c>
      <c r="C176" s="6" t="s">
        <v>190</v>
      </c>
      <c r="D176" s="2">
        <v>1311100.0</v>
      </c>
      <c r="E176" s="7"/>
      <c r="F176" s="2" t="s">
        <v>6</v>
      </c>
      <c r="G176" s="7">
        <v>1.8105629076E8</v>
      </c>
      <c r="H176" s="7"/>
      <c r="I176" s="8" t="s">
        <v>11</v>
      </c>
    </row>
    <row r="177">
      <c r="A177" s="5">
        <v>45205.0</v>
      </c>
      <c r="B177" s="6" t="s">
        <v>4</v>
      </c>
      <c r="C177" s="6" t="s">
        <v>191</v>
      </c>
      <c r="D177" s="2">
        <v>250000.0</v>
      </c>
      <c r="E177" s="7"/>
      <c r="F177" s="2" t="s">
        <v>6</v>
      </c>
      <c r="G177" s="7">
        <v>1.8080629076E8</v>
      </c>
      <c r="H177" s="7"/>
      <c r="I177" s="8" t="s">
        <v>11</v>
      </c>
    </row>
    <row r="178">
      <c r="A178" s="5">
        <v>45205.0</v>
      </c>
      <c r="B178" s="6" t="s">
        <v>4</v>
      </c>
      <c r="C178" s="6" t="s">
        <v>192</v>
      </c>
      <c r="D178" s="2">
        <v>1.272546E8</v>
      </c>
      <c r="E178" s="7"/>
      <c r="F178" s="2" t="s">
        <v>6</v>
      </c>
      <c r="G178" s="7">
        <v>5.355169075999999E7</v>
      </c>
      <c r="H178" s="7"/>
      <c r="I178" s="8" t="s">
        <v>7</v>
      </c>
    </row>
    <row r="179">
      <c r="A179" s="5">
        <v>45205.0</v>
      </c>
      <c r="B179" s="6" t="s">
        <v>4</v>
      </c>
      <c r="C179" s="6" t="s">
        <v>193</v>
      </c>
      <c r="D179" s="2">
        <v>1.54294E7</v>
      </c>
      <c r="E179" s="7"/>
      <c r="F179" s="2" t="s">
        <v>6</v>
      </c>
      <c r="G179" s="7">
        <v>3.812229075999999E7</v>
      </c>
      <c r="H179" s="7"/>
      <c r="I179" s="8" t="s">
        <v>11</v>
      </c>
    </row>
    <row r="180">
      <c r="A180" s="5">
        <v>45205.0</v>
      </c>
      <c r="B180" s="6" t="s">
        <v>194</v>
      </c>
      <c r="C180" s="6" t="s">
        <v>194</v>
      </c>
      <c r="D180" s="2">
        <v>500000.0</v>
      </c>
      <c r="E180" s="7"/>
      <c r="F180" s="7"/>
      <c r="G180" s="7">
        <v>3.762229075999999E7</v>
      </c>
      <c r="H180" s="2">
        <v>3.762229076E7</v>
      </c>
      <c r="I180" s="8" t="s">
        <v>9</v>
      </c>
    </row>
    <row r="181">
      <c r="A181" s="5">
        <v>45236.0</v>
      </c>
      <c r="B181" s="6" t="s">
        <v>195</v>
      </c>
      <c r="C181" s="6" t="s">
        <v>196</v>
      </c>
      <c r="D181" s="2"/>
      <c r="E181" s="2">
        <v>2.763558E8</v>
      </c>
      <c r="F181" s="2" t="s">
        <v>3</v>
      </c>
      <c r="G181" s="7">
        <v>3.1397809076E8</v>
      </c>
      <c r="H181" s="7"/>
      <c r="I181" s="4"/>
    </row>
    <row r="182">
      <c r="A182" s="5">
        <v>45236.0</v>
      </c>
      <c r="B182" s="6" t="s">
        <v>12</v>
      </c>
      <c r="C182" s="6" t="s">
        <v>197</v>
      </c>
      <c r="D182" s="2"/>
      <c r="E182" s="2">
        <v>4.42106E7</v>
      </c>
      <c r="F182" s="2" t="s">
        <v>3</v>
      </c>
      <c r="G182" s="7">
        <v>3.5818869076E8</v>
      </c>
      <c r="H182" s="7"/>
      <c r="I182" s="4"/>
    </row>
    <row r="183">
      <c r="A183" s="5">
        <v>45236.0</v>
      </c>
      <c r="B183" s="6" t="s">
        <v>4</v>
      </c>
      <c r="C183" s="6" t="s">
        <v>198</v>
      </c>
      <c r="D183" s="2">
        <v>7.26E7</v>
      </c>
      <c r="E183" s="7"/>
      <c r="F183" s="2" t="s">
        <v>6</v>
      </c>
      <c r="G183" s="7">
        <v>2.8558869076E8</v>
      </c>
      <c r="H183" s="7"/>
      <c r="I183" s="8" t="s">
        <v>7</v>
      </c>
    </row>
    <row r="184">
      <c r="A184" s="5">
        <v>45236.0</v>
      </c>
      <c r="B184" s="6" t="s">
        <v>4</v>
      </c>
      <c r="C184" s="6" t="s">
        <v>199</v>
      </c>
      <c r="D184" s="2">
        <v>645000.0</v>
      </c>
      <c r="E184" s="7"/>
      <c r="F184" s="2" t="s">
        <v>6</v>
      </c>
      <c r="G184" s="7">
        <v>2.8494369076E8</v>
      </c>
      <c r="H184" s="7"/>
      <c r="I184" s="8" t="s">
        <v>7</v>
      </c>
    </row>
    <row r="185">
      <c r="A185" s="5">
        <v>45236.0</v>
      </c>
      <c r="B185" s="6" t="s">
        <v>12</v>
      </c>
      <c r="C185" s="6" t="s">
        <v>200</v>
      </c>
      <c r="D185" s="2"/>
      <c r="E185" s="2">
        <v>1000000.0</v>
      </c>
      <c r="F185" s="2" t="s">
        <v>3</v>
      </c>
      <c r="G185" s="7">
        <v>2.8594369076E8</v>
      </c>
      <c r="H185" s="7"/>
      <c r="I185" s="4"/>
    </row>
    <row r="186">
      <c r="A186" s="5">
        <v>45236.0</v>
      </c>
      <c r="B186" s="6" t="s">
        <v>41</v>
      </c>
      <c r="C186" s="6" t="s">
        <v>171</v>
      </c>
      <c r="D186" s="2">
        <v>395300.0</v>
      </c>
      <c r="E186" s="7"/>
      <c r="F186" s="7"/>
      <c r="G186" s="7">
        <v>2.8554839076E8</v>
      </c>
      <c r="H186" s="2">
        <v>2.8554839076E8</v>
      </c>
      <c r="I186" s="8" t="s">
        <v>9</v>
      </c>
    </row>
    <row r="187">
      <c r="A187" s="5">
        <v>45236.0</v>
      </c>
      <c r="B187" s="6" t="s">
        <v>4</v>
      </c>
      <c r="C187" s="6" t="s">
        <v>201</v>
      </c>
      <c r="D187" s="2">
        <v>2.057E8</v>
      </c>
      <c r="E187" s="7"/>
      <c r="F187" s="2" t="s">
        <v>6</v>
      </c>
      <c r="G187" s="7">
        <v>7.984839075999999E7</v>
      </c>
      <c r="H187" s="2">
        <v>7.984839076E7</v>
      </c>
      <c r="I187" s="8" t="s">
        <v>7</v>
      </c>
    </row>
    <row r="188">
      <c r="A188" s="5">
        <v>45236.0</v>
      </c>
      <c r="B188" s="6" t="s">
        <v>4</v>
      </c>
      <c r="C188" s="6" t="s">
        <v>202</v>
      </c>
      <c r="D188" s="2">
        <v>6.6E7</v>
      </c>
      <c r="E188" s="7"/>
      <c r="F188" s="2" t="s">
        <v>6</v>
      </c>
      <c r="G188" s="7">
        <v>1.384839075999999E7</v>
      </c>
      <c r="H188" s="7"/>
      <c r="I188" s="8" t="s">
        <v>7</v>
      </c>
    </row>
    <row r="189">
      <c r="A189" s="5">
        <v>45236.0</v>
      </c>
      <c r="B189" s="10" t="s">
        <v>4</v>
      </c>
      <c r="C189" s="10" t="s">
        <v>203</v>
      </c>
      <c r="D189" s="11">
        <v>1.1E7</v>
      </c>
      <c r="E189" s="12"/>
      <c r="F189" s="11" t="s">
        <v>6</v>
      </c>
      <c r="G189" s="12">
        <v>2848390.7599999905</v>
      </c>
      <c r="H189" s="11">
        <v>2848390.76</v>
      </c>
      <c r="I189" s="8" t="s">
        <v>7</v>
      </c>
    </row>
    <row r="190">
      <c r="A190" s="5">
        <v>45266.0</v>
      </c>
      <c r="B190" s="6" t="s">
        <v>204</v>
      </c>
      <c r="C190" s="6" t="s">
        <v>205</v>
      </c>
      <c r="D190" s="2"/>
      <c r="E190" s="2">
        <v>2.919518E7</v>
      </c>
      <c r="F190" s="2" t="s">
        <v>3</v>
      </c>
      <c r="G190" s="7">
        <v>3.204357075999999E7</v>
      </c>
      <c r="H190" s="7"/>
      <c r="I190" s="4"/>
    </row>
    <row r="191">
      <c r="A191" s="5">
        <v>45266.0</v>
      </c>
      <c r="B191" s="6" t="s">
        <v>12</v>
      </c>
      <c r="C191" s="6" t="s">
        <v>206</v>
      </c>
      <c r="D191" s="2"/>
      <c r="E191" s="2">
        <v>4.566345E8</v>
      </c>
      <c r="F191" s="2" t="s">
        <v>3</v>
      </c>
      <c r="G191" s="7">
        <v>4.8867807076E8</v>
      </c>
      <c r="H191" s="7"/>
      <c r="I191" s="4"/>
    </row>
    <row r="192">
      <c r="A192" s="5">
        <v>45266.0</v>
      </c>
      <c r="B192" s="6" t="s">
        <v>12</v>
      </c>
      <c r="C192" s="6" t="s">
        <v>207</v>
      </c>
      <c r="D192" s="2"/>
      <c r="E192" s="2">
        <v>8.11686E7</v>
      </c>
      <c r="F192" s="2" t="s">
        <v>3</v>
      </c>
      <c r="G192" s="7">
        <v>5.6984667076E8</v>
      </c>
      <c r="H192" s="7"/>
      <c r="I192" s="4"/>
    </row>
    <row r="193">
      <c r="A193" s="5">
        <v>45266.0</v>
      </c>
      <c r="B193" s="6" t="s">
        <v>4</v>
      </c>
      <c r="C193" s="6" t="s">
        <v>208</v>
      </c>
      <c r="D193" s="2">
        <v>6.38109E7</v>
      </c>
      <c r="E193" s="7"/>
      <c r="F193" s="2" t="s">
        <v>6</v>
      </c>
      <c r="G193" s="7">
        <v>5.0603577076E8</v>
      </c>
      <c r="H193" s="7"/>
      <c r="I193" s="8" t="s">
        <v>7</v>
      </c>
    </row>
    <row r="194">
      <c r="A194" s="5">
        <v>45266.0</v>
      </c>
      <c r="B194" s="6" t="s">
        <v>4</v>
      </c>
      <c r="C194" s="6" t="s">
        <v>209</v>
      </c>
      <c r="D194" s="2">
        <v>6.6E7</v>
      </c>
      <c r="E194" s="7"/>
      <c r="F194" s="2" t="s">
        <v>6</v>
      </c>
      <c r="G194" s="7">
        <v>4.4003577076E8</v>
      </c>
      <c r="H194" s="7"/>
      <c r="I194" s="8" t="s">
        <v>7</v>
      </c>
    </row>
    <row r="195">
      <c r="A195" s="5">
        <v>45266.0</v>
      </c>
      <c r="B195" s="6" t="s">
        <v>4</v>
      </c>
      <c r="C195" s="6" t="s">
        <v>210</v>
      </c>
      <c r="D195" s="2">
        <v>5.883435E7</v>
      </c>
      <c r="E195" s="7"/>
      <c r="F195" s="2" t="s">
        <v>6</v>
      </c>
      <c r="G195" s="7">
        <v>3.8120142076E8</v>
      </c>
      <c r="H195" s="7"/>
      <c r="I195" s="8" t="s">
        <v>7</v>
      </c>
    </row>
    <row r="196">
      <c r="A196" s="5">
        <v>45266.0</v>
      </c>
      <c r="B196" s="6" t="s">
        <v>4</v>
      </c>
      <c r="C196" s="6" t="s">
        <v>211</v>
      </c>
      <c r="D196" s="2">
        <v>1.061307E8</v>
      </c>
      <c r="E196" s="7"/>
      <c r="F196" s="2" t="s">
        <v>6</v>
      </c>
      <c r="G196" s="7">
        <v>2.7507072076E8</v>
      </c>
      <c r="H196" s="7"/>
      <c r="I196" s="8" t="s">
        <v>7</v>
      </c>
    </row>
    <row r="197">
      <c r="A197" s="5">
        <v>45266.0</v>
      </c>
      <c r="B197" s="6" t="s">
        <v>4</v>
      </c>
      <c r="C197" s="6" t="s">
        <v>212</v>
      </c>
      <c r="D197" s="2">
        <v>2.38819E8</v>
      </c>
      <c r="E197" s="7"/>
      <c r="F197" s="2" t="s">
        <v>6</v>
      </c>
      <c r="G197" s="7">
        <v>3.625172075999999E7</v>
      </c>
      <c r="H197" s="7"/>
      <c r="I197" s="8" t="s">
        <v>7</v>
      </c>
    </row>
    <row r="198">
      <c r="A198" s="5">
        <v>45266.0</v>
      </c>
      <c r="B198" s="10" t="s">
        <v>12</v>
      </c>
      <c r="C198" s="10" t="s">
        <v>213</v>
      </c>
      <c r="D198" s="11"/>
      <c r="E198" s="11">
        <v>3.1550784E8</v>
      </c>
      <c r="F198" s="11" t="s">
        <v>3</v>
      </c>
      <c r="G198" s="12">
        <v>3.5175956076E8</v>
      </c>
      <c r="H198" s="11">
        <v>3.5175956076E8</v>
      </c>
      <c r="I198" s="4"/>
    </row>
    <row r="199">
      <c r="A199" s="5">
        <v>45272.0</v>
      </c>
      <c r="B199" s="13" t="s">
        <v>12</v>
      </c>
      <c r="C199" s="13" t="s">
        <v>214</v>
      </c>
      <c r="D199" s="14"/>
      <c r="E199" s="15">
        <v>8.2875E7</v>
      </c>
      <c r="F199" s="15" t="s">
        <v>3</v>
      </c>
      <c r="G199" s="16">
        <v>4.3463456076E8</v>
      </c>
      <c r="H199" s="14">
        <v>4.3463456076E8</v>
      </c>
      <c r="I199" s="4"/>
    </row>
    <row r="200">
      <c r="A200" s="5">
        <v>45089.0</v>
      </c>
      <c r="B200" s="13" t="s">
        <v>12</v>
      </c>
      <c r="C200" s="13" t="s">
        <v>215</v>
      </c>
      <c r="D200" s="14"/>
      <c r="E200" s="15">
        <v>1.0E8</v>
      </c>
      <c r="F200" s="15" t="s">
        <v>3</v>
      </c>
      <c r="G200" s="16">
        <v>5.3463456076E8</v>
      </c>
      <c r="H200" s="17"/>
      <c r="I200" s="4"/>
    </row>
    <row r="201">
      <c r="A201" s="5">
        <v>45089.0</v>
      </c>
      <c r="B201" s="13" t="s">
        <v>4</v>
      </c>
      <c r="C201" s="13" t="s">
        <v>216</v>
      </c>
      <c r="D201" s="14">
        <v>1.672E8</v>
      </c>
      <c r="E201" s="16"/>
      <c r="F201" s="15" t="s">
        <v>6</v>
      </c>
      <c r="G201" s="16">
        <v>3.6743456076E8</v>
      </c>
      <c r="H201" s="17"/>
      <c r="I201" s="8" t="s">
        <v>7</v>
      </c>
    </row>
    <row r="202">
      <c r="A202" s="5">
        <v>45089.0</v>
      </c>
      <c r="B202" s="13" t="s">
        <v>12</v>
      </c>
      <c r="C202" s="13" t="s">
        <v>217</v>
      </c>
      <c r="D202" s="14"/>
      <c r="E202" s="15">
        <v>2.9960242E8</v>
      </c>
      <c r="F202" s="15" t="s">
        <v>3</v>
      </c>
      <c r="G202" s="16">
        <v>6.6703698076E8</v>
      </c>
      <c r="H202" s="17"/>
      <c r="I202" s="4"/>
    </row>
    <row r="203">
      <c r="A203" s="5">
        <v>45089.0</v>
      </c>
      <c r="B203" s="13" t="s">
        <v>4</v>
      </c>
      <c r="C203" s="13" t="s">
        <v>218</v>
      </c>
      <c r="D203" s="14">
        <v>2.082131E8</v>
      </c>
      <c r="E203" s="16"/>
      <c r="F203" s="15" t="s">
        <v>6</v>
      </c>
      <c r="G203" s="16">
        <v>4.5882388076E8</v>
      </c>
      <c r="H203" s="17"/>
      <c r="I203" s="8" t="s">
        <v>7</v>
      </c>
    </row>
    <row r="204">
      <c r="A204" s="5">
        <v>45089.0</v>
      </c>
      <c r="B204" s="13" t="s">
        <v>4</v>
      </c>
      <c r="C204" s="13" t="s">
        <v>219</v>
      </c>
      <c r="D204" s="14">
        <v>5.169531E7</v>
      </c>
      <c r="E204" s="16"/>
      <c r="F204" s="15" t="s">
        <v>6</v>
      </c>
      <c r="G204" s="16">
        <v>4.0712857076E8</v>
      </c>
      <c r="H204" s="17"/>
      <c r="I204" s="8" t="s">
        <v>7</v>
      </c>
    </row>
    <row r="205">
      <c r="A205" s="5">
        <v>45089.0</v>
      </c>
      <c r="B205" s="13" t="s">
        <v>4</v>
      </c>
      <c r="C205" s="13" t="s">
        <v>220</v>
      </c>
      <c r="D205" s="14">
        <v>1.0E8</v>
      </c>
      <c r="E205" s="16"/>
      <c r="F205" s="15" t="s">
        <v>6</v>
      </c>
      <c r="G205" s="16">
        <v>3.0712857076E8</v>
      </c>
      <c r="H205" s="14">
        <v>3.0712857076E8</v>
      </c>
      <c r="I205" s="8" t="s">
        <v>7</v>
      </c>
    </row>
    <row r="206">
      <c r="A206" s="5">
        <v>45090.0</v>
      </c>
      <c r="B206" s="13" t="s">
        <v>4</v>
      </c>
      <c r="C206" s="13" t="s">
        <v>221</v>
      </c>
      <c r="D206" s="14">
        <v>6.961055E7</v>
      </c>
      <c r="E206" s="16"/>
      <c r="F206" s="15" t="s">
        <v>6</v>
      </c>
      <c r="G206" s="16">
        <v>2.3751802076E8</v>
      </c>
      <c r="H206" s="17"/>
      <c r="I206" s="8" t="s">
        <v>7</v>
      </c>
    </row>
    <row r="207">
      <c r="A207" s="5">
        <v>45090.0</v>
      </c>
      <c r="B207" s="13" t="s">
        <v>4</v>
      </c>
      <c r="C207" s="13" t="s">
        <v>222</v>
      </c>
      <c r="D207" s="14">
        <v>2.83552E7</v>
      </c>
      <c r="E207" s="16"/>
      <c r="F207" s="15" t="s">
        <v>6</v>
      </c>
      <c r="G207" s="16">
        <v>2.0916282076E8</v>
      </c>
      <c r="H207" s="17"/>
      <c r="I207" s="8" t="s">
        <v>11</v>
      </c>
    </row>
    <row r="208">
      <c r="A208" s="5">
        <v>45090.0</v>
      </c>
      <c r="B208" s="13" t="s">
        <v>4</v>
      </c>
      <c r="C208" s="13" t="s">
        <v>223</v>
      </c>
      <c r="D208" s="14">
        <v>1.63359E8</v>
      </c>
      <c r="E208" s="16"/>
      <c r="F208" s="15" t="s">
        <v>6</v>
      </c>
      <c r="G208" s="16">
        <v>4.580382075999999E7</v>
      </c>
      <c r="H208" s="17"/>
      <c r="I208" s="8" t="s">
        <v>7</v>
      </c>
    </row>
    <row r="209">
      <c r="A209" s="5">
        <v>45090.0</v>
      </c>
      <c r="B209" s="13" t="s">
        <v>4</v>
      </c>
      <c r="C209" s="13" t="s">
        <v>224</v>
      </c>
      <c r="D209" s="14">
        <v>3250000.0</v>
      </c>
      <c r="E209" s="16"/>
      <c r="F209" s="15" t="s">
        <v>6</v>
      </c>
      <c r="G209" s="16">
        <v>4.255382075999999E7</v>
      </c>
      <c r="H209" s="17"/>
      <c r="I209" s="8" t="s">
        <v>11</v>
      </c>
    </row>
    <row r="210">
      <c r="A210" s="5">
        <v>45090.0</v>
      </c>
      <c r="B210" s="13" t="s">
        <v>55</v>
      </c>
      <c r="C210" s="13" t="s">
        <v>225</v>
      </c>
      <c r="D210" s="14">
        <v>300000.0</v>
      </c>
      <c r="E210" s="16"/>
      <c r="F210" s="15" t="s">
        <v>6</v>
      </c>
      <c r="G210" s="16">
        <v>4.225382075999999E7</v>
      </c>
      <c r="H210" s="17"/>
      <c r="I210" s="8" t="s">
        <v>9</v>
      </c>
    </row>
    <row r="211">
      <c r="A211" s="5">
        <v>45090.0</v>
      </c>
      <c r="B211" s="13" t="s">
        <v>55</v>
      </c>
      <c r="C211" s="13" t="s">
        <v>226</v>
      </c>
      <c r="D211" s="14">
        <v>2500.0</v>
      </c>
      <c r="E211" s="16"/>
      <c r="F211" s="15" t="s">
        <v>6</v>
      </c>
      <c r="G211" s="16">
        <v>4.225132075999999E7</v>
      </c>
      <c r="H211" s="14">
        <v>4.225132076E7</v>
      </c>
      <c r="I211" s="8" t="s">
        <v>9</v>
      </c>
    </row>
    <row r="212">
      <c r="A212" s="5">
        <v>45090.0</v>
      </c>
      <c r="B212" s="13" t="s">
        <v>12</v>
      </c>
      <c r="C212" s="13" t="s">
        <v>227</v>
      </c>
      <c r="D212" s="14"/>
      <c r="E212" s="15">
        <v>2.9817862E8</v>
      </c>
      <c r="F212" s="15" t="s">
        <v>3</v>
      </c>
      <c r="G212" s="16">
        <v>3.4042994076E8</v>
      </c>
      <c r="H212" s="14">
        <v>3.4042994076E8</v>
      </c>
      <c r="I212" s="4" t="s">
        <v>9</v>
      </c>
    </row>
    <row r="213">
      <c r="A213" s="5">
        <v>45090.0</v>
      </c>
      <c r="B213" s="13" t="s">
        <v>4</v>
      </c>
      <c r="C213" s="13" t="s">
        <v>228</v>
      </c>
      <c r="D213" s="14">
        <v>7.35454E7</v>
      </c>
      <c r="E213" s="16"/>
      <c r="F213" s="15" t="s">
        <v>6</v>
      </c>
      <c r="G213" s="16">
        <v>2.6688454076E8</v>
      </c>
      <c r="H213" s="17"/>
      <c r="I213" s="8" t="s">
        <v>7</v>
      </c>
    </row>
    <row r="214">
      <c r="A214" s="5">
        <v>45090.0</v>
      </c>
      <c r="B214" s="13" t="s">
        <v>4</v>
      </c>
      <c r="C214" s="13" t="s">
        <v>229</v>
      </c>
      <c r="D214" s="14">
        <v>5.9851E7</v>
      </c>
      <c r="E214" s="16"/>
      <c r="F214" s="15" t="s">
        <v>6</v>
      </c>
      <c r="G214" s="16">
        <v>2.0703354076E8</v>
      </c>
      <c r="H214" s="17"/>
      <c r="I214" s="8" t="s">
        <v>7</v>
      </c>
    </row>
    <row r="215">
      <c r="A215" s="5">
        <v>45090.0</v>
      </c>
      <c r="B215" s="13" t="s">
        <v>4</v>
      </c>
      <c r="C215" s="13" t="s">
        <v>230</v>
      </c>
      <c r="D215" s="14">
        <v>300000.0</v>
      </c>
      <c r="E215" s="16"/>
      <c r="F215" s="15" t="s">
        <v>6</v>
      </c>
      <c r="G215" s="16">
        <v>2.0673354076E8</v>
      </c>
      <c r="H215" s="17"/>
      <c r="I215" s="8" t="s">
        <v>37</v>
      </c>
    </row>
    <row r="216">
      <c r="A216" s="5">
        <v>45090.0</v>
      </c>
      <c r="B216" s="13" t="s">
        <v>4</v>
      </c>
      <c r="C216" s="13" t="s">
        <v>231</v>
      </c>
      <c r="D216" s="14">
        <v>190000.0</v>
      </c>
      <c r="E216" s="16"/>
      <c r="F216" s="15" t="s">
        <v>6</v>
      </c>
      <c r="G216" s="16">
        <v>2.0654354076E8</v>
      </c>
      <c r="H216" s="17"/>
      <c r="I216" s="8" t="s">
        <v>16</v>
      </c>
    </row>
    <row r="217">
      <c r="A217" s="5">
        <v>45090.0</v>
      </c>
      <c r="B217" s="13" t="s">
        <v>55</v>
      </c>
      <c r="C217" s="13" t="s">
        <v>232</v>
      </c>
      <c r="D217" s="14">
        <v>1.025E7</v>
      </c>
      <c r="E217" s="16"/>
      <c r="F217" s="15" t="s">
        <v>6</v>
      </c>
      <c r="G217" s="16">
        <v>1.9629354076E8</v>
      </c>
      <c r="H217" s="17"/>
      <c r="I217" s="8" t="s">
        <v>7</v>
      </c>
    </row>
    <row r="218">
      <c r="A218" s="5">
        <v>45090.0</v>
      </c>
      <c r="B218" s="13" t="s">
        <v>55</v>
      </c>
      <c r="C218" s="13" t="s">
        <v>233</v>
      </c>
      <c r="D218" s="14">
        <v>2500.0</v>
      </c>
      <c r="E218" s="16"/>
      <c r="F218" s="15" t="s">
        <v>6</v>
      </c>
      <c r="G218" s="16">
        <v>1.9629104076E8</v>
      </c>
      <c r="H218" s="17"/>
      <c r="I218" s="8" t="s">
        <v>7</v>
      </c>
    </row>
    <row r="219">
      <c r="A219" s="5">
        <v>45090.0</v>
      </c>
      <c r="B219" s="13" t="s">
        <v>24</v>
      </c>
      <c r="C219" s="13" t="s">
        <v>234</v>
      </c>
      <c r="D219" s="14">
        <v>750000.0</v>
      </c>
      <c r="E219" s="16"/>
      <c r="F219" s="16"/>
      <c r="G219" s="16">
        <v>1.9554104076E8</v>
      </c>
      <c r="H219" s="17"/>
      <c r="I219" s="8" t="s">
        <v>9</v>
      </c>
    </row>
    <row r="220">
      <c r="A220" s="5">
        <v>45090.0</v>
      </c>
      <c r="B220" s="13" t="s">
        <v>55</v>
      </c>
      <c r="C220" s="13" t="s">
        <v>235</v>
      </c>
      <c r="D220" s="14">
        <v>1525000.0</v>
      </c>
      <c r="E220" s="16"/>
      <c r="F220" s="15" t="s">
        <v>6</v>
      </c>
      <c r="G220" s="16">
        <v>1.9401604076E8</v>
      </c>
      <c r="H220" s="17"/>
      <c r="I220" s="8" t="s">
        <v>7</v>
      </c>
    </row>
    <row r="221">
      <c r="A221" s="5">
        <v>45090.0</v>
      </c>
      <c r="B221" s="13" t="s">
        <v>55</v>
      </c>
      <c r="C221" s="13" t="s">
        <v>236</v>
      </c>
      <c r="D221" s="14">
        <v>2500.0</v>
      </c>
      <c r="E221" s="16"/>
      <c r="F221" s="15" t="s">
        <v>6</v>
      </c>
      <c r="G221" s="16">
        <v>1.9401354076E8</v>
      </c>
      <c r="H221" s="17"/>
      <c r="I221" s="8" t="s">
        <v>9</v>
      </c>
    </row>
    <row r="222">
      <c r="A222" s="5">
        <v>45090.0</v>
      </c>
      <c r="B222" s="13" t="s">
        <v>55</v>
      </c>
      <c r="C222" s="13" t="s">
        <v>237</v>
      </c>
      <c r="D222" s="14">
        <v>2741000.0</v>
      </c>
      <c r="E222" s="16"/>
      <c r="F222" s="15" t="s">
        <v>6</v>
      </c>
      <c r="G222" s="16">
        <v>1.9127254076E8</v>
      </c>
      <c r="H222" s="17"/>
      <c r="I222" s="8" t="s">
        <v>7</v>
      </c>
    </row>
    <row r="223">
      <c r="A223" s="5">
        <v>45090.0</v>
      </c>
      <c r="B223" s="13" t="s">
        <v>55</v>
      </c>
      <c r="C223" s="13" t="s">
        <v>238</v>
      </c>
      <c r="D223" s="14">
        <v>2500.0</v>
      </c>
      <c r="E223" s="16"/>
      <c r="F223" s="15" t="s">
        <v>6</v>
      </c>
      <c r="G223" s="16">
        <v>1.9127004076E8</v>
      </c>
      <c r="H223" s="17"/>
      <c r="I223" s="8" t="s">
        <v>7</v>
      </c>
    </row>
    <row r="224">
      <c r="A224" s="5">
        <v>45090.0</v>
      </c>
      <c r="B224" s="13" t="s">
        <v>12</v>
      </c>
      <c r="C224" s="13" t="s">
        <v>239</v>
      </c>
      <c r="D224" s="14"/>
      <c r="E224" s="15">
        <v>1.528779E8</v>
      </c>
      <c r="F224" s="15" t="s">
        <v>3</v>
      </c>
      <c r="G224" s="16">
        <v>3.4414794076E8</v>
      </c>
      <c r="H224" s="14">
        <v>3.4414794076E8</v>
      </c>
      <c r="I224" s="4"/>
    </row>
    <row r="225">
      <c r="A225" s="5">
        <v>45090.0</v>
      </c>
      <c r="B225" s="13" t="s">
        <v>12</v>
      </c>
      <c r="C225" s="13" t="s">
        <v>240</v>
      </c>
      <c r="D225" s="14"/>
      <c r="E225" s="15">
        <v>1.6872E8</v>
      </c>
      <c r="F225" s="15" t="s">
        <v>3</v>
      </c>
      <c r="G225" s="16">
        <v>5.1286794076E8</v>
      </c>
      <c r="H225" s="14">
        <v>5.1286794076E8</v>
      </c>
      <c r="I225" s="4"/>
    </row>
    <row r="226">
      <c r="A226" s="5">
        <v>45090.0</v>
      </c>
      <c r="B226" s="13" t="s">
        <v>4</v>
      </c>
      <c r="C226" s="13" t="s">
        <v>241</v>
      </c>
      <c r="D226" s="14">
        <v>1.5737535E8</v>
      </c>
      <c r="E226" s="16"/>
      <c r="F226" s="15" t="s">
        <v>6</v>
      </c>
      <c r="G226" s="16">
        <v>3.5549259076E8</v>
      </c>
      <c r="H226" s="17"/>
      <c r="I226" s="8" t="s">
        <v>7</v>
      </c>
    </row>
    <row r="227">
      <c r="A227" s="5">
        <v>45090.0</v>
      </c>
      <c r="B227" s="13" t="s">
        <v>12</v>
      </c>
      <c r="C227" s="13" t="s">
        <v>242</v>
      </c>
      <c r="D227" s="14"/>
      <c r="E227" s="15">
        <v>1.0E8</v>
      </c>
      <c r="F227" s="15" t="s">
        <v>3</v>
      </c>
      <c r="G227" s="16">
        <v>4.5549259076E8</v>
      </c>
      <c r="H227" s="17"/>
      <c r="I227" s="4"/>
    </row>
    <row r="228">
      <c r="A228" s="5">
        <v>45090.0</v>
      </c>
      <c r="B228" s="13" t="s">
        <v>243</v>
      </c>
      <c r="C228" s="13" t="s">
        <v>243</v>
      </c>
      <c r="D228" s="14">
        <v>200000.0</v>
      </c>
      <c r="E228" s="16"/>
      <c r="F228" s="16"/>
      <c r="G228" s="16">
        <v>4.5529259076E8</v>
      </c>
      <c r="H228" s="17"/>
      <c r="I228" s="8" t="s">
        <v>9</v>
      </c>
    </row>
    <row r="229">
      <c r="A229" s="5">
        <v>45090.0</v>
      </c>
      <c r="B229" s="13" t="s">
        <v>4</v>
      </c>
      <c r="C229" s="13" t="s">
        <v>244</v>
      </c>
      <c r="D229" s="14">
        <v>2.0372E8</v>
      </c>
      <c r="E229" s="16"/>
      <c r="F229" s="15" t="s">
        <v>6</v>
      </c>
      <c r="G229" s="16">
        <v>2.5157259076E8</v>
      </c>
      <c r="H229" s="17"/>
      <c r="I229" s="8" t="s">
        <v>7</v>
      </c>
    </row>
    <row r="230">
      <c r="A230" s="5">
        <v>45090.0</v>
      </c>
      <c r="B230" s="13" t="s">
        <v>4</v>
      </c>
      <c r="C230" s="13" t="s">
        <v>245</v>
      </c>
      <c r="D230" s="14">
        <v>500000.0</v>
      </c>
      <c r="E230" s="16"/>
      <c r="F230" s="15" t="s">
        <v>6</v>
      </c>
      <c r="G230" s="16">
        <v>2.5107259076E8</v>
      </c>
      <c r="H230" s="17"/>
      <c r="I230" s="8" t="s">
        <v>11</v>
      </c>
    </row>
    <row r="231">
      <c r="A231" s="5">
        <v>45090.0</v>
      </c>
      <c r="B231" s="13" t="s">
        <v>12</v>
      </c>
      <c r="C231" s="13" t="s">
        <v>246</v>
      </c>
      <c r="D231" s="14"/>
      <c r="E231" s="15">
        <v>1.262124E8</v>
      </c>
      <c r="F231" s="15" t="s">
        <v>3</v>
      </c>
      <c r="G231" s="16">
        <v>3.7728499076E8</v>
      </c>
      <c r="H231" s="17"/>
      <c r="I231" s="4" t="s">
        <v>9</v>
      </c>
    </row>
    <row r="232">
      <c r="A232" s="5">
        <v>45090.0</v>
      </c>
      <c r="B232" s="13" t="s">
        <v>4</v>
      </c>
      <c r="C232" s="13" t="s">
        <v>247</v>
      </c>
      <c r="D232" s="14">
        <v>3.0E8</v>
      </c>
      <c r="E232" s="16"/>
      <c r="F232" s="15" t="s">
        <v>6</v>
      </c>
      <c r="G232" s="16">
        <v>7.728499075999999E7</v>
      </c>
      <c r="H232" s="17"/>
      <c r="I232" s="8" t="s">
        <v>7</v>
      </c>
    </row>
    <row r="233">
      <c r="A233" s="5">
        <v>45090.0</v>
      </c>
      <c r="B233" s="13" t="s">
        <v>12</v>
      </c>
      <c r="C233" s="13" t="s">
        <v>248</v>
      </c>
      <c r="D233" s="14"/>
      <c r="E233" s="15">
        <v>3.0E8</v>
      </c>
      <c r="F233" s="15" t="s">
        <v>3</v>
      </c>
      <c r="G233" s="16">
        <v>3.7728499076E8</v>
      </c>
      <c r="H233" s="14">
        <v>3.7728499076E8</v>
      </c>
      <c r="I233" s="4" t="s">
        <v>9</v>
      </c>
    </row>
    <row r="234">
      <c r="A234" s="5">
        <v>45091.0</v>
      </c>
      <c r="B234" s="13" t="s">
        <v>4</v>
      </c>
      <c r="C234" s="13" t="s">
        <v>249</v>
      </c>
      <c r="D234" s="14">
        <v>3.3582474E8</v>
      </c>
      <c r="E234" s="16"/>
      <c r="F234" s="15" t="s">
        <v>6</v>
      </c>
      <c r="G234" s="16">
        <v>4.146025075999999E7</v>
      </c>
      <c r="H234" s="17"/>
      <c r="I234" s="8" t="s">
        <v>7</v>
      </c>
    </row>
    <row r="235">
      <c r="A235" s="5">
        <v>45091.0</v>
      </c>
      <c r="B235" s="13" t="s">
        <v>4</v>
      </c>
      <c r="C235" s="13" t="s">
        <v>250</v>
      </c>
      <c r="D235" s="14">
        <v>2629000.0</v>
      </c>
      <c r="E235" s="16"/>
      <c r="F235" s="15" t="s">
        <v>6</v>
      </c>
      <c r="G235" s="16">
        <v>3.883125075999999E7</v>
      </c>
      <c r="H235" s="17"/>
      <c r="I235" s="8" t="s">
        <v>11</v>
      </c>
    </row>
    <row r="236">
      <c r="A236" s="5">
        <v>45091.0</v>
      </c>
      <c r="B236" s="13" t="s">
        <v>12</v>
      </c>
      <c r="C236" s="13" t="s">
        <v>251</v>
      </c>
      <c r="D236" s="14"/>
      <c r="E236" s="15">
        <v>8.109018E7</v>
      </c>
      <c r="F236" s="15" t="s">
        <v>3</v>
      </c>
      <c r="G236" s="16">
        <v>1.1992143075999999E8</v>
      </c>
      <c r="H236" s="17"/>
      <c r="I236" s="4"/>
    </row>
    <row r="237">
      <c r="A237" s="5">
        <v>45091.0</v>
      </c>
      <c r="B237" s="13" t="s">
        <v>4</v>
      </c>
      <c r="C237" s="13" t="s">
        <v>252</v>
      </c>
      <c r="D237" s="14">
        <v>5.0E7</v>
      </c>
      <c r="E237" s="16"/>
      <c r="F237" s="15" t="s">
        <v>6</v>
      </c>
      <c r="G237" s="16">
        <v>6.992143075999999E7</v>
      </c>
      <c r="H237" s="17"/>
      <c r="I237" s="8" t="s">
        <v>7</v>
      </c>
    </row>
    <row r="238">
      <c r="A238" s="5">
        <v>45091.0</v>
      </c>
      <c r="B238" s="13" t="s">
        <v>4</v>
      </c>
      <c r="C238" s="13" t="s">
        <v>253</v>
      </c>
      <c r="D238" s="14">
        <v>1.0E7</v>
      </c>
      <c r="E238" s="16"/>
      <c r="F238" s="15" t="s">
        <v>6</v>
      </c>
      <c r="G238" s="16">
        <v>5.992143075999999E7</v>
      </c>
      <c r="H238" s="14">
        <v>5.992143076E7</v>
      </c>
      <c r="I238" s="8" t="s">
        <v>7</v>
      </c>
    </row>
    <row r="239">
      <c r="A239" s="5">
        <v>45091.0</v>
      </c>
      <c r="B239" s="13" t="s">
        <v>4</v>
      </c>
      <c r="C239" s="13" t="s">
        <v>254</v>
      </c>
      <c r="D239" s="14">
        <v>700000.0</v>
      </c>
      <c r="E239" s="16"/>
      <c r="F239" s="15" t="s">
        <v>6</v>
      </c>
      <c r="G239" s="16">
        <v>5.922143075999999E7</v>
      </c>
      <c r="H239" s="14">
        <v>5.922143076E7</v>
      </c>
      <c r="I239" s="4" t="s">
        <v>14</v>
      </c>
    </row>
    <row r="240">
      <c r="A240" s="5">
        <v>45091.0</v>
      </c>
      <c r="B240" s="13" t="s">
        <v>12</v>
      </c>
      <c r="C240" s="13" t="s">
        <v>255</v>
      </c>
      <c r="D240" s="14"/>
      <c r="E240" s="15">
        <v>3.557485E8</v>
      </c>
      <c r="F240" s="15" t="s">
        <v>3</v>
      </c>
      <c r="G240" s="16">
        <v>4.1496993076E8</v>
      </c>
      <c r="H240" s="17"/>
      <c r="I240" s="4"/>
    </row>
    <row r="241">
      <c r="A241" s="5">
        <v>45091.0</v>
      </c>
      <c r="B241" s="13" t="s">
        <v>4</v>
      </c>
      <c r="C241" s="13" t="s">
        <v>256</v>
      </c>
      <c r="D241" s="14">
        <v>7.977951E7</v>
      </c>
      <c r="E241" s="16"/>
      <c r="F241" s="15" t="s">
        <v>6</v>
      </c>
      <c r="G241" s="16">
        <v>3.3519042076E8</v>
      </c>
      <c r="H241" s="17"/>
      <c r="I241" s="8" t="s">
        <v>7</v>
      </c>
    </row>
    <row r="242">
      <c r="A242" s="5">
        <v>45091.0</v>
      </c>
      <c r="B242" s="13" t="s">
        <v>4</v>
      </c>
      <c r="C242" s="13" t="s">
        <v>257</v>
      </c>
      <c r="D242" s="14">
        <v>7.67654E7</v>
      </c>
      <c r="E242" s="16"/>
      <c r="F242" s="15" t="s">
        <v>6</v>
      </c>
      <c r="G242" s="16">
        <v>2.5842502076E8</v>
      </c>
      <c r="H242" s="17"/>
      <c r="I242" s="8" t="s">
        <v>7</v>
      </c>
    </row>
    <row r="243">
      <c r="A243" s="5">
        <v>45091.0</v>
      </c>
      <c r="B243" s="13" t="s">
        <v>4</v>
      </c>
      <c r="C243" s="13" t="s">
        <v>258</v>
      </c>
      <c r="D243" s="14">
        <v>6.391E7</v>
      </c>
      <c r="E243" s="16"/>
      <c r="F243" s="15" t="s">
        <v>6</v>
      </c>
      <c r="G243" s="16">
        <v>1.9451502076E8</v>
      </c>
      <c r="H243" s="17"/>
      <c r="I243" s="8" t="s">
        <v>7</v>
      </c>
    </row>
    <row r="244">
      <c r="A244" s="5">
        <v>45091.0</v>
      </c>
      <c r="B244" s="13" t="s">
        <v>4</v>
      </c>
      <c r="C244" s="13" t="s">
        <v>259</v>
      </c>
      <c r="D244" s="14">
        <v>6.16E7</v>
      </c>
      <c r="E244" s="16"/>
      <c r="F244" s="15" t="s">
        <v>6</v>
      </c>
      <c r="G244" s="16">
        <v>1.3291502075999999E8</v>
      </c>
      <c r="H244" s="17"/>
      <c r="I244" s="8" t="s">
        <v>7</v>
      </c>
    </row>
    <row r="245">
      <c r="A245" s="5">
        <v>45091.0</v>
      </c>
      <c r="B245" s="13" t="s">
        <v>4</v>
      </c>
      <c r="C245" s="13" t="s">
        <v>260</v>
      </c>
      <c r="D245" s="14">
        <v>2.8159E7</v>
      </c>
      <c r="E245" s="16"/>
      <c r="F245" s="15" t="s">
        <v>6</v>
      </c>
      <c r="G245" s="16">
        <v>1.0475602075999999E8</v>
      </c>
      <c r="H245" s="17"/>
      <c r="I245" s="8" t="s">
        <v>11</v>
      </c>
    </row>
    <row r="246">
      <c r="A246" s="5">
        <v>45091.0</v>
      </c>
      <c r="B246" s="13" t="s">
        <v>4</v>
      </c>
      <c r="C246" s="13" t="s">
        <v>261</v>
      </c>
      <c r="D246" s="14">
        <v>2485110.0</v>
      </c>
      <c r="E246" s="16"/>
      <c r="F246" s="15" t="s">
        <v>6</v>
      </c>
      <c r="G246" s="16">
        <v>1.0227091075999999E8</v>
      </c>
      <c r="H246" s="17"/>
      <c r="I246" s="8" t="s">
        <v>11</v>
      </c>
    </row>
    <row r="247">
      <c r="A247" s="5">
        <v>45091.0</v>
      </c>
      <c r="B247" s="13" t="s">
        <v>4</v>
      </c>
      <c r="C247" s="13" t="s">
        <v>262</v>
      </c>
      <c r="D247" s="14">
        <v>2750000.0</v>
      </c>
      <c r="E247" s="16"/>
      <c r="F247" s="15" t="s">
        <v>6</v>
      </c>
      <c r="G247" s="16">
        <v>9.952091075999999E7</v>
      </c>
      <c r="H247" s="17"/>
      <c r="I247" s="8" t="s">
        <v>16</v>
      </c>
    </row>
    <row r="248">
      <c r="A248" s="5">
        <v>45091.0</v>
      </c>
      <c r="B248" s="13" t="s">
        <v>12</v>
      </c>
      <c r="C248" s="13" t="s">
        <v>263</v>
      </c>
      <c r="D248" s="14"/>
      <c r="E248" s="15">
        <v>1.0E8</v>
      </c>
      <c r="F248" s="15" t="s">
        <v>3</v>
      </c>
      <c r="G248" s="16">
        <v>1.9952091076E8</v>
      </c>
      <c r="H248" s="17"/>
      <c r="I248" s="4"/>
    </row>
    <row r="249">
      <c r="A249" s="5">
        <v>45091.0</v>
      </c>
      <c r="B249" s="13" t="s">
        <v>4</v>
      </c>
      <c r="C249" s="13" t="s">
        <v>264</v>
      </c>
      <c r="D249" s="14">
        <v>1.665E8</v>
      </c>
      <c r="E249" s="16"/>
      <c r="F249" s="15" t="s">
        <v>6</v>
      </c>
      <c r="G249" s="16">
        <v>3.302091075999999E7</v>
      </c>
      <c r="H249" s="17"/>
      <c r="I249" s="8" t="s">
        <v>7</v>
      </c>
    </row>
    <row r="250">
      <c r="A250" s="5">
        <v>45091.0</v>
      </c>
      <c r="B250" s="13" t="s">
        <v>4</v>
      </c>
      <c r="C250" s="13" t="s">
        <v>265</v>
      </c>
      <c r="D250" s="14">
        <v>940000.0</v>
      </c>
      <c r="E250" s="16"/>
      <c r="F250" s="15" t="s">
        <v>6</v>
      </c>
      <c r="G250" s="16">
        <v>3.208091075999999E7</v>
      </c>
      <c r="H250" s="17"/>
      <c r="I250" s="8" t="s">
        <v>7</v>
      </c>
    </row>
    <row r="251">
      <c r="A251" s="5">
        <v>45091.0</v>
      </c>
      <c r="B251" s="13" t="s">
        <v>12</v>
      </c>
      <c r="C251" s="13" t="s">
        <v>266</v>
      </c>
      <c r="D251" s="14"/>
      <c r="E251" s="15">
        <v>2.0139236E8</v>
      </c>
      <c r="F251" s="15" t="s">
        <v>3</v>
      </c>
      <c r="G251" s="16">
        <v>2.3347327076E8</v>
      </c>
      <c r="H251" s="14">
        <v>2.3347327076E8</v>
      </c>
      <c r="I251" s="4"/>
    </row>
    <row r="252">
      <c r="A252" s="18" t="s">
        <v>267</v>
      </c>
      <c r="B252" s="10" t="s">
        <v>4</v>
      </c>
      <c r="C252" s="10" t="s">
        <v>268</v>
      </c>
      <c r="D252" s="11">
        <v>4556400.0</v>
      </c>
      <c r="E252" s="12"/>
      <c r="F252" s="11" t="s">
        <v>6</v>
      </c>
      <c r="G252" s="12">
        <v>2.2891687076E8</v>
      </c>
      <c r="H252" s="11">
        <v>2.2891687076E8</v>
      </c>
      <c r="I252" s="8" t="s">
        <v>7</v>
      </c>
    </row>
    <row r="253">
      <c r="A253" s="18" t="s">
        <v>267</v>
      </c>
      <c r="B253" s="6" t="s">
        <v>4</v>
      </c>
      <c r="C253" s="6" t="s">
        <v>269</v>
      </c>
      <c r="D253" s="2">
        <v>1576900.0</v>
      </c>
      <c r="E253" s="7"/>
      <c r="F253" s="2" t="s">
        <v>6</v>
      </c>
      <c r="G253" s="7">
        <v>2.2733997076E8</v>
      </c>
      <c r="H253" s="7"/>
      <c r="I253" s="8" t="s">
        <v>11</v>
      </c>
    </row>
    <row r="254">
      <c r="A254" s="18" t="s">
        <v>267</v>
      </c>
      <c r="B254" s="6" t="s">
        <v>4</v>
      </c>
      <c r="C254" s="6" t="s">
        <v>270</v>
      </c>
      <c r="D254" s="2">
        <v>6.5E7</v>
      </c>
      <c r="E254" s="7"/>
      <c r="F254" s="2" t="s">
        <v>6</v>
      </c>
      <c r="G254" s="7">
        <v>1.6233997076E8</v>
      </c>
      <c r="H254" s="7"/>
      <c r="I254" s="8" t="s">
        <v>7</v>
      </c>
    </row>
    <row r="255">
      <c r="A255" s="18" t="s">
        <v>267</v>
      </c>
      <c r="B255" s="6" t="s">
        <v>4</v>
      </c>
      <c r="C255" s="6" t="s">
        <v>271</v>
      </c>
      <c r="D255" s="2">
        <v>1.3417902E8</v>
      </c>
      <c r="E255" s="7"/>
      <c r="F255" s="2" t="s">
        <v>6</v>
      </c>
      <c r="G255" s="7">
        <v>2.816095075999999E7</v>
      </c>
      <c r="H255" s="2">
        <v>2.816095076E7</v>
      </c>
      <c r="I255" s="8" t="s">
        <v>7</v>
      </c>
    </row>
    <row r="256">
      <c r="A256" s="18" t="s">
        <v>272</v>
      </c>
      <c r="B256" s="6" t="s">
        <v>41</v>
      </c>
      <c r="C256" s="6" t="s">
        <v>273</v>
      </c>
      <c r="D256" s="2">
        <v>53400.0</v>
      </c>
      <c r="E256" s="7"/>
      <c r="F256" s="7"/>
      <c r="G256" s="7">
        <v>2.810755075999999E7</v>
      </c>
      <c r="H256" s="7"/>
      <c r="I256" s="8" t="s">
        <v>9</v>
      </c>
    </row>
    <row r="257">
      <c r="A257" s="18" t="s">
        <v>272</v>
      </c>
      <c r="B257" s="6" t="s">
        <v>274</v>
      </c>
      <c r="C257" s="6" t="s">
        <v>275</v>
      </c>
      <c r="D257" s="2">
        <v>250000.0</v>
      </c>
      <c r="E257" s="7"/>
      <c r="F257" s="7"/>
      <c r="G257" s="7">
        <v>2.785755075999999E7</v>
      </c>
      <c r="H257" s="7"/>
      <c r="I257" s="8" t="s">
        <v>9</v>
      </c>
    </row>
    <row r="258">
      <c r="A258" s="18" t="s">
        <v>272</v>
      </c>
      <c r="B258" s="6" t="s">
        <v>276</v>
      </c>
      <c r="C258" s="6" t="s">
        <v>276</v>
      </c>
      <c r="D258" s="2">
        <v>700000.0</v>
      </c>
      <c r="E258" s="7"/>
      <c r="F258" s="7"/>
      <c r="G258" s="7">
        <v>2.715755075999999E7</v>
      </c>
      <c r="H258" s="7"/>
      <c r="I258" s="8" t="s">
        <v>9</v>
      </c>
    </row>
    <row r="259">
      <c r="A259" s="18" t="s">
        <v>272</v>
      </c>
      <c r="B259" s="6" t="s">
        <v>12</v>
      </c>
      <c r="C259" s="6" t="s">
        <v>277</v>
      </c>
      <c r="D259" s="2"/>
      <c r="E259" s="2">
        <v>3.135625E8</v>
      </c>
      <c r="F259" s="2" t="s">
        <v>3</v>
      </c>
      <c r="G259" s="7">
        <v>3.4072005076E8</v>
      </c>
      <c r="H259" s="7"/>
      <c r="I259" s="4"/>
    </row>
    <row r="260">
      <c r="A260" s="18" t="s">
        <v>272</v>
      </c>
      <c r="B260" s="6" t="s">
        <v>4</v>
      </c>
      <c r="C260" s="6" t="s">
        <v>278</v>
      </c>
      <c r="D260" s="2">
        <v>9056250.0</v>
      </c>
      <c r="E260" s="7"/>
      <c r="F260" s="2" t="s">
        <v>6</v>
      </c>
      <c r="G260" s="7">
        <v>3.3166380076E8</v>
      </c>
      <c r="H260" s="7"/>
      <c r="I260" s="4" t="s">
        <v>7</v>
      </c>
    </row>
    <row r="261">
      <c r="A261" s="18" t="s">
        <v>272</v>
      </c>
      <c r="B261" s="6" t="s">
        <v>4</v>
      </c>
      <c r="C261" s="6" t="s">
        <v>279</v>
      </c>
      <c r="D261" s="2">
        <v>8.18035E7</v>
      </c>
      <c r="E261" s="7"/>
      <c r="F261" s="2" t="s">
        <v>6</v>
      </c>
      <c r="G261" s="7">
        <v>2.4986030076E8</v>
      </c>
      <c r="H261" s="7"/>
      <c r="I261" s="4" t="s">
        <v>7</v>
      </c>
    </row>
    <row r="262">
      <c r="A262" s="18" t="s">
        <v>272</v>
      </c>
      <c r="B262" s="6" t="s">
        <v>12</v>
      </c>
      <c r="C262" s="6" t="s">
        <v>280</v>
      </c>
      <c r="D262" s="2"/>
      <c r="E262" s="2">
        <v>8.543004E7</v>
      </c>
      <c r="F262" s="2" t="s">
        <v>3</v>
      </c>
      <c r="G262" s="7">
        <v>3.3529034076E8</v>
      </c>
      <c r="H262" s="7"/>
      <c r="I262" s="4" t="s">
        <v>7</v>
      </c>
    </row>
    <row r="263">
      <c r="A263" s="18" t="s">
        <v>272</v>
      </c>
      <c r="B263" s="6" t="s">
        <v>12</v>
      </c>
      <c r="C263" s="6" t="s">
        <v>281</v>
      </c>
      <c r="D263" s="2"/>
      <c r="E263" s="2">
        <v>1.0E8</v>
      </c>
      <c r="F263" s="2" t="s">
        <v>3</v>
      </c>
      <c r="G263" s="7">
        <v>4.3529034076E8</v>
      </c>
      <c r="H263" s="7"/>
      <c r="I263" s="4" t="s">
        <v>7</v>
      </c>
    </row>
    <row r="264">
      <c r="A264" s="18" t="s">
        <v>272</v>
      </c>
      <c r="B264" s="6" t="s">
        <v>12</v>
      </c>
      <c r="C264" s="6" t="s">
        <v>282</v>
      </c>
      <c r="D264" s="2"/>
      <c r="E264" s="2">
        <v>2.635273E8</v>
      </c>
      <c r="F264" s="2" t="s">
        <v>3</v>
      </c>
      <c r="G264" s="7">
        <v>6.9881764076E8</v>
      </c>
      <c r="H264" s="2">
        <v>6.9881764076E8</v>
      </c>
      <c r="I264" s="4" t="s">
        <v>7</v>
      </c>
    </row>
    <row r="265">
      <c r="A265" s="18" t="s">
        <v>272</v>
      </c>
      <c r="B265" s="6" t="s">
        <v>4</v>
      </c>
      <c r="C265" s="6" t="s">
        <v>283</v>
      </c>
      <c r="D265" s="2">
        <v>1.33866E8</v>
      </c>
      <c r="E265" s="7"/>
      <c r="F265" s="2" t="s">
        <v>6</v>
      </c>
      <c r="G265" s="7">
        <v>5.6495164076E8</v>
      </c>
      <c r="H265" s="2">
        <v>5.6495164076E8</v>
      </c>
      <c r="I265" s="4" t="s">
        <v>7</v>
      </c>
    </row>
    <row r="266">
      <c r="A266" s="18" t="s">
        <v>272</v>
      </c>
      <c r="B266" s="6" t="s">
        <v>4</v>
      </c>
      <c r="C266" s="6" t="s">
        <v>284</v>
      </c>
      <c r="D266" s="2">
        <v>2.12E8</v>
      </c>
      <c r="E266" s="7"/>
      <c r="F266" s="2" t="s">
        <v>6</v>
      </c>
      <c r="G266" s="7">
        <v>3.5295164076E8</v>
      </c>
      <c r="H266" s="7"/>
      <c r="I266" s="4" t="s">
        <v>14</v>
      </c>
    </row>
    <row r="267">
      <c r="A267" s="18" t="s">
        <v>272</v>
      </c>
      <c r="B267" s="6" t="s">
        <v>4</v>
      </c>
      <c r="C267" s="6" t="s">
        <v>285</v>
      </c>
      <c r="D267" s="2">
        <v>7.7E7</v>
      </c>
      <c r="E267" s="7"/>
      <c r="F267" s="2" t="s">
        <v>6</v>
      </c>
      <c r="G267" s="7">
        <v>2.7595164076E8</v>
      </c>
      <c r="H267" s="7"/>
      <c r="I267" s="4" t="s">
        <v>7</v>
      </c>
    </row>
    <row r="268">
      <c r="A268" s="18" t="s">
        <v>272</v>
      </c>
      <c r="B268" s="6" t="s">
        <v>4</v>
      </c>
      <c r="C268" s="6" t="s">
        <v>286</v>
      </c>
      <c r="D268" s="2">
        <v>8.03067E7</v>
      </c>
      <c r="E268" s="7"/>
      <c r="F268" s="2" t="s">
        <v>6</v>
      </c>
      <c r="G268" s="7">
        <v>1.9564494076E8</v>
      </c>
      <c r="H268" s="7"/>
      <c r="I268" s="4" t="s">
        <v>7</v>
      </c>
    </row>
    <row r="269">
      <c r="A269" s="18" t="s">
        <v>272</v>
      </c>
      <c r="B269" s="6" t="s">
        <v>4</v>
      </c>
      <c r="C269" s="6" t="s">
        <v>287</v>
      </c>
      <c r="D269" s="2">
        <v>1.2161314E8</v>
      </c>
      <c r="E269" s="7"/>
      <c r="F269" s="2" t="s">
        <v>6</v>
      </c>
      <c r="G269" s="7">
        <v>7.403180075999999E7</v>
      </c>
      <c r="H269" s="7"/>
      <c r="I269" s="4" t="s">
        <v>7</v>
      </c>
    </row>
    <row r="270">
      <c r="A270" s="18" t="s">
        <v>272</v>
      </c>
      <c r="B270" s="6" t="s">
        <v>4</v>
      </c>
      <c r="C270" s="6" t="s">
        <v>288</v>
      </c>
      <c r="D270" s="2">
        <v>3014800.0</v>
      </c>
      <c r="E270" s="7"/>
      <c r="F270" s="2" t="s">
        <v>6</v>
      </c>
      <c r="G270" s="7">
        <v>7.101700075999999E7</v>
      </c>
      <c r="H270" s="7"/>
      <c r="I270" s="8" t="s">
        <v>11</v>
      </c>
    </row>
    <row r="271">
      <c r="A271" s="18" t="s">
        <v>272</v>
      </c>
      <c r="B271" s="6" t="s">
        <v>4</v>
      </c>
      <c r="C271" s="6" t="s">
        <v>289</v>
      </c>
      <c r="D271" s="2">
        <v>1616060.0</v>
      </c>
      <c r="E271" s="7"/>
      <c r="F271" s="2" t="s">
        <v>6</v>
      </c>
      <c r="G271" s="7">
        <v>6.940094075999999E7</v>
      </c>
      <c r="H271" s="7"/>
      <c r="I271" s="8" t="s">
        <v>11</v>
      </c>
    </row>
    <row r="272">
      <c r="A272" s="18" t="s">
        <v>272</v>
      </c>
      <c r="B272" s="6" t="s">
        <v>12</v>
      </c>
      <c r="C272" s="6" t="s">
        <v>290</v>
      </c>
      <c r="D272" s="2"/>
      <c r="E272" s="2">
        <v>2.1813209E8</v>
      </c>
      <c r="F272" s="2" t="s">
        <v>3</v>
      </c>
      <c r="G272" s="7">
        <v>2.8753303076E8</v>
      </c>
      <c r="H272" s="7"/>
      <c r="I272" s="4" t="s">
        <v>7</v>
      </c>
    </row>
    <row r="273">
      <c r="A273" s="18" t="s">
        <v>272</v>
      </c>
      <c r="B273" s="6" t="s">
        <v>4</v>
      </c>
      <c r="C273" s="6" t="s">
        <v>291</v>
      </c>
      <c r="D273" s="2">
        <v>1.2726727E8</v>
      </c>
      <c r="E273" s="7"/>
      <c r="F273" s="2" t="s">
        <v>6</v>
      </c>
      <c r="G273" s="7">
        <v>1.6026576076E8</v>
      </c>
      <c r="H273" s="2">
        <v>1.6026576076E8</v>
      </c>
      <c r="I273" s="4" t="s">
        <v>7</v>
      </c>
    </row>
    <row r="274">
      <c r="A274" s="18" t="s">
        <v>292</v>
      </c>
      <c r="B274" s="6" t="s">
        <v>293</v>
      </c>
      <c r="C274" s="6" t="s">
        <v>294</v>
      </c>
      <c r="D274" s="2">
        <v>6.75E7</v>
      </c>
      <c r="E274" s="7"/>
      <c r="F274" s="2" t="s">
        <v>6</v>
      </c>
      <c r="G274" s="7">
        <v>9.276576075999999E7</v>
      </c>
      <c r="H274" s="7"/>
      <c r="I274" s="4" t="s">
        <v>7</v>
      </c>
    </row>
    <row r="275">
      <c r="A275" s="18" t="s">
        <v>292</v>
      </c>
      <c r="B275" s="6" t="s">
        <v>293</v>
      </c>
      <c r="C275" s="6" t="s">
        <v>295</v>
      </c>
      <c r="D275" s="2">
        <v>8.6805E7</v>
      </c>
      <c r="E275" s="7"/>
      <c r="F275" s="2" t="s">
        <v>6</v>
      </c>
      <c r="G275" s="7">
        <v>5960760.75999999</v>
      </c>
      <c r="H275" s="7"/>
      <c r="I275" s="4" t="s">
        <v>7</v>
      </c>
    </row>
    <row r="276">
      <c r="A276" s="18" t="s">
        <v>292</v>
      </c>
      <c r="B276" s="6" t="s">
        <v>296</v>
      </c>
      <c r="C276" s="6" t="s">
        <v>154</v>
      </c>
      <c r="D276" s="2">
        <v>1816800.0</v>
      </c>
      <c r="E276" s="7"/>
      <c r="F276" s="2" t="s">
        <v>6</v>
      </c>
      <c r="G276" s="7">
        <v>4143960.7599999905</v>
      </c>
      <c r="H276" s="2">
        <v>4143960.76</v>
      </c>
      <c r="I276" s="8" t="s">
        <v>11</v>
      </c>
    </row>
    <row r="277">
      <c r="A277" s="18" t="s">
        <v>292</v>
      </c>
      <c r="B277" s="6" t="s">
        <v>296</v>
      </c>
      <c r="C277" s="6" t="s">
        <v>155</v>
      </c>
      <c r="D277" s="2">
        <v>2500.0</v>
      </c>
      <c r="E277" s="7"/>
      <c r="F277" s="2" t="s">
        <v>6</v>
      </c>
      <c r="G277" s="7">
        <v>4141460.7599999905</v>
      </c>
      <c r="H277" s="2">
        <v>4141460.76</v>
      </c>
      <c r="I277" s="8" t="s">
        <v>11</v>
      </c>
    </row>
    <row r="278">
      <c r="A278" s="18" t="s">
        <v>292</v>
      </c>
      <c r="B278" s="6" t="s">
        <v>293</v>
      </c>
      <c r="C278" s="6" t="s">
        <v>297</v>
      </c>
      <c r="D278" s="2">
        <v>3826160.0</v>
      </c>
      <c r="E278" s="7"/>
      <c r="F278" s="2" t="s">
        <v>6</v>
      </c>
      <c r="G278" s="7">
        <v>315300.75999999046</v>
      </c>
      <c r="H278" s="7"/>
      <c r="I278" s="8" t="s">
        <v>11</v>
      </c>
    </row>
    <row r="279">
      <c r="A279" s="18" t="s">
        <v>292</v>
      </c>
      <c r="B279" s="6" t="s">
        <v>12</v>
      </c>
      <c r="C279" s="6" t="s">
        <v>298</v>
      </c>
      <c r="D279" s="2"/>
      <c r="E279" s="2">
        <v>5.8034028E8</v>
      </c>
      <c r="F279" s="2" t="s">
        <v>3</v>
      </c>
      <c r="G279" s="7">
        <v>5.8065558076E8</v>
      </c>
      <c r="H279" s="7"/>
      <c r="I279" s="4" t="s">
        <v>7</v>
      </c>
    </row>
    <row r="280">
      <c r="A280" s="18" t="s">
        <v>292</v>
      </c>
      <c r="B280" s="6" t="s">
        <v>4</v>
      </c>
      <c r="C280" s="6" t="s">
        <v>299</v>
      </c>
      <c r="D280" s="2">
        <v>1500000.0</v>
      </c>
      <c r="E280" s="7"/>
      <c r="F280" s="2" t="s">
        <v>6</v>
      </c>
      <c r="G280" s="7">
        <v>5.7915558076E8</v>
      </c>
      <c r="H280" s="7"/>
      <c r="I280" s="8" t="s">
        <v>9</v>
      </c>
    </row>
    <row r="281">
      <c r="A281" s="18" t="s">
        <v>292</v>
      </c>
      <c r="B281" s="6" t="s">
        <v>4</v>
      </c>
      <c r="C281" s="6" t="s">
        <v>300</v>
      </c>
      <c r="D281" s="2">
        <v>8.0E7</v>
      </c>
      <c r="E281" s="7"/>
      <c r="F281" s="2" t="s">
        <v>6</v>
      </c>
      <c r="G281" s="7">
        <v>4.9915558076E8</v>
      </c>
      <c r="H281" s="7"/>
      <c r="I281" s="4" t="s">
        <v>7</v>
      </c>
    </row>
    <row r="282">
      <c r="A282" s="18" t="s">
        <v>292</v>
      </c>
      <c r="B282" s="6" t="s">
        <v>4</v>
      </c>
      <c r="C282" s="6" t="s">
        <v>301</v>
      </c>
      <c r="D282" s="2">
        <v>8.70188E7</v>
      </c>
      <c r="E282" s="7"/>
      <c r="F282" s="2" t="s">
        <v>6</v>
      </c>
      <c r="G282" s="7">
        <v>4.1213678076E8</v>
      </c>
      <c r="H282" s="7"/>
      <c r="I282" s="4" t="s">
        <v>7</v>
      </c>
    </row>
    <row r="283">
      <c r="A283" s="18" t="s">
        <v>292</v>
      </c>
      <c r="B283" s="6" t="s">
        <v>4</v>
      </c>
      <c r="C283" s="6" t="s">
        <v>302</v>
      </c>
      <c r="D283" s="2">
        <v>1.107E8</v>
      </c>
      <c r="E283" s="7"/>
      <c r="F283" s="2" t="s">
        <v>6</v>
      </c>
      <c r="G283" s="7">
        <v>3.0143678076E8</v>
      </c>
      <c r="H283" s="7"/>
      <c r="I283" s="4" t="s">
        <v>7</v>
      </c>
    </row>
    <row r="284">
      <c r="A284" s="18" t="s">
        <v>292</v>
      </c>
      <c r="B284" s="6" t="s">
        <v>4</v>
      </c>
      <c r="C284" s="6" t="s">
        <v>303</v>
      </c>
      <c r="D284" s="2">
        <v>5.1832E7</v>
      </c>
      <c r="E284" s="7"/>
      <c r="F284" s="2" t="s">
        <v>6</v>
      </c>
      <c r="G284" s="7">
        <v>2.4960478076E8</v>
      </c>
      <c r="H284" s="7"/>
      <c r="I284" s="4" t="s">
        <v>7</v>
      </c>
    </row>
    <row r="285">
      <c r="A285" s="18" t="s">
        <v>292</v>
      </c>
      <c r="B285" s="6" t="s">
        <v>4</v>
      </c>
      <c r="C285" s="6" t="s">
        <v>304</v>
      </c>
      <c r="D285" s="2">
        <v>6.44625E7</v>
      </c>
      <c r="E285" s="7"/>
      <c r="F285" s="2" t="s">
        <v>6</v>
      </c>
      <c r="G285" s="7">
        <v>1.8514228076E8</v>
      </c>
      <c r="H285" s="7"/>
      <c r="I285" s="4" t="s">
        <v>7</v>
      </c>
    </row>
    <row r="286">
      <c r="A286" s="18" t="s">
        <v>292</v>
      </c>
      <c r="B286" s="6" t="s">
        <v>4</v>
      </c>
      <c r="C286" s="6" t="s">
        <v>305</v>
      </c>
      <c r="D286" s="2">
        <v>6.701352E7</v>
      </c>
      <c r="E286" s="7"/>
      <c r="F286" s="2" t="s">
        <v>6</v>
      </c>
      <c r="G286" s="7">
        <v>1.1812876075999999E8</v>
      </c>
      <c r="H286" s="7"/>
      <c r="I286" s="4" t="s">
        <v>7</v>
      </c>
    </row>
    <row r="287">
      <c r="A287" s="18" t="s">
        <v>292</v>
      </c>
      <c r="B287" s="6" t="s">
        <v>12</v>
      </c>
      <c r="C287" s="6" t="s">
        <v>306</v>
      </c>
      <c r="D287" s="2"/>
      <c r="E287" s="2">
        <v>6.230989E7</v>
      </c>
      <c r="F287" s="2" t="s">
        <v>3</v>
      </c>
      <c r="G287" s="7">
        <v>1.8043865076E8</v>
      </c>
      <c r="H287" s="7"/>
      <c r="I287" s="4" t="s">
        <v>7</v>
      </c>
    </row>
    <row r="288">
      <c r="A288" s="18" t="s">
        <v>292</v>
      </c>
      <c r="B288" s="6" t="s">
        <v>12</v>
      </c>
      <c r="C288" s="6" t="s">
        <v>307</v>
      </c>
      <c r="D288" s="2"/>
      <c r="E288" s="2">
        <v>1.7345751E8</v>
      </c>
      <c r="F288" s="2" t="s">
        <v>3</v>
      </c>
      <c r="G288" s="7">
        <v>3.5389616076E8</v>
      </c>
      <c r="H288" s="7"/>
      <c r="I288" s="4" t="s">
        <v>7</v>
      </c>
    </row>
    <row r="289">
      <c r="A289" s="18" t="s">
        <v>292</v>
      </c>
      <c r="B289" s="6" t="s">
        <v>4</v>
      </c>
      <c r="C289" s="6" t="s">
        <v>308</v>
      </c>
      <c r="D289" s="2">
        <v>100000.0</v>
      </c>
      <c r="E289" s="7"/>
      <c r="F289" s="2" t="s">
        <v>6</v>
      </c>
      <c r="G289" s="7">
        <v>3.5379616076E8</v>
      </c>
      <c r="H289" s="2">
        <v>3.5379616076E8</v>
      </c>
      <c r="I289" s="8" t="s">
        <v>9</v>
      </c>
    </row>
    <row r="290">
      <c r="A290" s="18" t="s">
        <v>292</v>
      </c>
      <c r="B290" s="6" t="s">
        <v>4</v>
      </c>
      <c r="C290" s="6" t="s">
        <v>309</v>
      </c>
      <c r="D290" s="2">
        <v>7.04E7</v>
      </c>
      <c r="E290" s="7"/>
      <c r="F290" s="2" t="s">
        <v>6</v>
      </c>
      <c r="G290" s="7">
        <v>2.8339616076E8</v>
      </c>
      <c r="H290" s="2">
        <v>2.8339616076E8</v>
      </c>
      <c r="I290" s="4" t="s">
        <v>7</v>
      </c>
    </row>
    <row r="291">
      <c r="A291" s="18" t="s">
        <v>292</v>
      </c>
      <c r="B291" s="6" t="s">
        <v>4</v>
      </c>
      <c r="C291" s="6" t="s">
        <v>310</v>
      </c>
      <c r="D291" s="2">
        <v>1.383692E8</v>
      </c>
      <c r="E291" s="7"/>
      <c r="F291" s="2" t="s">
        <v>6</v>
      </c>
      <c r="G291" s="7">
        <v>1.4502696076E8</v>
      </c>
      <c r="H291" s="7"/>
      <c r="I291" s="4" t="s">
        <v>7</v>
      </c>
    </row>
    <row r="292">
      <c r="A292" s="18" t="s">
        <v>292</v>
      </c>
      <c r="B292" s="6" t="s">
        <v>12</v>
      </c>
      <c r="C292" s="6" t="s">
        <v>311</v>
      </c>
      <c r="D292" s="2"/>
      <c r="E292" s="2">
        <v>7.370082E7</v>
      </c>
      <c r="F292" s="2" t="s">
        <v>3</v>
      </c>
      <c r="G292" s="7">
        <v>2.1872778076E8</v>
      </c>
      <c r="H292" s="7"/>
      <c r="I292" s="4" t="s">
        <v>7</v>
      </c>
    </row>
    <row r="293">
      <c r="A293" s="18" t="s">
        <v>292</v>
      </c>
      <c r="B293" s="6" t="s">
        <v>4</v>
      </c>
      <c r="C293" s="6" t="s">
        <v>312</v>
      </c>
      <c r="D293" s="2">
        <v>1000000.0</v>
      </c>
      <c r="E293" s="7"/>
      <c r="F293" s="2" t="s">
        <v>6</v>
      </c>
      <c r="G293" s="7">
        <v>2.1772778076E8</v>
      </c>
      <c r="H293" s="7"/>
      <c r="I293" s="8" t="s">
        <v>11</v>
      </c>
    </row>
    <row r="294">
      <c r="A294" s="18" t="s">
        <v>292</v>
      </c>
      <c r="B294" s="6" t="s">
        <v>12</v>
      </c>
      <c r="C294" s="6" t="s">
        <v>313</v>
      </c>
      <c r="D294" s="2"/>
      <c r="E294" s="2">
        <v>4.0E7</v>
      </c>
      <c r="F294" s="2" t="s">
        <v>3</v>
      </c>
      <c r="G294" s="7">
        <v>2.5772778076E8</v>
      </c>
      <c r="H294" s="7"/>
      <c r="I294" s="4" t="s">
        <v>7</v>
      </c>
    </row>
    <row r="295">
      <c r="A295" s="18" t="s">
        <v>292</v>
      </c>
      <c r="B295" s="6" t="s">
        <v>314</v>
      </c>
      <c r="C295" s="6" t="s">
        <v>314</v>
      </c>
      <c r="D295" s="2">
        <v>19000.0</v>
      </c>
      <c r="E295" s="7"/>
      <c r="F295" s="7"/>
      <c r="G295" s="7">
        <v>2.5770878076E8</v>
      </c>
      <c r="H295" s="2">
        <v>2.5770878076E8</v>
      </c>
      <c r="I295" s="4" t="s">
        <v>7</v>
      </c>
    </row>
    <row r="296">
      <c r="A296" s="18" t="s">
        <v>315</v>
      </c>
      <c r="B296" s="6" t="s">
        <v>4</v>
      </c>
      <c r="C296" s="6" t="s">
        <v>316</v>
      </c>
      <c r="D296" s="2">
        <v>6.0E7</v>
      </c>
      <c r="E296" s="7"/>
      <c r="F296" s="2" t="s">
        <v>6</v>
      </c>
      <c r="G296" s="7">
        <v>1.9770878076E8</v>
      </c>
      <c r="H296" s="7"/>
      <c r="I296" s="4" t="s">
        <v>7</v>
      </c>
    </row>
    <row r="297">
      <c r="A297" s="18" t="s">
        <v>315</v>
      </c>
      <c r="B297" s="6" t="s">
        <v>4</v>
      </c>
      <c r="C297" s="6" t="s">
        <v>317</v>
      </c>
      <c r="D297" s="2">
        <v>1.07542E7</v>
      </c>
      <c r="E297" s="7"/>
      <c r="F297" s="2" t="s">
        <v>6</v>
      </c>
      <c r="G297" s="7">
        <v>1.8695458076E8</v>
      </c>
      <c r="H297" s="7"/>
      <c r="I297" s="4" t="s">
        <v>7</v>
      </c>
    </row>
    <row r="298">
      <c r="A298" s="18" t="s">
        <v>315</v>
      </c>
      <c r="B298" s="6" t="s">
        <v>4</v>
      </c>
      <c r="C298" s="6" t="s">
        <v>318</v>
      </c>
      <c r="D298" s="2">
        <v>1.409367E8</v>
      </c>
      <c r="E298" s="7"/>
      <c r="F298" s="2" t="s">
        <v>6</v>
      </c>
      <c r="G298" s="7">
        <v>4.601788075999999E7</v>
      </c>
      <c r="H298" s="7"/>
      <c r="I298" s="4" t="s">
        <v>7</v>
      </c>
    </row>
    <row r="299">
      <c r="A299" s="18" t="s">
        <v>315</v>
      </c>
      <c r="B299" s="6" t="s">
        <v>4</v>
      </c>
      <c r="C299" s="6" t="s">
        <v>319</v>
      </c>
      <c r="D299" s="2">
        <v>924220.0</v>
      </c>
      <c r="E299" s="7"/>
      <c r="F299" s="2" t="s">
        <v>6</v>
      </c>
      <c r="G299" s="7">
        <v>4.509366075999999E7</v>
      </c>
      <c r="H299" s="7"/>
      <c r="I299" s="8" t="s">
        <v>11</v>
      </c>
    </row>
    <row r="300">
      <c r="A300" s="18" t="s">
        <v>315</v>
      </c>
      <c r="B300" s="6" t="s">
        <v>4</v>
      </c>
      <c r="C300" s="6" t="s">
        <v>320</v>
      </c>
      <c r="D300" s="2">
        <v>2269500.0</v>
      </c>
      <c r="E300" s="7"/>
      <c r="F300" s="2" t="s">
        <v>6</v>
      </c>
      <c r="G300" s="7">
        <v>4.282416075999999E7</v>
      </c>
      <c r="H300" s="7"/>
      <c r="I300" s="8" t="s">
        <v>11</v>
      </c>
    </row>
    <row r="301">
      <c r="A301" s="18" t="s">
        <v>315</v>
      </c>
      <c r="B301" s="6" t="s">
        <v>12</v>
      </c>
      <c r="C301" s="6" t="s">
        <v>321</v>
      </c>
      <c r="D301" s="2"/>
      <c r="E301" s="2">
        <v>8.763868E7</v>
      </c>
      <c r="F301" s="2" t="s">
        <v>3</v>
      </c>
      <c r="G301" s="7">
        <v>1.3046284075999999E8</v>
      </c>
      <c r="H301" s="7"/>
      <c r="I301" s="4" t="s">
        <v>7</v>
      </c>
    </row>
    <row r="302">
      <c r="A302" s="18" t="s">
        <v>315</v>
      </c>
      <c r="B302" s="6" t="s">
        <v>12</v>
      </c>
      <c r="C302" s="6" t="s">
        <v>322</v>
      </c>
      <c r="D302" s="2"/>
      <c r="E302" s="2">
        <v>6.7067479E8</v>
      </c>
      <c r="F302" s="2" t="s">
        <v>3</v>
      </c>
      <c r="G302" s="7">
        <v>8.0113763076E8</v>
      </c>
      <c r="H302" s="7"/>
      <c r="I302" s="4" t="s">
        <v>7</v>
      </c>
    </row>
    <row r="303">
      <c r="A303" s="18" t="s">
        <v>315</v>
      </c>
      <c r="B303" s="6" t="s">
        <v>4</v>
      </c>
      <c r="C303" s="6" t="s">
        <v>323</v>
      </c>
      <c r="D303" s="2">
        <v>6.400125E7</v>
      </c>
      <c r="E303" s="7"/>
      <c r="F303" s="2" t="s">
        <v>6</v>
      </c>
      <c r="G303" s="7">
        <v>7.3713638076E8</v>
      </c>
      <c r="H303" s="2">
        <v>7.3713638076E8</v>
      </c>
      <c r="I303" s="4" t="s">
        <v>7</v>
      </c>
    </row>
    <row r="304">
      <c r="A304" s="18" t="s">
        <v>315</v>
      </c>
      <c r="B304" s="6" t="s">
        <v>4</v>
      </c>
      <c r="C304" s="6" t="s">
        <v>324</v>
      </c>
      <c r="D304" s="2">
        <v>1.726934E8</v>
      </c>
      <c r="E304" s="7"/>
      <c r="F304" s="2" t="s">
        <v>6</v>
      </c>
      <c r="G304" s="7">
        <v>5.6444298076E8</v>
      </c>
      <c r="H304" s="2">
        <v>5.6444298076E8</v>
      </c>
      <c r="I304" s="4" t="s">
        <v>7</v>
      </c>
    </row>
    <row r="305">
      <c r="A305" s="18" t="s">
        <v>315</v>
      </c>
      <c r="B305" s="6" t="s">
        <v>4</v>
      </c>
      <c r="C305" s="6" t="s">
        <v>325</v>
      </c>
      <c r="D305" s="2">
        <v>1.5946133E8</v>
      </c>
      <c r="E305" s="7"/>
      <c r="F305" s="2" t="s">
        <v>6</v>
      </c>
      <c r="G305" s="7">
        <v>4.0498165076E8</v>
      </c>
      <c r="H305" s="7"/>
      <c r="I305" s="4" t="s">
        <v>7</v>
      </c>
    </row>
    <row r="306">
      <c r="A306" s="18" t="s">
        <v>315</v>
      </c>
      <c r="B306" s="6" t="s">
        <v>4</v>
      </c>
      <c r="C306" s="6" t="s">
        <v>326</v>
      </c>
      <c r="D306" s="2">
        <v>6.6105E7</v>
      </c>
      <c r="E306" s="7"/>
      <c r="F306" s="2" t="s">
        <v>6</v>
      </c>
      <c r="G306" s="7">
        <v>3.3887665076E8</v>
      </c>
      <c r="H306" s="7"/>
      <c r="I306" s="4" t="s">
        <v>7</v>
      </c>
    </row>
    <row r="307">
      <c r="A307" s="18" t="s">
        <v>315</v>
      </c>
      <c r="B307" s="6" t="s">
        <v>4</v>
      </c>
      <c r="C307" s="6" t="s">
        <v>327</v>
      </c>
      <c r="D307" s="2">
        <v>5.0E7</v>
      </c>
      <c r="E307" s="7"/>
      <c r="F307" s="2" t="s">
        <v>6</v>
      </c>
      <c r="G307" s="7">
        <v>2.8887665076E8</v>
      </c>
      <c r="H307" s="7"/>
      <c r="I307" s="8" t="s">
        <v>11</v>
      </c>
    </row>
    <row r="308">
      <c r="A308" s="18" t="s">
        <v>315</v>
      </c>
      <c r="B308" s="6" t="s">
        <v>55</v>
      </c>
      <c r="C308" s="6" t="s">
        <v>188</v>
      </c>
      <c r="D308" s="2">
        <v>2156860.0</v>
      </c>
      <c r="E308" s="7"/>
      <c r="F308" s="2" t="s">
        <v>6</v>
      </c>
      <c r="G308" s="7">
        <v>2.8671979076E8</v>
      </c>
      <c r="H308" s="7"/>
      <c r="I308" s="8" t="s">
        <v>11</v>
      </c>
    </row>
    <row r="309">
      <c r="A309" s="18" t="s">
        <v>315</v>
      </c>
      <c r="B309" s="6" t="s">
        <v>55</v>
      </c>
      <c r="C309" s="6" t="s">
        <v>189</v>
      </c>
      <c r="D309" s="2">
        <v>2500.0</v>
      </c>
      <c r="E309" s="7"/>
      <c r="F309" s="2" t="s">
        <v>6</v>
      </c>
      <c r="G309" s="7">
        <v>2.8671729076E8</v>
      </c>
      <c r="H309" s="7"/>
      <c r="I309" s="8" t="s">
        <v>11</v>
      </c>
    </row>
    <row r="310">
      <c r="A310" s="18" t="s">
        <v>315</v>
      </c>
      <c r="B310" s="6" t="s">
        <v>12</v>
      </c>
      <c r="C310" s="6" t="s">
        <v>328</v>
      </c>
      <c r="D310" s="2"/>
      <c r="E310" s="2">
        <v>6.507201E7</v>
      </c>
      <c r="F310" s="2" t="s">
        <v>3</v>
      </c>
      <c r="G310" s="7">
        <v>3.5178930076E8</v>
      </c>
      <c r="H310" s="7"/>
      <c r="I310" s="4" t="s">
        <v>7</v>
      </c>
    </row>
    <row r="311">
      <c r="A311" s="18" t="s">
        <v>315</v>
      </c>
      <c r="B311" s="6" t="s">
        <v>12</v>
      </c>
      <c r="C311" s="6" t="s">
        <v>329</v>
      </c>
      <c r="D311" s="2"/>
      <c r="E311" s="2">
        <v>1.3616329E8</v>
      </c>
      <c r="F311" s="2" t="s">
        <v>3</v>
      </c>
      <c r="G311" s="7">
        <v>4.8795259076E8</v>
      </c>
      <c r="H311" s="7"/>
      <c r="I311" s="4" t="s">
        <v>7</v>
      </c>
    </row>
    <row r="312">
      <c r="A312" s="18" t="s">
        <v>315</v>
      </c>
      <c r="B312" s="6" t="s">
        <v>4</v>
      </c>
      <c r="C312" s="6" t="s">
        <v>330</v>
      </c>
      <c r="D312" s="2">
        <v>8.47945E7</v>
      </c>
      <c r="E312" s="7"/>
      <c r="F312" s="2" t="s">
        <v>6</v>
      </c>
      <c r="G312" s="7">
        <v>4.0315809076E8</v>
      </c>
      <c r="H312" s="7"/>
      <c r="I312" s="4" t="s">
        <v>7</v>
      </c>
    </row>
    <row r="313">
      <c r="A313" s="18" t="s">
        <v>315</v>
      </c>
      <c r="B313" s="6" t="s">
        <v>4</v>
      </c>
      <c r="C313" s="6" t="s">
        <v>331</v>
      </c>
      <c r="D313" s="2">
        <v>4.0E7</v>
      </c>
      <c r="E313" s="7"/>
      <c r="F313" s="2" t="s">
        <v>6</v>
      </c>
      <c r="G313" s="7">
        <v>3.6315809076E8</v>
      </c>
      <c r="H313" s="7"/>
      <c r="I313" s="4" t="s">
        <v>7</v>
      </c>
    </row>
    <row r="314">
      <c r="A314" s="18" t="s">
        <v>315</v>
      </c>
      <c r="B314" s="6" t="s">
        <v>4</v>
      </c>
      <c r="C314" s="6" t="s">
        <v>332</v>
      </c>
      <c r="D314" s="2">
        <v>400000.0</v>
      </c>
      <c r="E314" s="7"/>
      <c r="F314" s="2" t="s">
        <v>6</v>
      </c>
      <c r="G314" s="7">
        <v>3.6275809076E8</v>
      </c>
      <c r="H314" s="7"/>
      <c r="I314" s="8" t="s">
        <v>9</v>
      </c>
    </row>
    <row r="315">
      <c r="A315" s="18" t="s">
        <v>315</v>
      </c>
      <c r="B315" s="6" t="s">
        <v>4</v>
      </c>
      <c r="C315" s="6" t="s">
        <v>333</v>
      </c>
      <c r="D315" s="2">
        <v>10000.0</v>
      </c>
      <c r="E315" s="7"/>
      <c r="F315" s="2" t="s">
        <v>6</v>
      </c>
      <c r="G315" s="7">
        <v>3.6274809076E8</v>
      </c>
      <c r="H315" s="2">
        <v>3.6274809076E8</v>
      </c>
      <c r="I315" s="8" t="s">
        <v>9</v>
      </c>
    </row>
    <row r="316">
      <c r="A316" s="18" t="s">
        <v>334</v>
      </c>
      <c r="B316" s="6" t="s">
        <v>4</v>
      </c>
      <c r="C316" s="6" t="s">
        <v>335</v>
      </c>
      <c r="D316" s="2">
        <v>8.14352E7</v>
      </c>
      <c r="E316" s="7"/>
      <c r="F316" s="2" t="s">
        <v>6</v>
      </c>
      <c r="G316" s="7">
        <v>2.8131289076E8</v>
      </c>
      <c r="H316" s="2">
        <v>2.8131289076E8</v>
      </c>
      <c r="I316" s="4" t="s">
        <v>7</v>
      </c>
    </row>
    <row r="317">
      <c r="A317" s="18" t="s">
        <v>334</v>
      </c>
      <c r="B317" s="6" t="s">
        <v>4</v>
      </c>
      <c r="C317" s="6" t="s">
        <v>336</v>
      </c>
      <c r="D317" s="2">
        <v>2822840.0</v>
      </c>
      <c r="E317" s="7"/>
      <c r="F317" s="2" t="s">
        <v>6</v>
      </c>
      <c r="G317" s="7">
        <v>2.7849005076E8</v>
      </c>
      <c r="H317" s="2">
        <v>2.7849005076E8</v>
      </c>
      <c r="I317" s="8" t="s">
        <v>11</v>
      </c>
    </row>
    <row r="318">
      <c r="A318" s="18" t="s">
        <v>334</v>
      </c>
      <c r="B318" s="6" t="s">
        <v>12</v>
      </c>
      <c r="C318" s="6" t="s">
        <v>337</v>
      </c>
      <c r="D318" s="2"/>
      <c r="E318" s="2">
        <v>9.313603E7</v>
      </c>
      <c r="F318" s="2" t="s">
        <v>3</v>
      </c>
      <c r="G318" s="7">
        <v>3.7162608076E8</v>
      </c>
      <c r="H318" s="7"/>
      <c r="I318" s="4" t="s">
        <v>7</v>
      </c>
    </row>
    <row r="319">
      <c r="A319" s="18" t="s">
        <v>334</v>
      </c>
      <c r="B319" s="6" t="s">
        <v>4</v>
      </c>
      <c r="C319" s="6" t="s">
        <v>338</v>
      </c>
      <c r="D319" s="2">
        <v>2000000.0</v>
      </c>
      <c r="E319" s="7"/>
      <c r="F319" s="2" t="s">
        <v>6</v>
      </c>
      <c r="G319" s="7">
        <v>3.6962608076E8</v>
      </c>
      <c r="H319" s="7"/>
      <c r="I319" s="8" t="s">
        <v>11</v>
      </c>
    </row>
    <row r="320">
      <c r="A320" s="18" t="s">
        <v>334</v>
      </c>
      <c r="B320" s="6" t="s">
        <v>4</v>
      </c>
      <c r="C320" s="6" t="s">
        <v>339</v>
      </c>
      <c r="D320" s="2">
        <v>8.68119E7</v>
      </c>
      <c r="E320" s="7"/>
      <c r="F320" s="2" t="s">
        <v>6</v>
      </c>
      <c r="G320" s="7">
        <v>2.8281418076E8</v>
      </c>
      <c r="H320" s="7"/>
      <c r="I320" s="4" t="s">
        <v>7</v>
      </c>
    </row>
    <row r="321">
      <c r="A321" s="18" t="s">
        <v>334</v>
      </c>
      <c r="B321" s="6" t="s">
        <v>4</v>
      </c>
      <c r="C321" s="6" t="s">
        <v>340</v>
      </c>
      <c r="D321" s="2">
        <v>6.47325E7</v>
      </c>
      <c r="E321" s="7"/>
      <c r="F321" s="2" t="s">
        <v>6</v>
      </c>
      <c r="G321" s="7">
        <v>2.1808168076E8</v>
      </c>
      <c r="H321" s="7"/>
      <c r="I321" s="4" t="s">
        <v>7</v>
      </c>
    </row>
    <row r="322">
      <c r="A322" s="18" t="s">
        <v>334</v>
      </c>
      <c r="B322" s="6" t="s">
        <v>4</v>
      </c>
      <c r="C322" s="6" t="s">
        <v>341</v>
      </c>
      <c r="D322" s="2">
        <v>6.028E7</v>
      </c>
      <c r="E322" s="7"/>
      <c r="F322" s="2" t="s">
        <v>6</v>
      </c>
      <c r="G322" s="7">
        <v>1.5780168076E8</v>
      </c>
      <c r="H322" s="7"/>
      <c r="I322" s="4" t="s">
        <v>7</v>
      </c>
    </row>
    <row r="323">
      <c r="A323" s="18" t="s">
        <v>334</v>
      </c>
      <c r="B323" s="6" t="s">
        <v>4</v>
      </c>
      <c r="C323" s="6" t="s">
        <v>342</v>
      </c>
      <c r="D323" s="2">
        <v>5.0E7</v>
      </c>
      <c r="E323" s="7"/>
      <c r="F323" s="2" t="s">
        <v>6</v>
      </c>
      <c r="G323" s="7">
        <v>1.0780168075999999E8</v>
      </c>
      <c r="H323" s="7"/>
      <c r="I323" s="8" t="s">
        <v>11</v>
      </c>
    </row>
    <row r="324">
      <c r="A324" s="18" t="s">
        <v>334</v>
      </c>
      <c r="B324" s="6" t="s">
        <v>12</v>
      </c>
      <c r="C324" s="6" t="s">
        <v>343</v>
      </c>
      <c r="D324" s="2"/>
      <c r="E324" s="2">
        <v>8.816E7</v>
      </c>
      <c r="F324" s="2" t="s">
        <v>3</v>
      </c>
      <c r="G324" s="7">
        <v>1.9596168076E8</v>
      </c>
      <c r="H324" s="7"/>
      <c r="I324" s="4" t="s">
        <v>7</v>
      </c>
    </row>
    <row r="325">
      <c r="A325" s="18" t="s">
        <v>334</v>
      </c>
      <c r="B325" s="6" t="s">
        <v>4</v>
      </c>
      <c r="C325" s="6" t="s">
        <v>344</v>
      </c>
      <c r="D325" s="2">
        <v>400000.0</v>
      </c>
      <c r="E325" s="7"/>
      <c r="F325" s="2" t="s">
        <v>6</v>
      </c>
      <c r="G325" s="7">
        <v>1.9556168076E8</v>
      </c>
      <c r="H325" s="7"/>
      <c r="I325" s="8" t="s">
        <v>16</v>
      </c>
    </row>
    <row r="326">
      <c r="A326" s="18" t="s">
        <v>334</v>
      </c>
      <c r="B326" s="6" t="s">
        <v>12</v>
      </c>
      <c r="C326" s="6" t="s">
        <v>345</v>
      </c>
      <c r="D326" s="2"/>
      <c r="E326" s="2">
        <v>4.0E7</v>
      </c>
      <c r="F326" s="2" t="s">
        <v>3</v>
      </c>
      <c r="G326" s="7">
        <v>2.3556168076E8</v>
      </c>
      <c r="H326" s="7"/>
      <c r="I326" s="4" t="s">
        <v>7</v>
      </c>
    </row>
    <row r="327">
      <c r="A327" s="18" t="s">
        <v>334</v>
      </c>
      <c r="B327" s="6" t="s">
        <v>4</v>
      </c>
      <c r="C327" s="6" t="s">
        <v>346</v>
      </c>
      <c r="D327" s="2">
        <v>1.188663E8</v>
      </c>
      <c r="E327" s="7"/>
      <c r="F327" s="2" t="s">
        <v>6</v>
      </c>
      <c r="G327" s="7">
        <v>1.1669538075999999E8</v>
      </c>
      <c r="H327" s="7"/>
      <c r="I327" s="4" t="s">
        <v>7</v>
      </c>
    </row>
    <row r="328">
      <c r="A328" s="18" t="s">
        <v>334</v>
      </c>
      <c r="B328" s="6" t="s">
        <v>4</v>
      </c>
      <c r="C328" s="6" t="s">
        <v>347</v>
      </c>
      <c r="D328" s="2">
        <v>8.004928E7</v>
      </c>
      <c r="E328" s="7"/>
      <c r="F328" s="2" t="s">
        <v>6</v>
      </c>
      <c r="G328" s="7">
        <v>3.664610075999999E7</v>
      </c>
      <c r="H328" s="7"/>
      <c r="I328" s="4" t="s">
        <v>7</v>
      </c>
    </row>
    <row r="329">
      <c r="A329" s="18" t="s">
        <v>334</v>
      </c>
      <c r="B329" s="6" t="s">
        <v>55</v>
      </c>
      <c r="C329" s="6" t="s">
        <v>188</v>
      </c>
      <c r="D329" s="2">
        <v>1500000.0</v>
      </c>
      <c r="E329" s="7"/>
      <c r="F329" s="2" t="s">
        <v>6</v>
      </c>
      <c r="G329" s="7">
        <v>3.514610075999999E7</v>
      </c>
      <c r="H329" s="2">
        <v>3.514610076E7</v>
      </c>
      <c r="I329" s="8" t="s">
        <v>11</v>
      </c>
    </row>
    <row r="330">
      <c r="A330" s="18" t="s">
        <v>334</v>
      </c>
      <c r="B330" s="6" t="s">
        <v>55</v>
      </c>
      <c r="C330" s="6" t="s">
        <v>189</v>
      </c>
      <c r="D330" s="2">
        <v>2500.0</v>
      </c>
      <c r="E330" s="7"/>
      <c r="F330" s="2" t="s">
        <v>6</v>
      </c>
      <c r="G330" s="7">
        <v>3.514360075999999E7</v>
      </c>
      <c r="H330" s="2">
        <v>3.514360076E7</v>
      </c>
      <c r="I330" s="8" t="s">
        <v>11</v>
      </c>
    </row>
    <row r="331">
      <c r="A331" s="18" t="s">
        <v>334</v>
      </c>
      <c r="B331" s="6" t="s">
        <v>4</v>
      </c>
      <c r="C331" s="6" t="s">
        <v>348</v>
      </c>
      <c r="D331" s="2">
        <v>1500000.0</v>
      </c>
      <c r="E331" s="7"/>
      <c r="F331" s="2" t="s">
        <v>6</v>
      </c>
      <c r="G331" s="7">
        <v>3.364360075999999E7</v>
      </c>
      <c r="H331" s="7"/>
      <c r="I331" s="8" t="s">
        <v>11</v>
      </c>
    </row>
    <row r="332">
      <c r="A332" s="18" t="s">
        <v>334</v>
      </c>
      <c r="B332" s="6" t="s">
        <v>4</v>
      </c>
      <c r="C332" s="6" t="s">
        <v>349</v>
      </c>
      <c r="D332" s="2">
        <v>2500000.0</v>
      </c>
      <c r="E332" s="7"/>
      <c r="F332" s="2" t="s">
        <v>6</v>
      </c>
      <c r="G332" s="7">
        <v>3.114360075999999E7</v>
      </c>
      <c r="H332" s="2">
        <v>3.114360076E7</v>
      </c>
      <c r="I332" s="8" t="s">
        <v>37</v>
      </c>
    </row>
    <row r="333">
      <c r="A333" s="18" t="s">
        <v>350</v>
      </c>
      <c r="B333" s="6" t="s">
        <v>12</v>
      </c>
      <c r="C333" s="6" t="s">
        <v>351</v>
      </c>
      <c r="D333" s="2"/>
      <c r="E333" s="2">
        <v>8.887294E7</v>
      </c>
      <c r="F333" s="2" t="s">
        <v>3</v>
      </c>
      <c r="G333" s="7">
        <v>1.2001654075999999E8</v>
      </c>
      <c r="H333" s="7"/>
      <c r="I333" s="4" t="s">
        <v>7</v>
      </c>
    </row>
    <row r="334">
      <c r="A334" s="18" t="s">
        <v>350</v>
      </c>
      <c r="B334" s="6" t="s">
        <v>4</v>
      </c>
      <c r="C334" s="6" t="s">
        <v>352</v>
      </c>
      <c r="D334" s="2">
        <v>9.060745E7</v>
      </c>
      <c r="E334" s="7"/>
      <c r="F334" s="2" t="s">
        <v>6</v>
      </c>
      <c r="G334" s="7">
        <v>2.940909075999999E7</v>
      </c>
      <c r="H334" s="7"/>
      <c r="I334" s="4" t="s">
        <v>7</v>
      </c>
    </row>
    <row r="335">
      <c r="A335" s="18" t="s">
        <v>350</v>
      </c>
      <c r="B335" s="6" t="s">
        <v>12</v>
      </c>
      <c r="C335" s="6" t="s">
        <v>353</v>
      </c>
      <c r="D335" s="2"/>
      <c r="E335" s="2">
        <v>1.3373115E8</v>
      </c>
      <c r="F335" s="2" t="s">
        <v>3</v>
      </c>
      <c r="G335" s="7">
        <v>1.6314024076E8</v>
      </c>
      <c r="H335" s="7"/>
      <c r="I335" s="4" t="s">
        <v>7</v>
      </c>
    </row>
    <row r="336">
      <c r="A336" s="18" t="s">
        <v>350</v>
      </c>
      <c r="B336" s="6" t="s">
        <v>12</v>
      </c>
      <c r="C336" s="6" t="s">
        <v>354</v>
      </c>
      <c r="D336" s="2"/>
      <c r="E336" s="2">
        <v>4.9437904E8</v>
      </c>
      <c r="F336" s="2" t="s">
        <v>3</v>
      </c>
      <c r="G336" s="7">
        <v>6.5751928076E8</v>
      </c>
      <c r="H336" s="7"/>
      <c r="I336" s="4" t="s">
        <v>7</v>
      </c>
    </row>
    <row r="337">
      <c r="A337" s="18" t="s">
        <v>350</v>
      </c>
      <c r="B337" s="6" t="s">
        <v>12</v>
      </c>
      <c r="C337" s="6" t="s">
        <v>355</v>
      </c>
      <c r="D337" s="2"/>
      <c r="E337" s="2">
        <v>1140000.0</v>
      </c>
      <c r="F337" s="2" t="s">
        <v>3</v>
      </c>
      <c r="G337" s="7">
        <v>6.5865928076E8</v>
      </c>
      <c r="H337" s="7"/>
      <c r="I337" s="4" t="s">
        <v>7</v>
      </c>
    </row>
    <row r="338">
      <c r="A338" s="18" t="s">
        <v>350</v>
      </c>
      <c r="B338" s="6" t="s">
        <v>12</v>
      </c>
      <c r="C338" s="6" t="s">
        <v>356</v>
      </c>
      <c r="D338" s="2"/>
      <c r="E338" s="2">
        <v>1048500.0</v>
      </c>
      <c r="F338" s="2" t="s">
        <v>3</v>
      </c>
      <c r="G338" s="7">
        <v>6.5970778076E8</v>
      </c>
      <c r="H338" s="7"/>
      <c r="I338" s="4" t="s">
        <v>7</v>
      </c>
    </row>
    <row r="339">
      <c r="A339" s="18" t="s">
        <v>350</v>
      </c>
      <c r="B339" s="6" t="s">
        <v>4</v>
      </c>
      <c r="C339" s="6" t="s">
        <v>357</v>
      </c>
      <c r="D339" s="2">
        <v>2.7039332E8</v>
      </c>
      <c r="E339" s="7"/>
      <c r="F339" s="2" t="s">
        <v>6</v>
      </c>
      <c r="G339" s="7">
        <v>3.8931446076E8</v>
      </c>
      <c r="H339" s="7"/>
      <c r="I339" s="4" t="s">
        <v>7</v>
      </c>
    </row>
    <row r="340">
      <c r="A340" s="18" t="s">
        <v>350</v>
      </c>
      <c r="B340" s="6" t="s">
        <v>12</v>
      </c>
      <c r="C340" s="6" t="s">
        <v>358</v>
      </c>
      <c r="D340" s="2"/>
      <c r="E340" s="2">
        <v>1.3600608E8</v>
      </c>
      <c r="F340" s="2" t="s">
        <v>3</v>
      </c>
      <c r="G340" s="7">
        <v>5.2532054076E8</v>
      </c>
      <c r="H340" s="7"/>
      <c r="I340" s="4" t="s">
        <v>7</v>
      </c>
    </row>
    <row r="341">
      <c r="A341" s="18" t="s">
        <v>350</v>
      </c>
      <c r="B341" s="6" t="s">
        <v>12</v>
      </c>
      <c r="C341" s="6" t="s">
        <v>359</v>
      </c>
      <c r="D341" s="2"/>
      <c r="E341" s="2">
        <v>8.816E7</v>
      </c>
      <c r="F341" s="2" t="s">
        <v>3</v>
      </c>
      <c r="G341" s="7">
        <v>6.1348054076E8</v>
      </c>
      <c r="H341" s="7"/>
      <c r="I341" s="4" t="s">
        <v>7</v>
      </c>
    </row>
    <row r="342">
      <c r="A342" s="18" t="s">
        <v>350</v>
      </c>
      <c r="B342" s="6" t="s">
        <v>4</v>
      </c>
      <c r="C342" s="6" t="s">
        <v>360</v>
      </c>
      <c r="D342" s="2">
        <v>8.93E7</v>
      </c>
      <c r="E342" s="7"/>
      <c r="F342" s="2" t="s">
        <v>6</v>
      </c>
      <c r="G342" s="7">
        <v>5.2418054076E8</v>
      </c>
      <c r="H342" s="2">
        <v>5.2418054076E8</v>
      </c>
      <c r="I342" s="4" t="s">
        <v>7</v>
      </c>
    </row>
    <row r="343">
      <c r="A343" s="18" t="s">
        <v>350</v>
      </c>
      <c r="B343" s="6" t="s">
        <v>12</v>
      </c>
      <c r="C343" s="6" t="s">
        <v>361</v>
      </c>
      <c r="D343" s="2"/>
      <c r="E343" s="2">
        <v>550000.0</v>
      </c>
      <c r="F343" s="2" t="s">
        <v>3</v>
      </c>
      <c r="G343" s="7">
        <v>5.2473054076E8</v>
      </c>
      <c r="H343" s="2">
        <v>5.2473054076E8</v>
      </c>
      <c r="I343" s="4" t="s">
        <v>7</v>
      </c>
    </row>
    <row r="344">
      <c r="A344" s="18" t="s">
        <v>350</v>
      </c>
      <c r="B344" s="6" t="s">
        <v>4</v>
      </c>
      <c r="C344" s="6" t="s">
        <v>362</v>
      </c>
      <c r="D344" s="2">
        <v>1.46808E7</v>
      </c>
      <c r="E344" s="7"/>
      <c r="F344" s="2" t="s">
        <v>6</v>
      </c>
      <c r="G344" s="7">
        <v>5.1004974076E8</v>
      </c>
      <c r="H344" s="7"/>
      <c r="I344" s="8" t="s">
        <v>11</v>
      </c>
    </row>
    <row r="345">
      <c r="A345" s="18" t="s">
        <v>350</v>
      </c>
      <c r="B345" s="6" t="s">
        <v>4</v>
      </c>
      <c r="C345" s="6" t="s">
        <v>363</v>
      </c>
      <c r="D345" s="2">
        <v>3.0E7</v>
      </c>
      <c r="E345" s="7"/>
      <c r="F345" s="2" t="s">
        <v>6</v>
      </c>
      <c r="G345" s="7">
        <v>4.8004974076E8</v>
      </c>
      <c r="H345" s="7"/>
      <c r="I345" s="8" t="s">
        <v>11</v>
      </c>
    </row>
    <row r="346">
      <c r="A346" s="18" t="s">
        <v>350</v>
      </c>
      <c r="B346" s="6" t="s">
        <v>4</v>
      </c>
      <c r="C346" s="6" t="s">
        <v>364</v>
      </c>
      <c r="D346" s="2">
        <v>7.875E7</v>
      </c>
      <c r="E346" s="7"/>
      <c r="F346" s="2" t="s">
        <v>6</v>
      </c>
      <c r="G346" s="7">
        <v>4.0129974076E8</v>
      </c>
      <c r="H346" s="7"/>
      <c r="I346" s="4" t="s">
        <v>7</v>
      </c>
    </row>
    <row r="347">
      <c r="A347" s="18" t="s">
        <v>350</v>
      </c>
      <c r="B347" s="6" t="s">
        <v>4</v>
      </c>
      <c r="C347" s="6" t="s">
        <v>365</v>
      </c>
      <c r="D347" s="2">
        <v>1.023385E8</v>
      </c>
      <c r="E347" s="7"/>
      <c r="F347" s="2" t="s">
        <v>6</v>
      </c>
      <c r="G347" s="7">
        <v>2.9896124076E8</v>
      </c>
      <c r="H347" s="7"/>
      <c r="I347" s="4" t="s">
        <v>7</v>
      </c>
    </row>
    <row r="348">
      <c r="A348" s="18" t="s">
        <v>350</v>
      </c>
      <c r="B348" s="6" t="s">
        <v>4</v>
      </c>
      <c r="C348" s="6" t="s">
        <v>366</v>
      </c>
      <c r="D348" s="2">
        <v>6.896106E7</v>
      </c>
      <c r="E348" s="7"/>
      <c r="F348" s="2" t="s">
        <v>6</v>
      </c>
      <c r="G348" s="7">
        <v>2.3000018076E8</v>
      </c>
      <c r="H348" s="7"/>
      <c r="I348" s="4" t="s">
        <v>7</v>
      </c>
    </row>
    <row r="349">
      <c r="A349" s="18" t="s">
        <v>350</v>
      </c>
      <c r="B349" s="6" t="s">
        <v>4</v>
      </c>
      <c r="C349" s="6" t="s">
        <v>367</v>
      </c>
      <c r="D349" s="2">
        <v>1.62564E8</v>
      </c>
      <c r="E349" s="7"/>
      <c r="F349" s="2" t="s">
        <v>6</v>
      </c>
      <c r="G349" s="7">
        <v>6.743618075999999E7</v>
      </c>
      <c r="H349" s="7"/>
      <c r="I349" s="4" t="s">
        <v>7</v>
      </c>
    </row>
    <row r="350">
      <c r="A350" s="18" t="s">
        <v>350</v>
      </c>
      <c r="B350" s="6" t="s">
        <v>4</v>
      </c>
      <c r="C350" s="6" t="s">
        <v>368</v>
      </c>
      <c r="D350" s="2">
        <v>5.68859E7</v>
      </c>
      <c r="E350" s="7"/>
      <c r="F350" s="2" t="s">
        <v>6</v>
      </c>
      <c r="G350" s="7">
        <v>1.055028075999999E7</v>
      </c>
      <c r="H350" s="7"/>
      <c r="I350" s="4" t="s">
        <v>7</v>
      </c>
    </row>
    <row r="351">
      <c r="A351" s="18" t="s">
        <v>350</v>
      </c>
      <c r="B351" s="6" t="s">
        <v>4</v>
      </c>
      <c r="C351" s="6" t="s">
        <v>369</v>
      </c>
      <c r="D351" s="2">
        <v>350000.0</v>
      </c>
      <c r="E351" s="7"/>
      <c r="F351" s="2" t="s">
        <v>6</v>
      </c>
      <c r="G351" s="7">
        <v>1.020028075999999E7</v>
      </c>
      <c r="H351" s="7"/>
      <c r="I351" s="8" t="s">
        <v>37</v>
      </c>
    </row>
    <row r="352">
      <c r="A352" s="18" t="s">
        <v>350</v>
      </c>
      <c r="B352" s="6" t="s">
        <v>4</v>
      </c>
      <c r="C352" s="6" t="s">
        <v>370</v>
      </c>
      <c r="D352" s="2">
        <v>550000.0</v>
      </c>
      <c r="E352" s="7"/>
      <c r="F352" s="2" t="s">
        <v>6</v>
      </c>
      <c r="G352" s="7">
        <v>9650280.75999999</v>
      </c>
      <c r="H352" s="7"/>
      <c r="I352" s="4" t="s">
        <v>7</v>
      </c>
    </row>
    <row r="353">
      <c r="A353" s="18" t="s">
        <v>350</v>
      </c>
      <c r="B353" s="6" t="s">
        <v>4</v>
      </c>
      <c r="C353" s="6" t="s">
        <v>371</v>
      </c>
      <c r="D353" s="2">
        <v>575400.0</v>
      </c>
      <c r="E353" s="7"/>
      <c r="F353" s="2" t="s">
        <v>6</v>
      </c>
      <c r="G353" s="7">
        <v>9074880.75999999</v>
      </c>
      <c r="H353" s="7"/>
      <c r="I353" s="4" t="s">
        <v>7</v>
      </c>
    </row>
    <row r="354">
      <c r="A354" s="18" t="s">
        <v>350</v>
      </c>
      <c r="B354" s="6" t="s">
        <v>4</v>
      </c>
      <c r="C354" s="6" t="s">
        <v>372</v>
      </c>
      <c r="D354" s="2">
        <v>1983000.0</v>
      </c>
      <c r="E354" s="7"/>
      <c r="F354" s="2" t="s">
        <v>6</v>
      </c>
      <c r="G354" s="7">
        <v>7091880.75999999</v>
      </c>
      <c r="H354" s="7"/>
      <c r="I354" s="8" t="s">
        <v>11</v>
      </c>
    </row>
    <row r="355">
      <c r="A355" s="18" t="s">
        <v>350</v>
      </c>
      <c r="B355" s="6" t="s">
        <v>4</v>
      </c>
      <c r="C355" s="6" t="s">
        <v>373</v>
      </c>
      <c r="D355" s="2">
        <v>2010700.0</v>
      </c>
      <c r="E355" s="7"/>
      <c r="F355" s="2" t="s">
        <v>6</v>
      </c>
      <c r="G355" s="7">
        <v>5081180.75999999</v>
      </c>
      <c r="H355" s="2">
        <v>5081180.76</v>
      </c>
      <c r="I355" s="8" t="s">
        <v>37</v>
      </c>
    </row>
    <row r="356">
      <c r="A356" s="18" t="s">
        <v>374</v>
      </c>
      <c r="B356" s="6" t="s">
        <v>12</v>
      </c>
      <c r="C356" s="6" t="s">
        <v>375</v>
      </c>
      <c r="D356" s="2"/>
      <c r="E356" s="2">
        <v>2.5289904E8</v>
      </c>
      <c r="F356" s="2" t="s">
        <v>3</v>
      </c>
      <c r="G356" s="7">
        <v>2.5798022076E8</v>
      </c>
      <c r="H356" s="2">
        <v>2.5798022076E8</v>
      </c>
      <c r="I356" s="4" t="s">
        <v>9</v>
      </c>
    </row>
    <row r="357">
      <c r="A357" s="18" t="s">
        <v>374</v>
      </c>
      <c r="B357" s="6" t="s">
        <v>41</v>
      </c>
      <c r="C357" s="6" t="s">
        <v>376</v>
      </c>
      <c r="D357" s="2">
        <v>152500.0</v>
      </c>
      <c r="E357" s="7"/>
      <c r="F357" s="7"/>
      <c r="G357" s="7">
        <v>2.5782772076E8</v>
      </c>
      <c r="H357" s="2">
        <v>2.5782772076E8</v>
      </c>
      <c r="I357" s="8" t="s">
        <v>9</v>
      </c>
    </row>
    <row r="358">
      <c r="A358" s="18" t="s">
        <v>374</v>
      </c>
      <c r="B358" s="6" t="s">
        <v>4</v>
      </c>
      <c r="C358" s="6" t="s">
        <v>377</v>
      </c>
      <c r="D358" s="2">
        <v>8.64601E7</v>
      </c>
      <c r="E358" s="7"/>
      <c r="F358" s="2" t="s">
        <v>6</v>
      </c>
      <c r="G358" s="7">
        <v>1.7136762076E8</v>
      </c>
      <c r="H358" s="7"/>
      <c r="I358" s="8" t="s">
        <v>7</v>
      </c>
    </row>
    <row r="359">
      <c r="A359" s="18" t="s">
        <v>374</v>
      </c>
      <c r="B359" s="6" t="s">
        <v>12</v>
      </c>
      <c r="C359" s="6" t="s">
        <v>378</v>
      </c>
      <c r="D359" s="2"/>
      <c r="E359" s="2">
        <v>9.059799E7</v>
      </c>
      <c r="F359" s="2" t="s">
        <v>3</v>
      </c>
      <c r="G359" s="7">
        <v>2.6196561076E8</v>
      </c>
      <c r="H359" s="7"/>
      <c r="I359" s="4" t="s">
        <v>9</v>
      </c>
    </row>
    <row r="360">
      <c r="A360" s="18" t="s">
        <v>374</v>
      </c>
      <c r="B360" s="6" t="s">
        <v>4</v>
      </c>
      <c r="C360" s="6" t="s">
        <v>379</v>
      </c>
      <c r="D360" s="2">
        <v>8.626E7</v>
      </c>
      <c r="E360" s="7"/>
      <c r="F360" s="2" t="s">
        <v>6</v>
      </c>
      <c r="G360" s="7">
        <v>1.7570561076E8</v>
      </c>
      <c r="H360" s="7"/>
      <c r="I360" s="8" t="s">
        <v>7</v>
      </c>
    </row>
    <row r="361">
      <c r="A361" s="18" t="s">
        <v>374</v>
      </c>
      <c r="B361" s="6" t="s">
        <v>4</v>
      </c>
      <c r="C361" s="6" t="s">
        <v>380</v>
      </c>
      <c r="D361" s="2">
        <v>533450.0</v>
      </c>
      <c r="E361" s="7"/>
      <c r="F361" s="2" t="s">
        <v>6</v>
      </c>
      <c r="G361" s="7">
        <v>1.7517216076E8</v>
      </c>
      <c r="H361" s="7"/>
      <c r="I361" s="8" t="s">
        <v>7</v>
      </c>
    </row>
    <row r="362">
      <c r="A362" s="18" t="s">
        <v>374</v>
      </c>
      <c r="B362" s="6" t="s">
        <v>12</v>
      </c>
      <c r="C362" s="6" t="s">
        <v>381</v>
      </c>
      <c r="D362" s="2"/>
      <c r="E362" s="2">
        <v>2.5E7</v>
      </c>
      <c r="F362" s="2" t="s">
        <v>3</v>
      </c>
      <c r="G362" s="7">
        <v>2.0017216076E8</v>
      </c>
      <c r="H362" s="7"/>
      <c r="I362" s="4" t="s">
        <v>9</v>
      </c>
    </row>
    <row r="363">
      <c r="A363" s="18" t="s">
        <v>374</v>
      </c>
      <c r="B363" s="6" t="s">
        <v>12</v>
      </c>
      <c r="C363" s="6" t="s">
        <v>382</v>
      </c>
      <c r="D363" s="2"/>
      <c r="E363" s="2">
        <v>3.2777035E8</v>
      </c>
      <c r="F363" s="2" t="s">
        <v>3</v>
      </c>
      <c r="G363" s="7">
        <v>5.2794251076E8</v>
      </c>
      <c r="H363" s="7"/>
      <c r="I363" s="4" t="s">
        <v>9</v>
      </c>
    </row>
    <row r="364">
      <c r="A364" s="18" t="s">
        <v>374</v>
      </c>
      <c r="B364" s="6" t="s">
        <v>4</v>
      </c>
      <c r="C364" s="6" t="s">
        <v>383</v>
      </c>
      <c r="D364" s="2">
        <v>2.3E7</v>
      </c>
      <c r="E364" s="7"/>
      <c r="F364" s="2" t="s">
        <v>6</v>
      </c>
      <c r="G364" s="7">
        <v>5.0494251076E8</v>
      </c>
      <c r="H364" s="7"/>
      <c r="I364" s="8" t="s">
        <v>7</v>
      </c>
    </row>
    <row r="365">
      <c r="A365" s="18" t="s">
        <v>374</v>
      </c>
      <c r="B365" s="6" t="s">
        <v>4</v>
      </c>
      <c r="C365" s="6" t="s">
        <v>384</v>
      </c>
      <c r="D365" s="2">
        <v>1.316E8</v>
      </c>
      <c r="E365" s="7"/>
      <c r="F365" s="2" t="s">
        <v>6</v>
      </c>
      <c r="G365" s="7">
        <v>3.7334251076E8</v>
      </c>
      <c r="H365" s="7"/>
      <c r="I365" s="4" t="s">
        <v>7</v>
      </c>
    </row>
    <row r="366">
      <c r="A366" s="18" t="s">
        <v>374</v>
      </c>
      <c r="B366" s="6" t="s">
        <v>4</v>
      </c>
      <c r="C366" s="6" t="s">
        <v>385</v>
      </c>
      <c r="D366" s="2">
        <v>3.850539E7</v>
      </c>
      <c r="E366" s="7"/>
      <c r="F366" s="2" t="s">
        <v>6</v>
      </c>
      <c r="G366" s="7">
        <v>3.3483712076E8</v>
      </c>
      <c r="H366" s="7"/>
      <c r="I366" s="4" t="s">
        <v>7</v>
      </c>
    </row>
    <row r="367">
      <c r="A367" s="18" t="s">
        <v>374</v>
      </c>
      <c r="B367" s="6" t="s">
        <v>4</v>
      </c>
      <c r="C367" s="6" t="s">
        <v>386</v>
      </c>
      <c r="D367" s="2">
        <v>2.416364E8</v>
      </c>
      <c r="E367" s="7"/>
      <c r="F367" s="2" t="s">
        <v>6</v>
      </c>
      <c r="G367" s="7">
        <v>9.320072075999999E7</v>
      </c>
      <c r="H367" s="7"/>
      <c r="I367" s="8" t="s">
        <v>7</v>
      </c>
    </row>
    <row r="368">
      <c r="A368" s="18" t="s">
        <v>374</v>
      </c>
      <c r="B368" s="6" t="s">
        <v>4</v>
      </c>
      <c r="C368" s="6" t="s">
        <v>387</v>
      </c>
      <c r="D368" s="2">
        <v>1028240.0</v>
      </c>
      <c r="E368" s="7"/>
      <c r="F368" s="2" t="s">
        <v>6</v>
      </c>
      <c r="G368" s="7">
        <v>9.217248075999999E7</v>
      </c>
      <c r="H368" s="2">
        <v>9.217248076E7</v>
      </c>
      <c r="I368" s="8" t="s">
        <v>37</v>
      </c>
    </row>
    <row r="369">
      <c r="A369" s="18" t="s">
        <v>374</v>
      </c>
      <c r="B369" s="6" t="s">
        <v>4</v>
      </c>
      <c r="C369" s="6" t="s">
        <v>388</v>
      </c>
      <c r="D369" s="2">
        <v>6.0E7</v>
      </c>
      <c r="E369" s="7"/>
      <c r="F369" s="2" t="s">
        <v>6</v>
      </c>
      <c r="G369" s="7">
        <v>3.217248075999999E7</v>
      </c>
      <c r="H369" s="2">
        <v>3.217248076E7</v>
      </c>
      <c r="I369" s="8" t="s">
        <v>7</v>
      </c>
    </row>
    <row r="370">
      <c r="A370" s="18" t="s">
        <v>389</v>
      </c>
      <c r="B370" s="6" t="s">
        <v>4</v>
      </c>
      <c r="C370" s="6" t="s">
        <v>390</v>
      </c>
      <c r="D370" s="2">
        <v>9900000.0</v>
      </c>
      <c r="E370" s="7"/>
      <c r="F370" s="2" t="s">
        <v>6</v>
      </c>
      <c r="G370" s="7">
        <v>2.227248075999999E7</v>
      </c>
      <c r="H370" s="7"/>
      <c r="I370" s="8" t="s">
        <v>7</v>
      </c>
    </row>
    <row r="371">
      <c r="A371" s="18" t="s">
        <v>389</v>
      </c>
      <c r="B371" s="6" t="s">
        <v>4</v>
      </c>
      <c r="C371" s="6" t="s">
        <v>391</v>
      </c>
      <c r="D371" s="2">
        <v>2730105.0</v>
      </c>
      <c r="E371" s="7"/>
      <c r="F371" s="2" t="s">
        <v>6</v>
      </c>
      <c r="G371" s="7">
        <v>1.954237575999999E7</v>
      </c>
      <c r="H371" s="7"/>
      <c r="I371" s="8" t="s">
        <v>11</v>
      </c>
    </row>
    <row r="372">
      <c r="A372" s="18" t="s">
        <v>389</v>
      </c>
      <c r="B372" s="6" t="s">
        <v>4</v>
      </c>
      <c r="C372" s="6" t="s">
        <v>392</v>
      </c>
      <c r="D372" s="2">
        <v>4375150.0</v>
      </c>
      <c r="E372" s="7"/>
      <c r="F372" s="2" t="s">
        <v>6</v>
      </c>
      <c r="G372" s="7">
        <v>1.516722575999999E7</v>
      </c>
      <c r="H372" s="7"/>
      <c r="I372" s="8" t="s">
        <v>11</v>
      </c>
    </row>
    <row r="373">
      <c r="A373" s="18" t="s">
        <v>389</v>
      </c>
      <c r="B373" s="6" t="s">
        <v>12</v>
      </c>
      <c r="C373" s="6" t="s">
        <v>393</v>
      </c>
      <c r="D373" s="2"/>
      <c r="E373" s="2">
        <v>7.5E7</v>
      </c>
      <c r="F373" s="2" t="s">
        <v>3</v>
      </c>
      <c r="G373" s="7">
        <v>9.016722575999999E7</v>
      </c>
      <c r="H373" s="7"/>
      <c r="I373" s="4" t="s">
        <v>9</v>
      </c>
    </row>
    <row r="374">
      <c r="A374" s="18" t="s">
        <v>389</v>
      </c>
      <c r="B374" s="6" t="s">
        <v>12</v>
      </c>
      <c r="C374" s="6" t="s">
        <v>394</v>
      </c>
      <c r="D374" s="2"/>
      <c r="E374" s="2">
        <v>6433000.0</v>
      </c>
      <c r="F374" s="2" t="s">
        <v>3</v>
      </c>
      <c r="G374" s="7">
        <v>9.660022575999999E7</v>
      </c>
      <c r="H374" s="7"/>
      <c r="I374" s="4" t="s">
        <v>9</v>
      </c>
    </row>
    <row r="375">
      <c r="A375" s="18" t="s">
        <v>389</v>
      </c>
      <c r="B375" s="6" t="s">
        <v>4</v>
      </c>
      <c r="C375" s="6" t="s">
        <v>395</v>
      </c>
      <c r="D375" s="2">
        <v>7.00864E7</v>
      </c>
      <c r="E375" s="7"/>
      <c r="F375" s="2" t="s">
        <v>6</v>
      </c>
      <c r="G375" s="7">
        <v>2.651382575999999E7</v>
      </c>
      <c r="H375" s="7"/>
      <c r="I375" s="8" t="s">
        <v>7</v>
      </c>
    </row>
    <row r="376">
      <c r="A376" s="18" t="s">
        <v>389</v>
      </c>
      <c r="B376" s="6" t="s">
        <v>4</v>
      </c>
      <c r="C376" s="6" t="s">
        <v>396</v>
      </c>
      <c r="D376" s="2">
        <v>1430000.0</v>
      </c>
      <c r="E376" s="7"/>
      <c r="F376" s="2" t="s">
        <v>6</v>
      </c>
      <c r="G376" s="7">
        <v>2.508382575999999E7</v>
      </c>
      <c r="H376" s="7"/>
      <c r="I376" s="8" t="s">
        <v>7</v>
      </c>
    </row>
    <row r="377">
      <c r="A377" s="18" t="s">
        <v>389</v>
      </c>
      <c r="B377" s="6" t="s">
        <v>12</v>
      </c>
      <c r="C377" s="6" t="s">
        <v>397</v>
      </c>
      <c r="D377" s="2"/>
      <c r="E377" s="2">
        <v>1.758027E8</v>
      </c>
      <c r="F377" s="2" t="s">
        <v>3</v>
      </c>
      <c r="G377" s="7">
        <v>2.0088652576E8</v>
      </c>
      <c r="H377" s="7"/>
      <c r="I377" s="4" t="s">
        <v>9</v>
      </c>
    </row>
    <row r="378">
      <c r="A378" s="18" t="s">
        <v>389</v>
      </c>
      <c r="B378" s="6" t="s">
        <v>12</v>
      </c>
      <c r="C378" s="6" t="s">
        <v>398</v>
      </c>
      <c r="D378" s="2"/>
      <c r="E378" s="2">
        <v>9.317848E7</v>
      </c>
      <c r="F378" s="2" t="s">
        <v>3</v>
      </c>
      <c r="G378" s="7">
        <v>2.9406500576E8</v>
      </c>
      <c r="H378" s="7"/>
      <c r="I378" s="4" t="s">
        <v>9</v>
      </c>
    </row>
    <row r="379">
      <c r="A379" s="18" t="s">
        <v>389</v>
      </c>
      <c r="B379" s="6" t="s">
        <v>12</v>
      </c>
      <c r="C379" s="6" t="s">
        <v>399</v>
      </c>
      <c r="D379" s="2"/>
      <c r="E379" s="2">
        <v>1.43894362E8</v>
      </c>
      <c r="F379" s="2" t="s">
        <v>3</v>
      </c>
      <c r="G379" s="7">
        <v>4.3795936776E8</v>
      </c>
      <c r="H379" s="7"/>
      <c r="I379" s="4" t="s">
        <v>9</v>
      </c>
    </row>
    <row r="380">
      <c r="A380" s="18" t="s">
        <v>389</v>
      </c>
      <c r="B380" s="6" t="s">
        <v>4</v>
      </c>
      <c r="C380" s="6" t="s">
        <v>400</v>
      </c>
      <c r="D380" s="2">
        <v>2.3642E8</v>
      </c>
      <c r="E380" s="7"/>
      <c r="F380" s="2" t="s">
        <v>6</v>
      </c>
      <c r="G380" s="7">
        <v>2.0153936776E8</v>
      </c>
      <c r="H380" s="2">
        <v>2.0153936776E8</v>
      </c>
      <c r="I380" s="8" t="s">
        <v>7</v>
      </c>
    </row>
    <row r="381">
      <c r="A381" s="18" t="s">
        <v>389</v>
      </c>
      <c r="B381" s="6" t="s">
        <v>4</v>
      </c>
      <c r="C381" s="6" t="s">
        <v>401</v>
      </c>
      <c r="D381" s="2">
        <v>7.80276E7</v>
      </c>
      <c r="E381" s="7"/>
      <c r="F381" s="2" t="s">
        <v>6</v>
      </c>
      <c r="G381" s="7">
        <v>1.2351176775999999E8</v>
      </c>
      <c r="H381" s="2">
        <v>1.2351176776E8</v>
      </c>
      <c r="I381" s="8" t="s">
        <v>7</v>
      </c>
    </row>
    <row r="382">
      <c r="A382" s="18" t="s">
        <v>389</v>
      </c>
      <c r="B382" s="6" t="s">
        <v>4</v>
      </c>
      <c r="C382" s="6" t="s">
        <v>402</v>
      </c>
      <c r="D382" s="2">
        <v>500000.0</v>
      </c>
      <c r="E382" s="7"/>
      <c r="F382" s="2" t="s">
        <v>6</v>
      </c>
      <c r="G382" s="7">
        <v>1.2301176775999999E8</v>
      </c>
      <c r="H382" s="7"/>
      <c r="I382" s="8" t="s">
        <v>11</v>
      </c>
    </row>
    <row r="383">
      <c r="A383" s="18" t="s">
        <v>389</v>
      </c>
      <c r="B383" s="6" t="s">
        <v>4</v>
      </c>
      <c r="C383" s="6" t="s">
        <v>403</v>
      </c>
      <c r="D383" s="2">
        <v>700000.0</v>
      </c>
      <c r="E383" s="7"/>
      <c r="F383" s="2" t="s">
        <v>6</v>
      </c>
      <c r="G383" s="7">
        <v>1.2231176775999999E8</v>
      </c>
      <c r="H383" s="7"/>
      <c r="I383" s="8" t="s">
        <v>11</v>
      </c>
    </row>
    <row r="384">
      <c r="A384" s="18" t="s">
        <v>389</v>
      </c>
      <c r="B384" s="6" t="s">
        <v>4</v>
      </c>
      <c r="C384" s="6" t="s">
        <v>404</v>
      </c>
      <c r="D384" s="2">
        <v>500000.0</v>
      </c>
      <c r="E384" s="7"/>
      <c r="F384" s="2" t="s">
        <v>6</v>
      </c>
      <c r="G384" s="7">
        <v>1.2181176775999999E8</v>
      </c>
      <c r="H384" s="7"/>
      <c r="I384" s="8" t="s">
        <v>11</v>
      </c>
    </row>
    <row r="385">
      <c r="A385" s="18" t="s">
        <v>389</v>
      </c>
      <c r="B385" s="6" t="s">
        <v>55</v>
      </c>
      <c r="C385" s="6" t="s">
        <v>188</v>
      </c>
      <c r="D385" s="2">
        <v>5700000.0</v>
      </c>
      <c r="E385" s="7"/>
      <c r="F385" s="2" t="s">
        <v>6</v>
      </c>
      <c r="G385" s="7">
        <v>1.1611176775999999E8</v>
      </c>
      <c r="H385" s="7"/>
      <c r="I385" s="8" t="s">
        <v>11</v>
      </c>
    </row>
    <row r="386">
      <c r="A386" s="18" t="s">
        <v>389</v>
      </c>
      <c r="B386" s="6" t="s">
        <v>55</v>
      </c>
      <c r="C386" s="6" t="s">
        <v>189</v>
      </c>
      <c r="D386" s="2">
        <v>2500.0</v>
      </c>
      <c r="E386" s="7"/>
      <c r="F386" s="2" t="s">
        <v>6</v>
      </c>
      <c r="G386" s="7">
        <v>1.1610926775999999E8</v>
      </c>
      <c r="H386" s="7"/>
      <c r="I386" s="8" t="s">
        <v>11</v>
      </c>
    </row>
    <row r="387">
      <c r="A387" s="18" t="s">
        <v>389</v>
      </c>
      <c r="B387" s="6" t="s">
        <v>55</v>
      </c>
      <c r="C387" s="6" t="s">
        <v>188</v>
      </c>
      <c r="D387" s="2">
        <v>311830.0</v>
      </c>
      <c r="E387" s="7"/>
      <c r="F387" s="2" t="s">
        <v>6</v>
      </c>
      <c r="G387" s="7">
        <v>1.1579743775999999E8</v>
      </c>
      <c r="H387" s="7"/>
      <c r="I387" s="8" t="s">
        <v>11</v>
      </c>
    </row>
    <row r="388">
      <c r="A388" s="18" t="s">
        <v>389</v>
      </c>
      <c r="B388" s="6" t="s">
        <v>55</v>
      </c>
      <c r="C388" s="6" t="s">
        <v>189</v>
      </c>
      <c r="D388" s="2">
        <v>2500.0</v>
      </c>
      <c r="E388" s="7"/>
      <c r="F388" s="2" t="s">
        <v>6</v>
      </c>
      <c r="G388" s="7">
        <v>1.1579493775999999E8</v>
      </c>
      <c r="H388" s="7"/>
      <c r="I388" s="8" t="s">
        <v>11</v>
      </c>
    </row>
    <row r="389">
      <c r="A389" s="18" t="s">
        <v>389</v>
      </c>
      <c r="B389" s="6" t="s">
        <v>4</v>
      </c>
      <c r="C389" s="6" t="s">
        <v>405</v>
      </c>
      <c r="D389" s="2">
        <v>6.5E7</v>
      </c>
      <c r="E389" s="7"/>
      <c r="F389" s="2" t="s">
        <v>6</v>
      </c>
      <c r="G389" s="7">
        <v>5.079493775999999E7</v>
      </c>
      <c r="H389" s="2">
        <v>5.079493776E7</v>
      </c>
      <c r="I389" s="8" t="s">
        <v>7</v>
      </c>
    </row>
    <row r="390">
      <c r="A390" s="18" t="s">
        <v>406</v>
      </c>
      <c r="B390" s="6" t="s">
        <v>407</v>
      </c>
      <c r="C390" s="6" t="s">
        <v>408</v>
      </c>
      <c r="D390" s="2"/>
      <c r="E390" s="2">
        <v>4.7079101E8</v>
      </c>
      <c r="F390" s="2" t="s">
        <v>3</v>
      </c>
      <c r="G390" s="7">
        <v>5.2158594776E8</v>
      </c>
      <c r="H390" s="7"/>
      <c r="I390" s="4" t="s">
        <v>9</v>
      </c>
    </row>
    <row r="391">
      <c r="A391" s="18" t="s">
        <v>406</v>
      </c>
      <c r="B391" s="6" t="s">
        <v>4</v>
      </c>
      <c r="C391" s="6" t="s">
        <v>409</v>
      </c>
      <c r="D391" s="2">
        <v>6.783E7</v>
      </c>
      <c r="E391" s="7"/>
      <c r="F391" s="2" t="s">
        <v>6</v>
      </c>
      <c r="G391" s="7">
        <v>4.5375594776E8</v>
      </c>
      <c r="H391" s="7"/>
      <c r="I391" s="8" t="s">
        <v>7</v>
      </c>
    </row>
    <row r="392">
      <c r="A392" s="18" t="s">
        <v>406</v>
      </c>
      <c r="B392" s="6" t="s">
        <v>4</v>
      </c>
      <c r="C392" s="6" t="s">
        <v>410</v>
      </c>
      <c r="D392" s="2">
        <v>1.5609375E8</v>
      </c>
      <c r="E392" s="7"/>
      <c r="F392" s="2" t="s">
        <v>6</v>
      </c>
      <c r="G392" s="7">
        <v>2.9766219776E8</v>
      </c>
      <c r="H392" s="7"/>
      <c r="I392" s="8" t="s">
        <v>7</v>
      </c>
    </row>
    <row r="393">
      <c r="A393" s="18" t="s">
        <v>406</v>
      </c>
      <c r="B393" s="6" t="s">
        <v>4</v>
      </c>
      <c r="C393" s="6" t="s">
        <v>411</v>
      </c>
      <c r="D393" s="2">
        <v>6.910552E7</v>
      </c>
      <c r="E393" s="7"/>
      <c r="F393" s="2" t="s">
        <v>6</v>
      </c>
      <c r="G393" s="7">
        <v>2.2855667776E8</v>
      </c>
      <c r="H393" s="2">
        <v>2.2855667776E8</v>
      </c>
      <c r="I393" s="8" t="s">
        <v>7</v>
      </c>
    </row>
    <row r="394">
      <c r="A394" s="18" t="s">
        <v>406</v>
      </c>
      <c r="B394" s="6" t="s">
        <v>4</v>
      </c>
      <c r="C394" s="6" t="s">
        <v>412</v>
      </c>
      <c r="D394" s="2">
        <v>9.42773E7</v>
      </c>
      <c r="E394" s="7"/>
      <c r="F394" s="2" t="s">
        <v>6</v>
      </c>
      <c r="G394" s="7">
        <v>1.3427937776E8</v>
      </c>
      <c r="H394" s="2">
        <v>1.3427937776E8</v>
      </c>
      <c r="I394" s="8" t="s">
        <v>7</v>
      </c>
    </row>
    <row r="395">
      <c r="A395" s="18" t="s">
        <v>406</v>
      </c>
      <c r="B395" s="6" t="s">
        <v>24</v>
      </c>
      <c r="C395" s="6" t="s">
        <v>413</v>
      </c>
      <c r="D395" s="2">
        <v>27000.0</v>
      </c>
      <c r="E395" s="7"/>
      <c r="F395" s="7"/>
      <c r="G395" s="7">
        <v>1.3425237776E8</v>
      </c>
      <c r="H395" s="7"/>
      <c r="I395" s="8" t="s">
        <v>9</v>
      </c>
    </row>
    <row r="396">
      <c r="A396" s="18" t="s">
        <v>406</v>
      </c>
      <c r="B396" s="6" t="s">
        <v>24</v>
      </c>
      <c r="C396" s="6" t="s">
        <v>413</v>
      </c>
      <c r="D396" s="2">
        <v>52000.0</v>
      </c>
      <c r="E396" s="7"/>
      <c r="F396" s="7"/>
      <c r="G396" s="7">
        <v>1.3420037775999999E8</v>
      </c>
      <c r="H396" s="7"/>
      <c r="I396" s="8" t="s">
        <v>9</v>
      </c>
    </row>
    <row r="397">
      <c r="A397" s="18" t="s">
        <v>406</v>
      </c>
      <c r="B397" s="6" t="s">
        <v>4</v>
      </c>
      <c r="C397" s="6" t="s">
        <v>414</v>
      </c>
      <c r="D397" s="2">
        <v>8.450365E7</v>
      </c>
      <c r="E397" s="7"/>
      <c r="F397" s="2" t="s">
        <v>6</v>
      </c>
      <c r="G397" s="7">
        <v>4.969672775999999E7</v>
      </c>
      <c r="H397" s="7"/>
      <c r="I397" s="8" t="s">
        <v>7</v>
      </c>
    </row>
    <row r="398">
      <c r="A398" s="18" t="s">
        <v>406</v>
      </c>
      <c r="B398" s="6" t="s">
        <v>4</v>
      </c>
      <c r="C398" s="6" t="s">
        <v>415</v>
      </c>
      <c r="D398" s="2">
        <v>3000000.0</v>
      </c>
      <c r="E398" s="7"/>
      <c r="F398" s="2" t="s">
        <v>6</v>
      </c>
      <c r="G398" s="7">
        <v>4.669672775999999E7</v>
      </c>
      <c r="H398" s="7"/>
      <c r="I398" s="8" t="s">
        <v>7</v>
      </c>
    </row>
    <row r="399">
      <c r="A399" s="18" t="s">
        <v>406</v>
      </c>
      <c r="B399" s="6" t="s">
        <v>4</v>
      </c>
      <c r="C399" s="6" t="s">
        <v>416</v>
      </c>
      <c r="D399" s="2">
        <v>1926570.0</v>
      </c>
      <c r="E399" s="7"/>
      <c r="F399" s="2" t="s">
        <v>6</v>
      </c>
      <c r="G399" s="7">
        <v>4.477015775999999E7</v>
      </c>
      <c r="H399" s="7"/>
      <c r="I399" s="8" t="s">
        <v>11</v>
      </c>
    </row>
    <row r="400">
      <c r="A400" s="18" t="s">
        <v>406</v>
      </c>
      <c r="B400" s="6" t="s">
        <v>4</v>
      </c>
      <c r="C400" s="6" t="s">
        <v>417</v>
      </c>
      <c r="D400" s="2">
        <v>1505820.0</v>
      </c>
      <c r="E400" s="7"/>
      <c r="F400" s="2" t="s">
        <v>6</v>
      </c>
      <c r="G400" s="7">
        <v>4.326433775999999E7</v>
      </c>
      <c r="H400" s="7"/>
      <c r="I400" s="8" t="s">
        <v>11</v>
      </c>
    </row>
    <row r="401">
      <c r="A401" s="18" t="s">
        <v>406</v>
      </c>
      <c r="B401" s="6" t="s">
        <v>4</v>
      </c>
      <c r="C401" s="6" t="s">
        <v>418</v>
      </c>
      <c r="D401" s="2">
        <v>1078500.0</v>
      </c>
      <c r="E401" s="7"/>
      <c r="F401" s="2" t="s">
        <v>6</v>
      </c>
      <c r="G401" s="7">
        <v>4.218583775999999E7</v>
      </c>
      <c r="H401" s="7"/>
      <c r="I401" s="8" t="s">
        <v>37</v>
      </c>
    </row>
    <row r="402">
      <c r="A402" s="18" t="s">
        <v>406</v>
      </c>
      <c r="B402" s="6" t="s">
        <v>12</v>
      </c>
      <c r="C402" s="6" t="s">
        <v>419</v>
      </c>
      <c r="D402" s="2"/>
      <c r="E402" s="2">
        <v>1300000.0</v>
      </c>
      <c r="F402" s="2" t="s">
        <v>3</v>
      </c>
      <c r="G402" s="7">
        <v>4.348583775999999E7</v>
      </c>
      <c r="H402" s="7"/>
      <c r="I402" s="4" t="s">
        <v>9</v>
      </c>
    </row>
    <row r="403">
      <c r="A403" s="18" t="s">
        <v>406</v>
      </c>
      <c r="B403" s="6" t="s">
        <v>12</v>
      </c>
      <c r="C403" s="6" t="s">
        <v>420</v>
      </c>
      <c r="D403" s="2"/>
      <c r="E403" s="2">
        <v>1.06E7</v>
      </c>
      <c r="F403" s="2" t="s">
        <v>3</v>
      </c>
      <c r="G403" s="7">
        <v>5.408583775999999E7</v>
      </c>
      <c r="H403" s="7"/>
      <c r="I403" s="4" t="s">
        <v>9</v>
      </c>
    </row>
    <row r="404">
      <c r="A404" s="18" t="s">
        <v>406</v>
      </c>
      <c r="B404" s="6" t="s">
        <v>12</v>
      </c>
      <c r="C404" s="6" t="s">
        <v>421</v>
      </c>
      <c r="D404" s="2"/>
      <c r="E404" s="2">
        <v>7.2767595E7</v>
      </c>
      <c r="F404" s="2" t="s">
        <v>3</v>
      </c>
      <c r="G404" s="7">
        <v>1.2685343275999999E8</v>
      </c>
      <c r="H404" s="7"/>
      <c r="I404" s="4" t="s">
        <v>9</v>
      </c>
    </row>
    <row r="405">
      <c r="A405" s="18" t="s">
        <v>406</v>
      </c>
      <c r="B405" s="6" t="s">
        <v>12</v>
      </c>
      <c r="C405" s="6" t="s">
        <v>422</v>
      </c>
      <c r="D405" s="2"/>
      <c r="E405" s="2">
        <v>1.0E8</v>
      </c>
      <c r="F405" s="2" t="s">
        <v>3</v>
      </c>
      <c r="G405" s="7">
        <v>2.2685343276E8</v>
      </c>
      <c r="H405" s="7"/>
      <c r="I405" s="4" t="s">
        <v>9</v>
      </c>
    </row>
    <row r="406">
      <c r="A406" s="18" t="s">
        <v>406</v>
      </c>
      <c r="B406" s="6" t="s">
        <v>4</v>
      </c>
      <c r="C406" s="6" t="s">
        <v>423</v>
      </c>
      <c r="D406" s="2">
        <v>2648900.0</v>
      </c>
      <c r="E406" s="7"/>
      <c r="F406" s="2" t="s">
        <v>6</v>
      </c>
      <c r="G406" s="7">
        <v>2.2420453276E8</v>
      </c>
      <c r="H406" s="2">
        <v>2.2420453276E8</v>
      </c>
      <c r="I406" s="8" t="s">
        <v>11</v>
      </c>
    </row>
    <row r="407">
      <c r="A407" s="18" t="s">
        <v>406</v>
      </c>
      <c r="B407" s="6" t="s">
        <v>4</v>
      </c>
      <c r="C407" s="6" t="s">
        <v>424</v>
      </c>
      <c r="D407" s="2">
        <v>8.4E7</v>
      </c>
      <c r="E407" s="7"/>
      <c r="F407" s="2" t="s">
        <v>6</v>
      </c>
      <c r="G407" s="7">
        <v>1.4020453276E8</v>
      </c>
      <c r="H407" s="2">
        <v>1.4020453276E8</v>
      </c>
      <c r="I407" s="8" t="s">
        <v>7</v>
      </c>
    </row>
    <row r="408">
      <c r="A408" s="18" t="s">
        <v>425</v>
      </c>
      <c r="B408" s="6" t="s">
        <v>426</v>
      </c>
      <c r="C408" s="6" t="s">
        <v>427</v>
      </c>
      <c r="D408" s="2">
        <v>7.7628E7</v>
      </c>
      <c r="E408" s="7"/>
      <c r="F408" s="2" t="s">
        <v>6</v>
      </c>
      <c r="G408" s="7">
        <v>6.257653275999999E7</v>
      </c>
      <c r="H408" s="7"/>
      <c r="I408" s="8" t="s">
        <v>7</v>
      </c>
    </row>
    <row r="409">
      <c r="A409" s="18" t="s">
        <v>425</v>
      </c>
      <c r="B409" s="6" t="s">
        <v>426</v>
      </c>
      <c r="C409" s="6" t="s">
        <v>428</v>
      </c>
      <c r="D409" s="2">
        <v>3.37104E7</v>
      </c>
      <c r="E409" s="7"/>
      <c r="F409" s="2" t="s">
        <v>6</v>
      </c>
      <c r="G409" s="7">
        <v>2.886613275999999E7</v>
      </c>
      <c r="H409" s="7"/>
      <c r="I409" s="8" t="s">
        <v>7</v>
      </c>
    </row>
    <row r="410">
      <c r="A410" s="18" t="s">
        <v>425</v>
      </c>
      <c r="B410" s="6" t="s">
        <v>426</v>
      </c>
      <c r="C410" s="6" t="s">
        <v>429</v>
      </c>
      <c r="D410" s="2">
        <v>450000.0</v>
      </c>
      <c r="E410" s="7"/>
      <c r="F410" s="2" t="s">
        <v>6</v>
      </c>
      <c r="G410" s="7">
        <v>2.841613275999999E7</v>
      </c>
      <c r="H410" s="7"/>
      <c r="I410" s="8" t="s">
        <v>11</v>
      </c>
    </row>
    <row r="411">
      <c r="A411" s="18" t="s">
        <v>425</v>
      </c>
      <c r="B411" s="6" t="s">
        <v>4</v>
      </c>
      <c r="C411" s="6" t="s">
        <v>430</v>
      </c>
      <c r="D411" s="2">
        <v>2.8E7</v>
      </c>
      <c r="E411" s="7"/>
      <c r="F411" s="2" t="s">
        <v>6</v>
      </c>
      <c r="G411" s="7">
        <v>416132.75999999046</v>
      </c>
      <c r="H411" s="7"/>
      <c r="I411" s="8" t="s">
        <v>7</v>
      </c>
    </row>
    <row r="412">
      <c r="A412" s="18" t="s">
        <v>425</v>
      </c>
      <c r="B412" s="6" t="s">
        <v>12</v>
      </c>
      <c r="C412" s="6" t="s">
        <v>431</v>
      </c>
      <c r="D412" s="2"/>
      <c r="E412" s="2">
        <v>5.0E7</v>
      </c>
      <c r="F412" s="2" t="s">
        <v>3</v>
      </c>
      <c r="G412" s="7">
        <v>5.041613275999999E7</v>
      </c>
      <c r="H412" s="7"/>
      <c r="I412" s="4" t="s">
        <v>9</v>
      </c>
    </row>
    <row r="413">
      <c r="A413" s="18" t="s">
        <v>425</v>
      </c>
      <c r="B413" s="6" t="s">
        <v>4</v>
      </c>
      <c r="C413" s="6" t="s">
        <v>432</v>
      </c>
      <c r="D413" s="2">
        <v>5.0E7</v>
      </c>
      <c r="E413" s="7"/>
      <c r="F413" s="2" t="s">
        <v>6</v>
      </c>
      <c r="G413" s="7">
        <v>416132.75999999046</v>
      </c>
      <c r="H413" s="7"/>
      <c r="I413" s="8" t="s">
        <v>7</v>
      </c>
    </row>
    <row r="414">
      <c r="A414" s="18" t="s">
        <v>425</v>
      </c>
      <c r="B414" s="6" t="s">
        <v>12</v>
      </c>
      <c r="C414" s="6" t="s">
        <v>433</v>
      </c>
      <c r="D414" s="2"/>
      <c r="E414" s="2">
        <v>2.7933424E8</v>
      </c>
      <c r="F414" s="2" t="s">
        <v>3</v>
      </c>
      <c r="G414" s="7">
        <v>2.7975037276E8</v>
      </c>
      <c r="H414" s="7"/>
      <c r="I414" s="4" t="s">
        <v>9</v>
      </c>
    </row>
    <row r="415">
      <c r="A415" s="18" t="s">
        <v>425</v>
      </c>
      <c r="B415" s="6" t="s">
        <v>4</v>
      </c>
      <c r="C415" s="6" t="s">
        <v>434</v>
      </c>
      <c r="D415" s="2">
        <v>1200000.0</v>
      </c>
      <c r="E415" s="7"/>
      <c r="F415" s="2" t="s">
        <v>6</v>
      </c>
      <c r="G415" s="7">
        <v>2.7855037276E8</v>
      </c>
      <c r="H415" s="7"/>
      <c r="I415" s="8" t="s">
        <v>7</v>
      </c>
    </row>
    <row r="416">
      <c r="A416" s="18" t="s">
        <v>425</v>
      </c>
      <c r="B416" s="6" t="s">
        <v>4</v>
      </c>
      <c r="C416" s="6" t="s">
        <v>435</v>
      </c>
      <c r="D416" s="2">
        <v>1.76277E7</v>
      </c>
      <c r="E416" s="7"/>
      <c r="F416" s="2" t="s">
        <v>6</v>
      </c>
      <c r="G416" s="7">
        <v>2.6092267276E8</v>
      </c>
      <c r="H416" s="7"/>
      <c r="I416" s="8" t="s">
        <v>7</v>
      </c>
    </row>
    <row r="417">
      <c r="A417" s="18" t="s">
        <v>425</v>
      </c>
      <c r="B417" s="6" t="s">
        <v>4</v>
      </c>
      <c r="C417" s="6" t="s">
        <v>436</v>
      </c>
      <c r="D417" s="2">
        <v>7.468776E7</v>
      </c>
      <c r="E417" s="7"/>
      <c r="F417" s="2" t="s">
        <v>6</v>
      </c>
      <c r="G417" s="7">
        <v>1.8623491276E8</v>
      </c>
      <c r="H417" s="7"/>
      <c r="I417" s="8" t="s">
        <v>7</v>
      </c>
    </row>
    <row r="418">
      <c r="A418" s="18" t="s">
        <v>425</v>
      </c>
      <c r="B418" s="6" t="s">
        <v>4</v>
      </c>
      <c r="C418" s="6" t="s">
        <v>437</v>
      </c>
      <c r="D418" s="2">
        <v>1.0984185E8</v>
      </c>
      <c r="E418" s="7"/>
      <c r="F418" s="2" t="s">
        <v>6</v>
      </c>
      <c r="G418" s="7">
        <v>7.639306275999999E7</v>
      </c>
      <c r="H418" s="7"/>
      <c r="I418" s="8" t="s">
        <v>7</v>
      </c>
    </row>
    <row r="419">
      <c r="A419" s="18" t="s">
        <v>425</v>
      </c>
      <c r="B419" s="6" t="s">
        <v>4</v>
      </c>
      <c r="C419" s="6" t="s">
        <v>438</v>
      </c>
      <c r="D419" s="2">
        <v>7.05E7</v>
      </c>
      <c r="E419" s="7"/>
      <c r="F419" s="2" t="s">
        <v>6</v>
      </c>
      <c r="G419" s="7">
        <v>5893062.75999999</v>
      </c>
      <c r="H419" s="2">
        <v>5893062.76</v>
      </c>
      <c r="I419" s="8" t="s">
        <v>7</v>
      </c>
    </row>
    <row r="420">
      <c r="A420" s="18" t="s">
        <v>425</v>
      </c>
      <c r="B420" s="6" t="s">
        <v>4</v>
      </c>
      <c r="C420" s="6" t="s">
        <v>439</v>
      </c>
      <c r="D420" s="2">
        <v>1558360.0</v>
      </c>
      <c r="E420" s="7"/>
      <c r="F420" s="2" t="s">
        <v>6</v>
      </c>
      <c r="G420" s="7">
        <v>4334702.75999999</v>
      </c>
      <c r="H420" s="2">
        <v>4334702.76</v>
      </c>
      <c r="I420" s="8" t="s">
        <v>11</v>
      </c>
    </row>
    <row r="421">
      <c r="A421" s="18" t="s">
        <v>425</v>
      </c>
      <c r="B421" s="6" t="s">
        <v>55</v>
      </c>
      <c r="C421" s="6" t="s">
        <v>188</v>
      </c>
      <c r="D421" s="2">
        <v>3307050.0</v>
      </c>
      <c r="E421" s="7"/>
      <c r="F421" s="2" t="s">
        <v>6</v>
      </c>
      <c r="G421" s="7">
        <v>1027652.7599999905</v>
      </c>
      <c r="H421" s="7"/>
      <c r="I421" s="8" t="s">
        <v>11</v>
      </c>
    </row>
    <row r="422">
      <c r="A422" s="18" t="s">
        <v>425</v>
      </c>
      <c r="B422" s="6" t="s">
        <v>55</v>
      </c>
      <c r="C422" s="6" t="s">
        <v>189</v>
      </c>
      <c r="D422" s="2">
        <v>2500.0</v>
      </c>
      <c r="E422" s="7"/>
      <c r="F422" s="2" t="s">
        <v>6</v>
      </c>
      <c r="G422" s="7">
        <v>1025152.7599999905</v>
      </c>
      <c r="H422" s="7"/>
      <c r="I422" s="8" t="s">
        <v>11</v>
      </c>
    </row>
    <row r="423">
      <c r="A423" s="18" t="s">
        <v>425</v>
      </c>
      <c r="B423" s="6" t="s">
        <v>12</v>
      </c>
      <c r="C423" s="6" t="s">
        <v>440</v>
      </c>
      <c r="D423" s="2"/>
      <c r="E423" s="2">
        <v>8.965091E7</v>
      </c>
      <c r="F423" s="2" t="s">
        <v>3</v>
      </c>
      <c r="G423" s="7">
        <v>9.067606275999999E7</v>
      </c>
      <c r="H423" s="7"/>
      <c r="I423" s="4" t="s">
        <v>9</v>
      </c>
    </row>
    <row r="424">
      <c r="A424" s="18" t="s">
        <v>425</v>
      </c>
      <c r="B424" s="6" t="s">
        <v>12</v>
      </c>
      <c r="C424" s="6" t="s">
        <v>441</v>
      </c>
      <c r="D424" s="2"/>
      <c r="E424" s="2">
        <v>4.7543455E8</v>
      </c>
      <c r="F424" s="2" t="s">
        <v>3</v>
      </c>
      <c r="G424" s="7">
        <v>5.6611061276E8</v>
      </c>
      <c r="H424" s="7"/>
      <c r="I424" s="4" t="s">
        <v>9</v>
      </c>
    </row>
    <row r="425">
      <c r="A425" s="18" t="s">
        <v>425</v>
      </c>
      <c r="B425" s="6" t="s">
        <v>4</v>
      </c>
      <c r="C425" s="6" t="s">
        <v>442</v>
      </c>
      <c r="D425" s="2">
        <v>6.58E7</v>
      </c>
      <c r="E425" s="7"/>
      <c r="F425" s="2" t="s">
        <v>6</v>
      </c>
      <c r="G425" s="7">
        <v>5.0031061276E8</v>
      </c>
      <c r="H425" s="7"/>
      <c r="I425" s="8" t="s">
        <v>7</v>
      </c>
    </row>
    <row r="426">
      <c r="A426" s="18" t="s">
        <v>425</v>
      </c>
      <c r="B426" s="6" t="s">
        <v>4</v>
      </c>
      <c r="C426" s="6" t="s">
        <v>443</v>
      </c>
      <c r="D426" s="2">
        <v>5.0E7</v>
      </c>
      <c r="E426" s="7"/>
      <c r="F426" s="2" t="s">
        <v>6</v>
      </c>
      <c r="G426" s="7">
        <v>4.5031061276E8</v>
      </c>
      <c r="H426" s="7"/>
      <c r="I426" s="8" t="s">
        <v>7</v>
      </c>
    </row>
    <row r="427">
      <c r="A427" s="18" t="s">
        <v>425</v>
      </c>
      <c r="B427" s="6" t="s">
        <v>4</v>
      </c>
      <c r="C427" s="6" t="s">
        <v>444</v>
      </c>
      <c r="D427" s="2">
        <v>7.68E7</v>
      </c>
      <c r="E427" s="7"/>
      <c r="F427" s="2" t="s">
        <v>6</v>
      </c>
      <c r="G427" s="7">
        <v>3.7351061276E8</v>
      </c>
      <c r="H427" s="7"/>
      <c r="I427" s="8" t="s">
        <v>7</v>
      </c>
    </row>
    <row r="428">
      <c r="A428" s="18" t="s">
        <v>425</v>
      </c>
      <c r="B428" s="6" t="s">
        <v>4</v>
      </c>
      <c r="C428" s="6" t="s">
        <v>445</v>
      </c>
      <c r="D428" s="2">
        <v>8.62685E7</v>
      </c>
      <c r="E428" s="7"/>
      <c r="F428" s="2" t="s">
        <v>6</v>
      </c>
      <c r="G428" s="7">
        <v>2.8724211276E8</v>
      </c>
      <c r="H428" s="7"/>
      <c r="I428" s="8" t="s">
        <v>7</v>
      </c>
    </row>
    <row r="429">
      <c r="A429" s="18" t="s">
        <v>425</v>
      </c>
      <c r="B429" s="6" t="s">
        <v>4</v>
      </c>
      <c r="C429" s="6" t="s">
        <v>446</v>
      </c>
      <c r="D429" s="2">
        <v>1561000.0</v>
      </c>
      <c r="E429" s="7"/>
      <c r="F429" s="2" t="s">
        <v>6</v>
      </c>
      <c r="G429" s="7">
        <v>2.8568111276E8</v>
      </c>
      <c r="H429" s="7"/>
      <c r="I429" s="8" t="s">
        <v>11</v>
      </c>
    </row>
    <row r="430">
      <c r="A430" s="18" t="s">
        <v>425</v>
      </c>
      <c r="B430" s="6" t="s">
        <v>12</v>
      </c>
      <c r="C430" s="6" t="s">
        <v>447</v>
      </c>
      <c r="D430" s="2"/>
      <c r="E430" s="2">
        <v>433520.0</v>
      </c>
      <c r="F430" s="2" t="s">
        <v>3</v>
      </c>
      <c r="G430" s="7">
        <v>2.8611463276E8</v>
      </c>
      <c r="H430" s="7"/>
      <c r="I430" s="4" t="s">
        <v>9</v>
      </c>
    </row>
    <row r="431">
      <c r="A431" s="18" t="s">
        <v>425</v>
      </c>
      <c r="B431" s="6" t="s">
        <v>4</v>
      </c>
      <c r="C431" s="6" t="s">
        <v>448</v>
      </c>
      <c r="D431" s="2">
        <v>1.0E7</v>
      </c>
      <c r="E431" s="7"/>
      <c r="F431" s="2" t="s">
        <v>6</v>
      </c>
      <c r="G431" s="7">
        <v>2.7611463276E8</v>
      </c>
      <c r="H431" s="7"/>
      <c r="I431" s="8" t="s">
        <v>11</v>
      </c>
    </row>
    <row r="432">
      <c r="A432" s="18" t="s">
        <v>425</v>
      </c>
      <c r="B432" s="6" t="s">
        <v>4</v>
      </c>
      <c r="C432" s="6" t="s">
        <v>449</v>
      </c>
      <c r="D432" s="2">
        <v>200000.0</v>
      </c>
      <c r="E432" s="7"/>
      <c r="F432" s="2" t="s">
        <v>6</v>
      </c>
      <c r="G432" s="7">
        <v>2.7591463276E8</v>
      </c>
      <c r="H432" s="7"/>
      <c r="I432" s="8" t="s">
        <v>16</v>
      </c>
    </row>
    <row r="433">
      <c r="A433" s="18" t="s">
        <v>425</v>
      </c>
      <c r="B433" s="6" t="s">
        <v>4</v>
      </c>
      <c r="C433" s="6" t="s">
        <v>450</v>
      </c>
      <c r="D433" s="2">
        <v>1200000.0</v>
      </c>
      <c r="E433" s="7"/>
      <c r="F433" s="2" t="s">
        <v>6</v>
      </c>
      <c r="G433" s="7">
        <v>2.7471463276E8</v>
      </c>
      <c r="H433" s="2">
        <v>2.7471463276E8</v>
      </c>
      <c r="I433" s="8" t="s">
        <v>11</v>
      </c>
    </row>
    <row r="434">
      <c r="A434" s="18" t="s">
        <v>425</v>
      </c>
      <c r="B434" s="6" t="s">
        <v>4</v>
      </c>
      <c r="C434" s="6" t="s">
        <v>451</v>
      </c>
      <c r="D434" s="2">
        <v>1.433055E8</v>
      </c>
      <c r="E434" s="7"/>
      <c r="F434" s="2" t="s">
        <v>6</v>
      </c>
      <c r="G434" s="7">
        <v>1.3140913275999999E8</v>
      </c>
      <c r="H434" s="2">
        <v>1.3140913276E8</v>
      </c>
      <c r="I434" s="8" t="s">
        <v>7</v>
      </c>
    </row>
    <row r="435">
      <c r="A435" s="18" t="s">
        <v>425</v>
      </c>
      <c r="B435" s="6" t="s">
        <v>4</v>
      </c>
      <c r="C435" s="6" t="s">
        <v>452</v>
      </c>
      <c r="D435" s="2">
        <v>6.851347E7</v>
      </c>
      <c r="E435" s="7"/>
      <c r="F435" s="2" t="s">
        <v>6</v>
      </c>
      <c r="G435" s="7">
        <v>6.289566275999999E7</v>
      </c>
      <c r="H435" s="7"/>
      <c r="I435" s="8" t="s">
        <v>7</v>
      </c>
    </row>
    <row r="436">
      <c r="A436" s="18" t="s">
        <v>425</v>
      </c>
      <c r="B436" s="6" t="s">
        <v>4</v>
      </c>
      <c r="C436" s="6" t="s">
        <v>453</v>
      </c>
      <c r="D436" s="2">
        <v>6.278E7</v>
      </c>
      <c r="E436" s="7"/>
      <c r="F436" s="2" t="s">
        <v>6</v>
      </c>
      <c r="G436" s="7">
        <v>115662.75999999046</v>
      </c>
      <c r="H436" s="2">
        <v>115662.76</v>
      </c>
      <c r="I436" s="8" t="s">
        <v>7</v>
      </c>
    </row>
    <row r="437">
      <c r="A437" s="18" t="s">
        <v>454</v>
      </c>
      <c r="B437" s="6" t="s">
        <v>455</v>
      </c>
      <c r="C437" s="6" t="s">
        <v>456</v>
      </c>
      <c r="D437" s="2"/>
      <c r="E437" s="2">
        <v>4.3047959E8</v>
      </c>
      <c r="F437" s="2" t="s">
        <v>3</v>
      </c>
      <c r="G437" s="7">
        <v>4.3059525276E8</v>
      </c>
      <c r="H437" s="7"/>
      <c r="I437" s="4" t="s">
        <v>9</v>
      </c>
    </row>
    <row r="438">
      <c r="A438" s="18" t="s">
        <v>454</v>
      </c>
      <c r="B438" s="6" t="s">
        <v>4</v>
      </c>
      <c r="C438" s="6" t="s">
        <v>457</v>
      </c>
      <c r="D438" s="2">
        <v>1.711035E8</v>
      </c>
      <c r="E438" s="7"/>
      <c r="F438" s="2" t="s">
        <v>6</v>
      </c>
      <c r="G438" s="7">
        <v>2.5949175276E8</v>
      </c>
      <c r="H438" s="7"/>
      <c r="I438" s="8" t="s">
        <v>7</v>
      </c>
    </row>
    <row r="439">
      <c r="A439" s="18" t="s">
        <v>454</v>
      </c>
      <c r="B439" s="6" t="s">
        <v>4</v>
      </c>
      <c r="C439" s="6" t="s">
        <v>458</v>
      </c>
      <c r="D439" s="2">
        <v>1.3510659E8</v>
      </c>
      <c r="E439" s="7"/>
      <c r="F439" s="2" t="s">
        <v>6</v>
      </c>
      <c r="G439" s="7">
        <v>1.2438516275999999E8</v>
      </c>
      <c r="H439" s="7"/>
      <c r="I439" s="8" t="s">
        <v>7</v>
      </c>
    </row>
    <row r="440">
      <c r="A440" s="18" t="s">
        <v>454</v>
      </c>
      <c r="B440" s="6" t="s">
        <v>4</v>
      </c>
      <c r="C440" s="6" t="s">
        <v>459</v>
      </c>
      <c r="D440" s="2">
        <v>9.385674E7</v>
      </c>
      <c r="E440" s="7"/>
      <c r="F440" s="2" t="s">
        <v>6</v>
      </c>
      <c r="G440" s="7">
        <v>3.052842275999999E7</v>
      </c>
      <c r="H440" s="7"/>
      <c r="I440" s="8" t="s">
        <v>7</v>
      </c>
    </row>
    <row r="441">
      <c r="A441" s="18" t="s">
        <v>454</v>
      </c>
      <c r="B441" s="6" t="s">
        <v>4</v>
      </c>
      <c r="C441" s="6" t="s">
        <v>460</v>
      </c>
      <c r="D441" s="2">
        <v>1100760.0</v>
      </c>
      <c r="E441" s="7"/>
      <c r="F441" s="2" t="s">
        <v>6</v>
      </c>
      <c r="G441" s="7">
        <v>2.942766275999999E7</v>
      </c>
      <c r="H441" s="7"/>
      <c r="I441" s="8" t="s">
        <v>11</v>
      </c>
    </row>
    <row r="442">
      <c r="A442" s="18" t="s">
        <v>454</v>
      </c>
      <c r="B442" s="6" t="s">
        <v>55</v>
      </c>
      <c r="C442" s="6" t="s">
        <v>188</v>
      </c>
      <c r="D442" s="2">
        <v>2267340.0</v>
      </c>
      <c r="E442" s="7"/>
      <c r="F442" s="2" t="s">
        <v>6</v>
      </c>
      <c r="G442" s="7">
        <v>2.716032275999999E7</v>
      </c>
      <c r="H442" s="7"/>
      <c r="I442" s="8" t="s">
        <v>11</v>
      </c>
    </row>
    <row r="443">
      <c r="A443" s="18" t="s">
        <v>454</v>
      </c>
      <c r="B443" s="6" t="s">
        <v>55</v>
      </c>
      <c r="C443" s="6" t="s">
        <v>189</v>
      </c>
      <c r="D443" s="2">
        <v>2500.0</v>
      </c>
      <c r="E443" s="7"/>
      <c r="F443" s="2" t="s">
        <v>6</v>
      </c>
      <c r="G443" s="7">
        <v>2.715782275999999E7</v>
      </c>
      <c r="H443" s="7"/>
      <c r="I443" s="8" t="s">
        <v>11</v>
      </c>
    </row>
    <row r="444">
      <c r="A444" s="18" t="s">
        <v>454</v>
      </c>
      <c r="B444" s="6" t="s">
        <v>4</v>
      </c>
      <c r="C444" s="6" t="s">
        <v>461</v>
      </c>
      <c r="D444" s="2">
        <v>1000000.0</v>
      </c>
      <c r="E444" s="7"/>
      <c r="F444" s="2" t="s">
        <v>6</v>
      </c>
      <c r="G444" s="7">
        <v>2.615782275999999E7</v>
      </c>
      <c r="H444" s="7"/>
      <c r="I444" s="8" t="s">
        <v>37</v>
      </c>
    </row>
    <row r="445">
      <c r="A445" s="18" t="s">
        <v>454</v>
      </c>
      <c r="B445" s="6" t="s">
        <v>12</v>
      </c>
      <c r="C445" s="6" t="s">
        <v>462</v>
      </c>
      <c r="D445" s="2"/>
      <c r="E445" s="2">
        <v>500000.0</v>
      </c>
      <c r="F445" s="2" t="s">
        <v>3</v>
      </c>
      <c r="G445" s="7">
        <v>2.665782275999999E7</v>
      </c>
      <c r="H445" s="7"/>
      <c r="I445" s="4" t="s">
        <v>9</v>
      </c>
    </row>
    <row r="446">
      <c r="A446" s="18" t="s">
        <v>454</v>
      </c>
      <c r="B446" s="6" t="s">
        <v>12</v>
      </c>
      <c r="C446" s="6" t="s">
        <v>463</v>
      </c>
      <c r="D446" s="2"/>
      <c r="E446" s="2">
        <v>8.40466E7</v>
      </c>
      <c r="F446" s="2" t="s">
        <v>3</v>
      </c>
      <c r="G446" s="7">
        <v>1.1070442275999999E8</v>
      </c>
      <c r="H446" s="2">
        <v>1.1070442276E8</v>
      </c>
      <c r="I446" s="4" t="s">
        <v>9</v>
      </c>
    </row>
    <row r="447">
      <c r="A447" s="18" t="s">
        <v>454</v>
      </c>
      <c r="B447" s="6" t="s">
        <v>12</v>
      </c>
      <c r="C447" s="6" t="s">
        <v>464</v>
      </c>
      <c r="D447" s="2"/>
      <c r="E447" s="2">
        <v>5.35394415E8</v>
      </c>
      <c r="F447" s="2" t="s">
        <v>3</v>
      </c>
      <c r="G447" s="7">
        <v>6.4609883776E8</v>
      </c>
      <c r="H447" s="2">
        <v>6.4609883776E8</v>
      </c>
      <c r="I447" s="4" t="s">
        <v>9</v>
      </c>
    </row>
    <row r="448">
      <c r="A448" s="18" t="s">
        <v>454</v>
      </c>
      <c r="B448" s="6" t="s">
        <v>55</v>
      </c>
      <c r="C448" s="6" t="s">
        <v>179</v>
      </c>
      <c r="D448" s="2">
        <v>86000.0</v>
      </c>
      <c r="E448" s="7"/>
      <c r="F448" s="2" t="s">
        <v>6</v>
      </c>
      <c r="G448" s="7">
        <v>6.4601283776E8</v>
      </c>
      <c r="H448" s="7"/>
      <c r="I448" s="8" t="s">
        <v>9</v>
      </c>
    </row>
    <row r="449">
      <c r="A449" s="18" t="s">
        <v>454</v>
      </c>
      <c r="B449" s="6" t="s">
        <v>55</v>
      </c>
      <c r="C449" s="6" t="s">
        <v>180</v>
      </c>
      <c r="D449" s="2">
        <v>2500.0</v>
      </c>
      <c r="E449" s="7"/>
      <c r="F449" s="2" t="s">
        <v>6</v>
      </c>
      <c r="G449" s="7">
        <v>6.4601033776E8</v>
      </c>
      <c r="H449" s="7"/>
      <c r="I449" s="8" t="s">
        <v>9</v>
      </c>
    </row>
    <row r="450">
      <c r="A450" s="18" t="s">
        <v>454</v>
      </c>
      <c r="B450" s="6" t="s">
        <v>4</v>
      </c>
      <c r="C450" s="6" t="s">
        <v>465</v>
      </c>
      <c r="D450" s="2">
        <v>2.504389E7</v>
      </c>
      <c r="E450" s="7"/>
      <c r="F450" s="2" t="s">
        <v>6</v>
      </c>
      <c r="G450" s="7">
        <v>6.2096644776E8</v>
      </c>
      <c r="H450" s="7"/>
      <c r="I450" s="8" t="s">
        <v>7</v>
      </c>
    </row>
    <row r="451">
      <c r="A451" s="18" t="s">
        <v>454</v>
      </c>
      <c r="B451" s="6" t="s">
        <v>4</v>
      </c>
      <c r="C451" s="6" t="s">
        <v>466</v>
      </c>
      <c r="D451" s="2">
        <v>9.95608E7</v>
      </c>
      <c r="E451" s="7"/>
      <c r="F451" s="2" t="s">
        <v>6</v>
      </c>
      <c r="G451" s="7">
        <v>5.2140564776E8</v>
      </c>
      <c r="H451" s="7"/>
      <c r="I451" s="8" t="s">
        <v>7</v>
      </c>
    </row>
    <row r="452">
      <c r="A452" s="18" t="s">
        <v>454</v>
      </c>
      <c r="B452" s="6" t="s">
        <v>4</v>
      </c>
      <c r="C452" s="6" t="s">
        <v>467</v>
      </c>
      <c r="D452" s="2">
        <v>1.25E8</v>
      </c>
      <c r="E452" s="7"/>
      <c r="F452" s="2" t="s">
        <v>6</v>
      </c>
      <c r="G452" s="7">
        <v>3.9640564776E8</v>
      </c>
      <c r="H452" s="7"/>
      <c r="I452" s="8" t="s">
        <v>7</v>
      </c>
    </row>
    <row r="453">
      <c r="A453" s="18" t="s">
        <v>454</v>
      </c>
      <c r="B453" s="6" t="s">
        <v>4</v>
      </c>
      <c r="C453" s="6" t="s">
        <v>468</v>
      </c>
      <c r="D453" s="2">
        <v>1.7488626E8</v>
      </c>
      <c r="E453" s="7"/>
      <c r="F453" s="2" t="s">
        <v>6</v>
      </c>
      <c r="G453" s="7">
        <v>2.2151938776E8</v>
      </c>
      <c r="H453" s="7"/>
      <c r="I453" s="8" t="s">
        <v>7</v>
      </c>
    </row>
    <row r="454">
      <c r="A454" s="18" t="s">
        <v>454</v>
      </c>
      <c r="B454" s="6" t="s">
        <v>4</v>
      </c>
      <c r="C454" s="6" t="s">
        <v>469</v>
      </c>
      <c r="D454" s="2">
        <v>5.7E7</v>
      </c>
      <c r="E454" s="7"/>
      <c r="F454" s="2" t="s">
        <v>6</v>
      </c>
      <c r="G454" s="7">
        <v>1.6451938776E8</v>
      </c>
      <c r="H454" s="7"/>
      <c r="I454" s="8" t="s">
        <v>7</v>
      </c>
    </row>
    <row r="455">
      <c r="A455" s="18" t="s">
        <v>454</v>
      </c>
      <c r="B455" s="6" t="s">
        <v>12</v>
      </c>
      <c r="C455" s="6" t="s">
        <v>470</v>
      </c>
      <c r="D455" s="2"/>
      <c r="E455" s="2">
        <v>2.186877E8</v>
      </c>
      <c r="F455" s="2" t="s">
        <v>3</v>
      </c>
      <c r="G455" s="7">
        <v>3.8320708776E8</v>
      </c>
      <c r="H455" s="7"/>
      <c r="I455" s="4" t="s">
        <v>9</v>
      </c>
    </row>
    <row r="456">
      <c r="A456" s="18" t="s">
        <v>454</v>
      </c>
      <c r="B456" s="6" t="s">
        <v>12</v>
      </c>
      <c r="C456" s="6" t="s">
        <v>471</v>
      </c>
      <c r="D456" s="2"/>
      <c r="E456" s="2">
        <v>500000.0</v>
      </c>
      <c r="F456" s="2" t="s">
        <v>3</v>
      </c>
      <c r="G456" s="7">
        <v>3.8370708776E8</v>
      </c>
      <c r="H456" s="7"/>
      <c r="I456" s="4" t="s">
        <v>9</v>
      </c>
    </row>
    <row r="457">
      <c r="A457" s="18" t="s">
        <v>454</v>
      </c>
      <c r="B457" s="6" t="s">
        <v>12</v>
      </c>
      <c r="C457" s="6" t="s">
        <v>472</v>
      </c>
      <c r="D457" s="2"/>
      <c r="E457" s="2">
        <v>750000.0</v>
      </c>
      <c r="F457" s="2" t="s">
        <v>3</v>
      </c>
      <c r="G457" s="7">
        <v>3.8445708776E8</v>
      </c>
      <c r="H457" s="7"/>
      <c r="I457" s="4" t="s">
        <v>9</v>
      </c>
    </row>
    <row r="458">
      <c r="A458" s="18" t="s">
        <v>454</v>
      </c>
      <c r="B458" s="6" t="s">
        <v>12</v>
      </c>
      <c r="C458" s="6" t="s">
        <v>473</v>
      </c>
      <c r="D458" s="2"/>
      <c r="E458" s="2">
        <v>8.972484E7</v>
      </c>
      <c r="F458" s="2" t="s">
        <v>3</v>
      </c>
      <c r="G458" s="7">
        <v>4.7418192776E8</v>
      </c>
      <c r="H458" s="2">
        <v>4.7418192776E8</v>
      </c>
      <c r="I458" s="4" t="s">
        <v>9</v>
      </c>
    </row>
    <row r="459">
      <c r="A459" s="18" t="s">
        <v>454</v>
      </c>
      <c r="B459" s="6" t="s">
        <v>133</v>
      </c>
      <c r="C459" s="6" t="s">
        <v>474</v>
      </c>
      <c r="D459" s="2">
        <v>113000.0</v>
      </c>
      <c r="E459" s="7"/>
      <c r="F459" s="7"/>
      <c r="G459" s="7">
        <v>4.7406892776E8</v>
      </c>
      <c r="H459" s="2">
        <v>4.7406892776E8</v>
      </c>
      <c r="I459" s="8" t="s">
        <v>9</v>
      </c>
    </row>
    <row r="460">
      <c r="A460" s="18" t="s">
        <v>454</v>
      </c>
      <c r="B460" s="6" t="s">
        <v>41</v>
      </c>
      <c r="C460" s="6" t="s">
        <v>475</v>
      </c>
      <c r="D460" s="2">
        <v>183970.0</v>
      </c>
      <c r="E460" s="7"/>
      <c r="F460" s="7"/>
      <c r="G460" s="7">
        <v>4.7388495776E8</v>
      </c>
      <c r="H460" s="2">
        <v>4.7388495776E8</v>
      </c>
      <c r="I460" s="8" t="s">
        <v>9</v>
      </c>
    </row>
    <row r="461">
      <c r="A461" s="18" t="s">
        <v>476</v>
      </c>
      <c r="B461" s="6" t="s">
        <v>477</v>
      </c>
      <c r="C461" s="6" t="s">
        <v>478</v>
      </c>
      <c r="D461" s="2">
        <v>1500000.0</v>
      </c>
      <c r="E461" s="7"/>
      <c r="F461" s="2" t="s">
        <v>6</v>
      </c>
      <c r="G461" s="7">
        <v>4.7238495776E8</v>
      </c>
      <c r="H461" s="7"/>
      <c r="I461" s="8" t="s">
        <v>11</v>
      </c>
    </row>
    <row r="462">
      <c r="A462" s="18" t="s">
        <v>476</v>
      </c>
      <c r="B462" s="6" t="s">
        <v>477</v>
      </c>
      <c r="C462" s="6" t="s">
        <v>479</v>
      </c>
      <c r="D462" s="2">
        <v>1404490.0</v>
      </c>
      <c r="E462" s="7"/>
      <c r="F462" s="2" t="s">
        <v>6</v>
      </c>
      <c r="G462" s="7">
        <v>4.7098046776E8</v>
      </c>
      <c r="H462" s="7"/>
      <c r="I462" s="8" t="s">
        <v>11</v>
      </c>
    </row>
    <row r="463">
      <c r="A463" s="18" t="s">
        <v>476</v>
      </c>
      <c r="B463" s="6" t="s">
        <v>55</v>
      </c>
      <c r="C463" s="6" t="s">
        <v>480</v>
      </c>
      <c r="D463" s="2">
        <v>2000000.0</v>
      </c>
      <c r="E463" s="7"/>
      <c r="F463" s="2" t="s">
        <v>6</v>
      </c>
      <c r="G463" s="7">
        <v>4.6898046776E8</v>
      </c>
      <c r="H463" s="7"/>
      <c r="I463" s="8" t="s">
        <v>7</v>
      </c>
    </row>
    <row r="464">
      <c r="A464" s="18" t="s">
        <v>476</v>
      </c>
      <c r="B464" s="6" t="s">
        <v>55</v>
      </c>
      <c r="C464" s="6" t="s">
        <v>481</v>
      </c>
      <c r="D464" s="2">
        <v>2500.0</v>
      </c>
      <c r="E464" s="7"/>
      <c r="F464" s="2" t="s">
        <v>6</v>
      </c>
      <c r="G464" s="7">
        <v>4.6897796776E8</v>
      </c>
      <c r="H464" s="7"/>
      <c r="I464" s="8" t="s">
        <v>7</v>
      </c>
    </row>
    <row r="465">
      <c r="A465" s="18" t="s">
        <v>476</v>
      </c>
      <c r="B465" s="6" t="s">
        <v>4</v>
      </c>
      <c r="C465" s="6" t="s">
        <v>482</v>
      </c>
      <c r="D465" s="2">
        <v>1000000.0</v>
      </c>
      <c r="E465" s="7"/>
      <c r="F465" s="2" t="s">
        <v>6</v>
      </c>
      <c r="G465" s="7">
        <v>4.6797796776E8</v>
      </c>
      <c r="H465" s="7"/>
      <c r="I465" s="8" t="s">
        <v>7</v>
      </c>
    </row>
    <row r="466">
      <c r="A466" s="18" t="s">
        <v>476</v>
      </c>
      <c r="B466" s="6" t="s">
        <v>4</v>
      </c>
      <c r="C466" s="6" t="s">
        <v>483</v>
      </c>
      <c r="D466" s="2">
        <v>1732490.0</v>
      </c>
      <c r="E466" s="7"/>
      <c r="F466" s="2" t="s">
        <v>6</v>
      </c>
      <c r="G466" s="7">
        <v>4.6624547776E8</v>
      </c>
      <c r="H466" s="7"/>
      <c r="I466" s="8" t="s">
        <v>11</v>
      </c>
    </row>
    <row r="467">
      <c r="A467" s="18" t="s">
        <v>476</v>
      </c>
      <c r="B467" s="6" t="s">
        <v>4</v>
      </c>
      <c r="C467" s="6" t="s">
        <v>484</v>
      </c>
      <c r="D467" s="2">
        <v>5530200.0</v>
      </c>
      <c r="E467" s="7"/>
      <c r="F467" s="2" t="s">
        <v>6</v>
      </c>
      <c r="G467" s="7">
        <v>4.6071527776E8</v>
      </c>
      <c r="H467" s="7"/>
      <c r="I467" s="8" t="s">
        <v>11</v>
      </c>
    </row>
    <row r="468">
      <c r="A468" s="18" t="s">
        <v>476</v>
      </c>
      <c r="B468" s="6" t="s">
        <v>4</v>
      </c>
      <c r="C468" s="6" t="s">
        <v>485</v>
      </c>
      <c r="D468" s="2">
        <v>9.020438E7</v>
      </c>
      <c r="E468" s="7"/>
      <c r="F468" s="2" t="s">
        <v>6</v>
      </c>
      <c r="G468" s="7">
        <v>3.7051089776E8</v>
      </c>
      <c r="H468" s="7"/>
      <c r="I468" s="8" t="s">
        <v>7</v>
      </c>
    </row>
    <row r="469">
      <c r="A469" s="18" t="s">
        <v>476</v>
      </c>
      <c r="B469" s="6" t="s">
        <v>4</v>
      </c>
      <c r="C469" s="6" t="s">
        <v>486</v>
      </c>
      <c r="D469" s="2">
        <v>8883040.0</v>
      </c>
      <c r="E469" s="7"/>
      <c r="F469" s="2" t="s">
        <v>6</v>
      </c>
      <c r="G469" s="7">
        <v>3.6162785776E8</v>
      </c>
      <c r="H469" s="7"/>
      <c r="I469" s="8" t="s">
        <v>7</v>
      </c>
    </row>
    <row r="470">
      <c r="A470" s="18" t="s">
        <v>476</v>
      </c>
      <c r="B470" s="6" t="s">
        <v>4</v>
      </c>
      <c r="C470" s="6" t="s">
        <v>487</v>
      </c>
      <c r="D470" s="2">
        <v>73470.0</v>
      </c>
      <c r="E470" s="7"/>
      <c r="F470" s="2" t="s">
        <v>6</v>
      </c>
      <c r="G470" s="7">
        <v>3.6155438776E8</v>
      </c>
      <c r="H470" s="7"/>
      <c r="I470" s="8" t="s">
        <v>7</v>
      </c>
    </row>
    <row r="471">
      <c r="A471" s="18" t="s">
        <v>476</v>
      </c>
      <c r="B471" s="6" t="s">
        <v>4</v>
      </c>
      <c r="C471" s="6" t="s">
        <v>488</v>
      </c>
      <c r="D471" s="2">
        <v>431570.0</v>
      </c>
      <c r="E471" s="7"/>
      <c r="F471" s="2" t="s">
        <v>6</v>
      </c>
      <c r="G471" s="7">
        <v>3.6112281776E8</v>
      </c>
      <c r="H471" s="2">
        <v>3.6112281776E8</v>
      </c>
      <c r="I471" s="8" t="s">
        <v>7</v>
      </c>
    </row>
    <row r="472">
      <c r="A472" s="18" t="s">
        <v>476</v>
      </c>
      <c r="B472" s="6" t="s">
        <v>12</v>
      </c>
      <c r="C472" s="6" t="s">
        <v>489</v>
      </c>
      <c r="D472" s="2"/>
      <c r="E472" s="2">
        <v>1.7441599E8</v>
      </c>
      <c r="F472" s="2" t="s">
        <v>3</v>
      </c>
      <c r="G472" s="7">
        <v>5.3553880776E8</v>
      </c>
      <c r="H472" s="2">
        <v>5.3553880776E8</v>
      </c>
      <c r="I472" s="4" t="s">
        <v>9</v>
      </c>
    </row>
    <row r="473">
      <c r="A473" s="18" t="s">
        <v>476</v>
      </c>
      <c r="B473" s="6" t="s">
        <v>4</v>
      </c>
      <c r="C473" s="6" t="s">
        <v>490</v>
      </c>
      <c r="D473" s="2">
        <v>7.56579E7</v>
      </c>
      <c r="E473" s="7"/>
      <c r="F473" s="2" t="s">
        <v>6</v>
      </c>
      <c r="G473" s="7">
        <v>4.5988090776E8</v>
      </c>
      <c r="H473" s="7"/>
      <c r="I473" s="8" t="s">
        <v>7</v>
      </c>
    </row>
    <row r="474">
      <c r="A474" s="18" t="s">
        <v>476</v>
      </c>
      <c r="B474" s="6" t="s">
        <v>4</v>
      </c>
      <c r="C474" s="6" t="s">
        <v>491</v>
      </c>
      <c r="D474" s="2">
        <v>1.277E8</v>
      </c>
      <c r="E474" s="7"/>
      <c r="F474" s="2" t="s">
        <v>6</v>
      </c>
      <c r="G474" s="7">
        <v>3.3218090776E8</v>
      </c>
      <c r="H474" s="7"/>
      <c r="I474" s="8" t="s">
        <v>7</v>
      </c>
    </row>
    <row r="475">
      <c r="A475" s="18" t="s">
        <v>476</v>
      </c>
      <c r="B475" s="6" t="s">
        <v>4</v>
      </c>
      <c r="C475" s="6" t="s">
        <v>492</v>
      </c>
      <c r="D475" s="2">
        <v>1.0E7</v>
      </c>
      <c r="E475" s="7"/>
      <c r="F475" s="2" t="s">
        <v>6</v>
      </c>
      <c r="G475" s="7">
        <v>3.2218090776E8</v>
      </c>
      <c r="H475" s="7"/>
      <c r="I475" s="8" t="s">
        <v>7</v>
      </c>
    </row>
    <row r="476">
      <c r="A476" s="18" t="s">
        <v>476</v>
      </c>
      <c r="B476" s="6" t="s">
        <v>4</v>
      </c>
      <c r="C476" s="6" t="s">
        <v>493</v>
      </c>
      <c r="D476" s="2">
        <v>4800000.0</v>
      </c>
      <c r="E476" s="7"/>
      <c r="F476" s="2" t="s">
        <v>6</v>
      </c>
      <c r="G476" s="7">
        <v>3.1738090776E8</v>
      </c>
      <c r="H476" s="7"/>
      <c r="I476" s="8" t="s">
        <v>7</v>
      </c>
    </row>
    <row r="477">
      <c r="A477" s="18" t="s">
        <v>476</v>
      </c>
      <c r="B477" s="6" t="s">
        <v>4</v>
      </c>
      <c r="C477" s="6" t="s">
        <v>494</v>
      </c>
      <c r="D477" s="2">
        <v>2355875.0</v>
      </c>
      <c r="E477" s="7"/>
      <c r="F477" s="2" t="s">
        <v>6</v>
      </c>
      <c r="G477" s="7">
        <v>3.1502503276E8</v>
      </c>
      <c r="H477" s="7"/>
      <c r="I477" s="8" t="s">
        <v>37</v>
      </c>
    </row>
    <row r="478">
      <c r="A478" s="18" t="s">
        <v>476</v>
      </c>
      <c r="B478" s="6" t="s">
        <v>12</v>
      </c>
      <c r="C478" s="6" t="s">
        <v>495</v>
      </c>
      <c r="D478" s="2"/>
      <c r="E478" s="2">
        <v>350000.0</v>
      </c>
      <c r="F478" s="2" t="s">
        <v>3</v>
      </c>
      <c r="G478" s="7">
        <v>3.1537503276E8</v>
      </c>
      <c r="H478" s="7"/>
      <c r="I478" s="4" t="s">
        <v>9</v>
      </c>
    </row>
    <row r="479">
      <c r="A479" s="18" t="s">
        <v>476</v>
      </c>
      <c r="B479" s="6" t="s">
        <v>496</v>
      </c>
      <c r="C479" s="6" t="s">
        <v>496</v>
      </c>
      <c r="D479" s="2">
        <v>300000.0</v>
      </c>
      <c r="E479" s="7"/>
      <c r="F479" s="7"/>
      <c r="G479" s="7">
        <v>3.1507503276E8</v>
      </c>
      <c r="H479" s="7"/>
      <c r="I479" s="8" t="s">
        <v>9</v>
      </c>
    </row>
    <row r="480">
      <c r="A480" s="18" t="s">
        <v>476</v>
      </c>
      <c r="B480" s="6" t="s">
        <v>12</v>
      </c>
      <c r="C480" s="6" t="s">
        <v>497</v>
      </c>
      <c r="D480" s="2"/>
      <c r="E480" s="2">
        <v>350800.0</v>
      </c>
      <c r="F480" s="2" t="s">
        <v>3</v>
      </c>
      <c r="G480" s="7">
        <v>3.1542583276E8</v>
      </c>
      <c r="H480" s="7"/>
      <c r="I480" s="4" t="s">
        <v>9</v>
      </c>
    </row>
    <row r="481">
      <c r="A481" s="18" t="s">
        <v>476</v>
      </c>
      <c r="B481" s="6" t="s">
        <v>12</v>
      </c>
      <c r="C481" s="6" t="s">
        <v>498</v>
      </c>
      <c r="D481" s="2"/>
      <c r="E481" s="2">
        <v>600000.0</v>
      </c>
      <c r="F481" s="2" t="s">
        <v>3</v>
      </c>
      <c r="G481" s="7">
        <v>3.1602583276E8</v>
      </c>
      <c r="H481" s="7"/>
      <c r="I481" s="4" t="s">
        <v>9</v>
      </c>
    </row>
    <row r="482">
      <c r="A482" s="18" t="s">
        <v>476</v>
      </c>
      <c r="B482" s="6" t="s">
        <v>4</v>
      </c>
      <c r="C482" s="6" t="s">
        <v>499</v>
      </c>
      <c r="D482" s="2">
        <v>1.0E7</v>
      </c>
      <c r="E482" s="7"/>
      <c r="F482" s="2" t="s">
        <v>6</v>
      </c>
      <c r="G482" s="7">
        <v>3.0602583276E8</v>
      </c>
      <c r="H482" s="7"/>
      <c r="I482" s="8" t="s">
        <v>11</v>
      </c>
    </row>
    <row r="483">
      <c r="A483" s="18" t="s">
        <v>476</v>
      </c>
      <c r="B483" s="6" t="s">
        <v>55</v>
      </c>
      <c r="C483" s="6" t="s">
        <v>500</v>
      </c>
      <c r="D483" s="2">
        <v>200000.0</v>
      </c>
      <c r="E483" s="7"/>
      <c r="F483" s="2" t="s">
        <v>6</v>
      </c>
      <c r="G483" s="7">
        <v>3.0582583276E8</v>
      </c>
      <c r="H483" s="7"/>
      <c r="I483" s="8" t="s">
        <v>9</v>
      </c>
    </row>
    <row r="484">
      <c r="A484" s="18" t="s">
        <v>476</v>
      </c>
      <c r="B484" s="6" t="s">
        <v>55</v>
      </c>
      <c r="C484" s="6" t="s">
        <v>501</v>
      </c>
      <c r="D484" s="2">
        <v>2500.0</v>
      </c>
      <c r="E484" s="7"/>
      <c r="F484" s="2" t="s">
        <v>6</v>
      </c>
      <c r="G484" s="7">
        <v>3.0582333276E8</v>
      </c>
      <c r="H484" s="2">
        <v>3.0582333276E8</v>
      </c>
      <c r="I484" s="8" t="s">
        <v>9</v>
      </c>
    </row>
    <row r="485">
      <c r="A485" s="18" t="s">
        <v>476</v>
      </c>
      <c r="B485" s="6" t="s">
        <v>4</v>
      </c>
      <c r="C485" s="6" t="s">
        <v>502</v>
      </c>
      <c r="D485" s="2">
        <v>1.518E8</v>
      </c>
      <c r="E485" s="7"/>
      <c r="F485" s="2" t="s">
        <v>6</v>
      </c>
      <c r="G485" s="7">
        <v>1.5402333276E8</v>
      </c>
      <c r="H485" s="2">
        <v>1.5402333276E8</v>
      </c>
      <c r="I485" s="8" t="s">
        <v>7</v>
      </c>
    </row>
    <row r="486">
      <c r="A486" s="18" t="s">
        <v>476</v>
      </c>
      <c r="B486" s="6" t="s">
        <v>4</v>
      </c>
      <c r="C486" s="6" t="s">
        <v>503</v>
      </c>
      <c r="D486" s="2">
        <v>7.59E7</v>
      </c>
      <c r="E486" s="7"/>
      <c r="F486" s="2" t="s">
        <v>6</v>
      </c>
      <c r="G486" s="7">
        <v>7.812333275999999E7</v>
      </c>
      <c r="H486" s="7"/>
      <c r="I486" s="8" t="s">
        <v>7</v>
      </c>
    </row>
    <row r="487">
      <c r="A487" s="18" t="s">
        <v>476</v>
      </c>
      <c r="B487" s="6" t="s">
        <v>4</v>
      </c>
      <c r="C487" s="6" t="s">
        <v>504</v>
      </c>
      <c r="D487" s="2">
        <v>2.5E7</v>
      </c>
      <c r="E487" s="7"/>
      <c r="F487" s="2" t="s">
        <v>6</v>
      </c>
      <c r="G487" s="7">
        <v>5.312333275999999E7</v>
      </c>
      <c r="H487" s="2">
        <v>5.312333276E7</v>
      </c>
      <c r="I487" s="8" t="s">
        <v>7</v>
      </c>
    </row>
    <row r="488">
      <c r="A488" s="18" t="s">
        <v>505</v>
      </c>
      <c r="B488" s="6" t="s">
        <v>4</v>
      </c>
      <c r="C488" s="6" t="s">
        <v>506</v>
      </c>
      <c r="D488" s="2">
        <v>1000000.0</v>
      </c>
      <c r="E488" s="7"/>
      <c r="F488" s="2" t="s">
        <v>6</v>
      </c>
      <c r="G488" s="7">
        <v>5.212333275999999E7</v>
      </c>
      <c r="H488" s="7"/>
      <c r="I488" s="8" t="s">
        <v>11</v>
      </c>
    </row>
    <row r="489">
      <c r="A489" s="18" t="s">
        <v>505</v>
      </c>
      <c r="B489" s="6" t="s">
        <v>12</v>
      </c>
      <c r="C489" s="6" t="s">
        <v>507</v>
      </c>
      <c r="D489" s="2"/>
      <c r="E489" s="2">
        <v>4.0277144E8</v>
      </c>
      <c r="F489" s="2" t="s">
        <v>3</v>
      </c>
      <c r="G489" s="7">
        <v>4.5489477276E8</v>
      </c>
      <c r="H489" s="7"/>
      <c r="I489" s="4" t="s">
        <v>9</v>
      </c>
    </row>
    <row r="490">
      <c r="A490" s="18" t="s">
        <v>505</v>
      </c>
      <c r="B490" s="6" t="s">
        <v>41</v>
      </c>
      <c r="C490" s="6" t="s">
        <v>171</v>
      </c>
      <c r="D490" s="2">
        <v>331300.0</v>
      </c>
      <c r="E490" s="7"/>
      <c r="F490" s="7"/>
      <c r="G490" s="7">
        <v>4.5456347276E8</v>
      </c>
      <c r="H490" s="7"/>
      <c r="I490" s="8" t="s">
        <v>9</v>
      </c>
    </row>
    <row r="491">
      <c r="A491" s="18" t="s">
        <v>505</v>
      </c>
      <c r="B491" s="6" t="s">
        <v>12</v>
      </c>
      <c r="C491" s="6" t="s">
        <v>508</v>
      </c>
      <c r="D491" s="2"/>
      <c r="E491" s="2">
        <v>9.18933E7</v>
      </c>
      <c r="F491" s="2" t="s">
        <v>3</v>
      </c>
      <c r="G491" s="7">
        <v>5.4645677276E8</v>
      </c>
      <c r="H491" s="7"/>
      <c r="I491" s="4" t="s">
        <v>9</v>
      </c>
    </row>
    <row r="492">
      <c r="A492" s="18" t="s">
        <v>505</v>
      </c>
      <c r="B492" s="6" t="s">
        <v>12</v>
      </c>
      <c r="C492" s="6" t="s">
        <v>509</v>
      </c>
      <c r="D492" s="2"/>
      <c r="E492" s="2">
        <v>6.7428068E7</v>
      </c>
      <c r="F492" s="2" t="s">
        <v>3</v>
      </c>
      <c r="G492" s="7">
        <v>6.1388484076E8</v>
      </c>
      <c r="H492" s="7"/>
      <c r="I492" s="4" t="s">
        <v>9</v>
      </c>
    </row>
    <row r="493">
      <c r="A493" s="18" t="s">
        <v>505</v>
      </c>
      <c r="B493" s="6" t="s">
        <v>12</v>
      </c>
      <c r="C493" s="6" t="s">
        <v>510</v>
      </c>
      <c r="D493" s="2"/>
      <c r="E493" s="2">
        <v>4.52805559E8</v>
      </c>
      <c r="F493" s="2" t="s">
        <v>3</v>
      </c>
      <c r="G493" s="7">
        <v>1.06669039976E9</v>
      </c>
      <c r="H493" s="7"/>
      <c r="I493" s="4" t="s">
        <v>9</v>
      </c>
    </row>
    <row r="494">
      <c r="A494" s="18" t="s">
        <v>505</v>
      </c>
      <c r="B494" s="6" t="s">
        <v>12</v>
      </c>
      <c r="C494" s="6" t="s">
        <v>511</v>
      </c>
      <c r="D494" s="2"/>
      <c r="E494" s="2">
        <v>1.0E8</v>
      </c>
      <c r="F494" s="2" t="s">
        <v>3</v>
      </c>
      <c r="G494" s="7">
        <v>1.16669039976E9</v>
      </c>
      <c r="H494" s="7"/>
      <c r="I494" s="4" t="s">
        <v>9</v>
      </c>
    </row>
    <row r="495">
      <c r="A495" s="18" t="s">
        <v>505</v>
      </c>
      <c r="B495" s="6" t="s">
        <v>4</v>
      </c>
      <c r="C495" s="6" t="s">
        <v>512</v>
      </c>
      <c r="D495" s="2">
        <v>1200000.0</v>
      </c>
      <c r="E495" s="7"/>
      <c r="F495" s="2" t="s">
        <v>6</v>
      </c>
      <c r="G495" s="7">
        <v>1.16549039976E9</v>
      </c>
      <c r="H495" s="7"/>
      <c r="I495" s="8" t="s">
        <v>11</v>
      </c>
    </row>
    <row r="496">
      <c r="A496" s="18" t="s">
        <v>505</v>
      </c>
      <c r="B496" s="6" t="s">
        <v>4</v>
      </c>
      <c r="C496" s="6" t="s">
        <v>513</v>
      </c>
      <c r="D496" s="2">
        <v>2.1391345E8</v>
      </c>
      <c r="E496" s="7"/>
      <c r="F496" s="2" t="s">
        <v>6</v>
      </c>
      <c r="G496" s="7">
        <v>9.5157694976E8</v>
      </c>
      <c r="H496" s="7"/>
      <c r="I496" s="8" t="s">
        <v>7</v>
      </c>
    </row>
    <row r="497">
      <c r="A497" s="18" t="s">
        <v>505</v>
      </c>
      <c r="B497" s="6" t="s">
        <v>4</v>
      </c>
      <c r="C497" s="6" t="s">
        <v>514</v>
      </c>
      <c r="D497" s="2">
        <v>1.700505E8</v>
      </c>
      <c r="E497" s="7"/>
      <c r="F497" s="2" t="s">
        <v>6</v>
      </c>
      <c r="G497" s="7">
        <v>7.8152644976E8</v>
      </c>
      <c r="H497" s="2">
        <v>7.8152644976E8</v>
      </c>
      <c r="I497" s="8" t="s">
        <v>7</v>
      </c>
    </row>
    <row r="498">
      <c r="A498" s="18" t="s">
        <v>505</v>
      </c>
      <c r="B498" s="6" t="s">
        <v>4</v>
      </c>
      <c r="C498" s="6" t="s">
        <v>515</v>
      </c>
      <c r="D498" s="2">
        <v>1.14625E8</v>
      </c>
      <c r="E498" s="7"/>
      <c r="F498" s="2" t="s">
        <v>6</v>
      </c>
      <c r="G498" s="7">
        <v>6.6690144976E8</v>
      </c>
      <c r="H498" s="2">
        <v>6.6690144976E8</v>
      </c>
      <c r="I498" s="8" t="s">
        <v>7</v>
      </c>
    </row>
    <row r="499">
      <c r="A499" s="18" t="s">
        <v>505</v>
      </c>
      <c r="B499" s="6" t="s">
        <v>4</v>
      </c>
      <c r="C499" s="6" t="s">
        <v>516</v>
      </c>
      <c r="D499" s="2">
        <v>5.5E7</v>
      </c>
      <c r="E499" s="7"/>
      <c r="F499" s="2" t="s">
        <v>6</v>
      </c>
      <c r="G499" s="7">
        <v>6.1190144976E8</v>
      </c>
      <c r="H499" s="7"/>
      <c r="I499" s="8" t="s">
        <v>7</v>
      </c>
    </row>
    <row r="500">
      <c r="A500" s="18" t="s">
        <v>505</v>
      </c>
      <c r="B500" s="6" t="s">
        <v>12</v>
      </c>
      <c r="C500" s="6" t="s">
        <v>517</v>
      </c>
      <c r="D500" s="2"/>
      <c r="E500" s="2">
        <v>5.110839E8</v>
      </c>
      <c r="F500" s="2" t="s">
        <v>3</v>
      </c>
      <c r="G500" s="7">
        <v>1.12298534976E9</v>
      </c>
      <c r="H500" s="7"/>
      <c r="I500" s="4" t="s">
        <v>9</v>
      </c>
    </row>
    <row r="501">
      <c r="A501" s="18" t="s">
        <v>505</v>
      </c>
      <c r="B501" s="6" t="s">
        <v>12</v>
      </c>
      <c r="C501" s="6" t="s">
        <v>518</v>
      </c>
      <c r="D501" s="2"/>
      <c r="E501" s="2">
        <v>1000000.0</v>
      </c>
      <c r="F501" s="2" t="s">
        <v>3</v>
      </c>
      <c r="G501" s="7">
        <v>1.12398534976E9</v>
      </c>
      <c r="H501" s="7"/>
      <c r="I501" s="4" t="s">
        <v>9</v>
      </c>
    </row>
    <row r="502">
      <c r="A502" s="18" t="s">
        <v>505</v>
      </c>
      <c r="B502" s="6" t="s">
        <v>4</v>
      </c>
      <c r="C502" s="6" t="s">
        <v>519</v>
      </c>
      <c r="D502" s="2">
        <v>1731200.0</v>
      </c>
      <c r="E502" s="7"/>
      <c r="F502" s="2" t="s">
        <v>6</v>
      </c>
      <c r="G502" s="7">
        <v>1.12225414976E9</v>
      </c>
      <c r="H502" s="7"/>
      <c r="I502" s="8" t="s">
        <v>11</v>
      </c>
    </row>
    <row r="503">
      <c r="A503" s="18" t="s">
        <v>505</v>
      </c>
      <c r="B503" s="6" t="s">
        <v>4</v>
      </c>
      <c r="C503" s="6" t="s">
        <v>520</v>
      </c>
      <c r="D503" s="2">
        <v>8.342488E7</v>
      </c>
      <c r="E503" s="7"/>
      <c r="F503" s="2" t="s">
        <v>6</v>
      </c>
      <c r="G503" s="7">
        <v>1.03882926976E9</v>
      </c>
      <c r="H503" s="7"/>
      <c r="I503" s="8" t="s">
        <v>7</v>
      </c>
    </row>
    <row r="504">
      <c r="A504" s="18" t="s">
        <v>505</v>
      </c>
      <c r="B504" s="6" t="s">
        <v>4</v>
      </c>
      <c r="C504" s="6" t="s">
        <v>521</v>
      </c>
      <c r="D504" s="2">
        <v>2.652182E8</v>
      </c>
      <c r="E504" s="7"/>
      <c r="F504" s="2" t="s">
        <v>6</v>
      </c>
      <c r="G504" s="7">
        <v>7.7361106976E8</v>
      </c>
      <c r="H504" s="7"/>
      <c r="I504" s="8" t="s">
        <v>7</v>
      </c>
    </row>
    <row r="505">
      <c r="A505" s="18" t="s">
        <v>505</v>
      </c>
      <c r="B505" s="6" t="s">
        <v>4</v>
      </c>
      <c r="C505" s="6" t="s">
        <v>522</v>
      </c>
      <c r="D505" s="2">
        <v>1.0E7</v>
      </c>
      <c r="E505" s="7"/>
      <c r="F505" s="2" t="s">
        <v>6</v>
      </c>
      <c r="G505" s="7">
        <v>7.6361106976E8</v>
      </c>
      <c r="H505" s="7"/>
      <c r="I505" s="8" t="s">
        <v>11</v>
      </c>
    </row>
    <row r="506">
      <c r="A506" s="18" t="s">
        <v>505</v>
      </c>
      <c r="B506" s="6" t="s">
        <v>4</v>
      </c>
      <c r="C506" s="6" t="s">
        <v>523</v>
      </c>
      <c r="D506" s="2">
        <v>8.551328E7</v>
      </c>
      <c r="E506" s="7"/>
      <c r="F506" s="2" t="s">
        <v>6</v>
      </c>
      <c r="G506" s="7">
        <v>6.7809778976E8</v>
      </c>
      <c r="H506" s="7"/>
      <c r="I506" s="8" t="s">
        <v>7</v>
      </c>
    </row>
    <row r="507">
      <c r="A507" s="18" t="s">
        <v>505</v>
      </c>
      <c r="B507" s="6" t="s">
        <v>4</v>
      </c>
      <c r="C507" s="6" t="s">
        <v>524</v>
      </c>
      <c r="D507" s="2">
        <v>5.3E7</v>
      </c>
      <c r="E507" s="7"/>
      <c r="F507" s="2" t="s">
        <v>6</v>
      </c>
      <c r="G507" s="7">
        <v>6.2509778976E8</v>
      </c>
      <c r="H507" s="7"/>
      <c r="I507" s="8" t="s">
        <v>7</v>
      </c>
    </row>
    <row r="508">
      <c r="A508" s="18" t="s">
        <v>505</v>
      </c>
      <c r="B508" s="6" t="s">
        <v>4</v>
      </c>
      <c r="C508" s="6" t="s">
        <v>525</v>
      </c>
      <c r="D508" s="2">
        <v>7.82E7</v>
      </c>
      <c r="E508" s="7"/>
      <c r="F508" s="2" t="s">
        <v>6</v>
      </c>
      <c r="G508" s="7">
        <v>5.4689778976E8</v>
      </c>
      <c r="H508" s="2">
        <v>5.4689778976E8</v>
      </c>
      <c r="I508" s="8" t="s">
        <v>7</v>
      </c>
    </row>
    <row r="509">
      <c r="A509" s="18" t="s">
        <v>526</v>
      </c>
      <c r="B509" s="6" t="s">
        <v>527</v>
      </c>
      <c r="C509" s="6" t="s">
        <v>528</v>
      </c>
      <c r="D509" s="2"/>
      <c r="E509" s="2">
        <v>2.5E7</v>
      </c>
      <c r="F509" s="2" t="s">
        <v>3</v>
      </c>
      <c r="G509" s="7">
        <v>5.7189778976E8</v>
      </c>
      <c r="H509" s="7"/>
      <c r="I509" s="4" t="s">
        <v>9</v>
      </c>
    </row>
    <row r="510">
      <c r="A510" s="18" t="s">
        <v>526</v>
      </c>
      <c r="B510" s="6" t="s">
        <v>4</v>
      </c>
      <c r="C510" s="6" t="s">
        <v>529</v>
      </c>
      <c r="D510" s="2">
        <v>1.0E8</v>
      </c>
      <c r="E510" s="7"/>
      <c r="F510" s="2" t="s">
        <v>6</v>
      </c>
      <c r="G510" s="7">
        <v>4.7189778976E8</v>
      </c>
      <c r="H510" s="2">
        <v>4.7189778976E8</v>
      </c>
      <c r="I510" s="8" t="s">
        <v>7</v>
      </c>
    </row>
    <row r="511">
      <c r="A511" s="18" t="s">
        <v>526</v>
      </c>
      <c r="B511" s="6" t="s">
        <v>4</v>
      </c>
      <c r="C511" s="6" t="s">
        <v>530</v>
      </c>
      <c r="D511" s="2">
        <v>4.07961E7</v>
      </c>
      <c r="E511" s="7"/>
      <c r="F511" s="2" t="s">
        <v>6</v>
      </c>
      <c r="G511" s="7">
        <v>4.3110168976E8</v>
      </c>
      <c r="H511" s="2">
        <v>4.3110168976E8</v>
      </c>
      <c r="I511" s="8" t="s">
        <v>7</v>
      </c>
    </row>
    <row r="512">
      <c r="A512" s="18" t="s">
        <v>526</v>
      </c>
      <c r="B512" s="6" t="s">
        <v>4</v>
      </c>
      <c r="C512" s="6" t="s">
        <v>531</v>
      </c>
      <c r="D512" s="2">
        <v>8.1857E7</v>
      </c>
      <c r="E512" s="7"/>
      <c r="F512" s="2" t="s">
        <v>6</v>
      </c>
      <c r="G512" s="7">
        <v>3.4924468976E8</v>
      </c>
      <c r="H512" s="7"/>
      <c r="I512" s="8" t="s">
        <v>7</v>
      </c>
    </row>
    <row r="513">
      <c r="A513" s="18" t="s">
        <v>526</v>
      </c>
      <c r="B513" s="6" t="s">
        <v>4</v>
      </c>
      <c r="C513" s="6" t="s">
        <v>532</v>
      </c>
      <c r="D513" s="2">
        <v>7.28295E7</v>
      </c>
      <c r="E513" s="7"/>
      <c r="F513" s="2" t="s">
        <v>6</v>
      </c>
      <c r="G513" s="7">
        <v>2.7641518976E8</v>
      </c>
      <c r="H513" s="7"/>
      <c r="I513" s="8" t="s">
        <v>7</v>
      </c>
    </row>
    <row r="514">
      <c r="A514" s="18" t="s">
        <v>526</v>
      </c>
      <c r="B514" s="6" t="s">
        <v>4</v>
      </c>
      <c r="C514" s="6" t="s">
        <v>533</v>
      </c>
      <c r="D514" s="2">
        <v>1.0449375E8</v>
      </c>
      <c r="E514" s="7"/>
      <c r="F514" s="2" t="s">
        <v>6</v>
      </c>
      <c r="G514" s="7">
        <v>1.7192143976E8</v>
      </c>
      <c r="H514" s="7"/>
      <c r="I514" s="8" t="s">
        <v>7</v>
      </c>
    </row>
    <row r="515">
      <c r="A515" s="18" t="s">
        <v>526</v>
      </c>
      <c r="B515" s="6" t="s">
        <v>12</v>
      </c>
      <c r="C515" s="6" t="s">
        <v>534</v>
      </c>
      <c r="D515" s="2"/>
      <c r="E515" s="2">
        <v>441040.0</v>
      </c>
      <c r="F515" s="2" t="s">
        <v>3</v>
      </c>
      <c r="G515" s="7">
        <v>1.7236247976E8</v>
      </c>
      <c r="H515" s="7"/>
      <c r="I515" s="4" t="s">
        <v>9</v>
      </c>
    </row>
    <row r="516">
      <c r="A516" s="18" t="s">
        <v>526</v>
      </c>
      <c r="B516" s="6" t="s">
        <v>4</v>
      </c>
      <c r="C516" s="6" t="s">
        <v>535</v>
      </c>
      <c r="D516" s="2">
        <v>5.23809E7</v>
      </c>
      <c r="E516" s="7"/>
      <c r="F516" s="2" t="s">
        <v>6</v>
      </c>
      <c r="G516" s="7">
        <v>1.1998157975999999E8</v>
      </c>
      <c r="H516" s="7"/>
      <c r="I516" s="8" t="s">
        <v>7</v>
      </c>
    </row>
    <row r="517">
      <c r="A517" s="18" t="s">
        <v>526</v>
      </c>
      <c r="B517" s="6" t="s">
        <v>12</v>
      </c>
      <c r="C517" s="6" t="s">
        <v>536</v>
      </c>
      <c r="D517" s="2"/>
      <c r="E517" s="2">
        <v>2.8571384E8</v>
      </c>
      <c r="F517" s="2" t="s">
        <v>3</v>
      </c>
      <c r="G517" s="7">
        <v>4.0569541976E8</v>
      </c>
      <c r="H517" s="7"/>
      <c r="I517" s="4" t="s">
        <v>9</v>
      </c>
    </row>
    <row r="518">
      <c r="A518" s="18" t="s">
        <v>526</v>
      </c>
      <c r="B518" s="6" t="s">
        <v>12</v>
      </c>
      <c r="C518" s="6" t="s">
        <v>537</v>
      </c>
      <c r="D518" s="2"/>
      <c r="E518" s="2">
        <v>1.3327326E8</v>
      </c>
      <c r="F518" s="2" t="s">
        <v>3</v>
      </c>
      <c r="G518" s="7">
        <v>5.3896867976E8</v>
      </c>
      <c r="H518" s="7"/>
      <c r="I518" s="4" t="s">
        <v>9</v>
      </c>
    </row>
    <row r="519">
      <c r="A519" s="18" t="s">
        <v>526</v>
      </c>
      <c r="B519" s="6" t="s">
        <v>538</v>
      </c>
      <c r="C519" s="6" t="s">
        <v>538</v>
      </c>
      <c r="D519" s="2">
        <v>2500000.0</v>
      </c>
      <c r="E519" s="7"/>
      <c r="F519" s="7"/>
      <c r="G519" s="7">
        <v>5.3646867976E8</v>
      </c>
      <c r="H519" s="7"/>
      <c r="I519" s="8" t="s">
        <v>9</v>
      </c>
    </row>
    <row r="520">
      <c r="A520" s="18" t="s">
        <v>526</v>
      </c>
      <c r="B520" s="6" t="s">
        <v>538</v>
      </c>
      <c r="C520" s="6" t="s">
        <v>538</v>
      </c>
      <c r="D520" s="2">
        <v>2500000.0</v>
      </c>
      <c r="E520" s="7"/>
      <c r="F520" s="7"/>
      <c r="G520" s="7">
        <v>5.3396867976E8</v>
      </c>
      <c r="H520" s="7"/>
      <c r="I520" s="8" t="s">
        <v>9</v>
      </c>
    </row>
    <row r="521">
      <c r="A521" s="18" t="s">
        <v>526</v>
      </c>
      <c r="B521" s="6" t="s">
        <v>538</v>
      </c>
      <c r="C521" s="6" t="s">
        <v>538</v>
      </c>
      <c r="D521" s="2">
        <v>2500000.0</v>
      </c>
      <c r="E521" s="7"/>
      <c r="F521" s="7"/>
      <c r="G521" s="7">
        <v>5.3146867976E8</v>
      </c>
      <c r="H521" s="7"/>
      <c r="I521" s="8" t="s">
        <v>9</v>
      </c>
    </row>
    <row r="522">
      <c r="A522" s="18" t="s">
        <v>526</v>
      </c>
      <c r="B522" s="6" t="s">
        <v>538</v>
      </c>
      <c r="C522" s="6" t="s">
        <v>538</v>
      </c>
      <c r="D522" s="2">
        <v>1000000.0</v>
      </c>
      <c r="E522" s="7"/>
      <c r="F522" s="7"/>
      <c r="G522" s="7">
        <v>5.3046867976E8</v>
      </c>
      <c r="H522" s="7"/>
      <c r="I522" s="8" t="s">
        <v>9</v>
      </c>
    </row>
    <row r="523">
      <c r="A523" s="18" t="s">
        <v>526</v>
      </c>
      <c r="B523" s="6" t="s">
        <v>12</v>
      </c>
      <c r="C523" s="6" t="s">
        <v>539</v>
      </c>
      <c r="D523" s="2"/>
      <c r="E523" s="2">
        <v>2.6904E8</v>
      </c>
      <c r="F523" s="2" t="s">
        <v>3</v>
      </c>
      <c r="G523" s="7">
        <v>7.9950867976E8</v>
      </c>
      <c r="H523" s="7"/>
      <c r="I523" s="4" t="s">
        <v>9</v>
      </c>
    </row>
    <row r="524">
      <c r="A524" s="18" t="s">
        <v>526</v>
      </c>
      <c r="B524" s="6" t="s">
        <v>12</v>
      </c>
      <c r="C524" s="6" t="s">
        <v>540</v>
      </c>
      <c r="D524" s="2"/>
      <c r="E524" s="2">
        <v>2.1510265E8</v>
      </c>
      <c r="F524" s="2" t="s">
        <v>3</v>
      </c>
      <c r="G524" s="7">
        <v>1.01461132976E9</v>
      </c>
      <c r="H524" s="7"/>
      <c r="I524" s="4" t="s">
        <v>9</v>
      </c>
    </row>
    <row r="525">
      <c r="A525" s="18" t="s">
        <v>526</v>
      </c>
      <c r="B525" s="6" t="s">
        <v>12</v>
      </c>
      <c r="C525" s="6" t="s">
        <v>541</v>
      </c>
      <c r="D525" s="2"/>
      <c r="E525" s="2">
        <v>8.2446966E7</v>
      </c>
      <c r="F525" s="2" t="s">
        <v>3</v>
      </c>
      <c r="G525" s="7">
        <v>1.09705829576E9</v>
      </c>
      <c r="H525" s="2">
        <v>1.09705829576E9</v>
      </c>
      <c r="I525" s="4" t="s">
        <v>9</v>
      </c>
    </row>
    <row r="526">
      <c r="A526" s="18" t="s">
        <v>526</v>
      </c>
      <c r="B526" s="6" t="s">
        <v>4</v>
      </c>
      <c r="C526" s="6" t="s">
        <v>542</v>
      </c>
      <c r="D526" s="2">
        <v>4.467026E8</v>
      </c>
      <c r="E526" s="7"/>
      <c r="F526" s="2" t="s">
        <v>6</v>
      </c>
      <c r="G526" s="7">
        <v>6.5035569576E8</v>
      </c>
      <c r="H526" s="2">
        <v>6.5035569576E8</v>
      </c>
      <c r="I526" s="8" t="s">
        <v>7</v>
      </c>
    </row>
    <row r="527">
      <c r="A527" s="18" t="s">
        <v>526</v>
      </c>
      <c r="B527" s="6" t="s">
        <v>4</v>
      </c>
      <c r="C527" s="6" t="s">
        <v>543</v>
      </c>
      <c r="D527" s="2">
        <v>8.05E7</v>
      </c>
      <c r="E527" s="7"/>
      <c r="F527" s="2" t="s">
        <v>6</v>
      </c>
      <c r="G527" s="7">
        <v>5.6985569576E8</v>
      </c>
      <c r="H527" s="7"/>
      <c r="I527" s="8" t="s">
        <v>7</v>
      </c>
    </row>
    <row r="528">
      <c r="A528" s="18" t="s">
        <v>526</v>
      </c>
      <c r="B528" s="6" t="s">
        <v>12</v>
      </c>
      <c r="C528" s="6" t="s">
        <v>544</v>
      </c>
      <c r="D528" s="2"/>
      <c r="E528" s="2">
        <v>1.4151535E8</v>
      </c>
      <c r="F528" s="2" t="s">
        <v>3</v>
      </c>
      <c r="G528" s="7">
        <v>7.1137104576E8</v>
      </c>
      <c r="H528" s="7"/>
      <c r="I528" s="4" t="s">
        <v>9</v>
      </c>
    </row>
    <row r="529">
      <c r="A529" s="18" t="s">
        <v>526</v>
      </c>
      <c r="B529" s="6" t="s">
        <v>12</v>
      </c>
      <c r="C529" s="6" t="s">
        <v>545</v>
      </c>
      <c r="D529" s="2"/>
      <c r="E529" s="2">
        <v>2000000.0</v>
      </c>
      <c r="F529" s="2" t="s">
        <v>3</v>
      </c>
      <c r="G529" s="7">
        <v>7.1337104576E8</v>
      </c>
      <c r="H529" s="2">
        <v>7.1337104576E8</v>
      </c>
      <c r="I529" s="4" t="s">
        <v>9</v>
      </c>
    </row>
    <row r="530">
      <c r="A530" s="18" t="s">
        <v>546</v>
      </c>
      <c r="B530" s="6" t="s">
        <v>547</v>
      </c>
      <c r="C530" s="6" t="s">
        <v>548</v>
      </c>
      <c r="D530" s="2"/>
      <c r="E530" s="2">
        <v>9.6E7</v>
      </c>
      <c r="F530" s="2" t="s">
        <v>3</v>
      </c>
      <c r="G530" s="7">
        <v>8.0937104576E8</v>
      </c>
      <c r="H530" s="7"/>
      <c r="I530" s="4" t="s">
        <v>9</v>
      </c>
    </row>
    <row r="531">
      <c r="A531" s="18" t="s">
        <v>546</v>
      </c>
      <c r="B531" s="6" t="s">
        <v>4</v>
      </c>
      <c r="C531" s="6" t="s">
        <v>549</v>
      </c>
      <c r="D531" s="2">
        <v>2.862761E8</v>
      </c>
      <c r="E531" s="7"/>
      <c r="F531" s="2" t="s">
        <v>6</v>
      </c>
      <c r="G531" s="7">
        <v>5.2309494576E8</v>
      </c>
      <c r="H531" s="7"/>
      <c r="I531" s="8" t="s">
        <v>7</v>
      </c>
    </row>
    <row r="532">
      <c r="A532" s="18" t="s">
        <v>546</v>
      </c>
      <c r="B532" s="6" t="s">
        <v>4</v>
      </c>
      <c r="C532" s="6" t="s">
        <v>550</v>
      </c>
      <c r="D532" s="2">
        <v>1.11E8</v>
      </c>
      <c r="E532" s="7"/>
      <c r="F532" s="2" t="s">
        <v>6</v>
      </c>
      <c r="G532" s="7">
        <v>4.1209494576E8</v>
      </c>
      <c r="H532" s="7"/>
      <c r="I532" s="8" t="s">
        <v>7</v>
      </c>
    </row>
    <row r="533">
      <c r="A533" s="18" t="s">
        <v>546</v>
      </c>
      <c r="B533" s="6" t="s">
        <v>4</v>
      </c>
      <c r="C533" s="6" t="s">
        <v>551</v>
      </c>
      <c r="D533" s="2">
        <v>6.5055E7</v>
      </c>
      <c r="E533" s="7"/>
      <c r="F533" s="2" t="s">
        <v>6</v>
      </c>
      <c r="G533" s="7">
        <v>3.4703994576E8</v>
      </c>
      <c r="H533" s="7"/>
      <c r="I533" s="8" t="s">
        <v>7</v>
      </c>
    </row>
    <row r="534">
      <c r="A534" s="18" t="s">
        <v>546</v>
      </c>
      <c r="B534" s="6" t="s">
        <v>4</v>
      </c>
      <c r="C534" s="6" t="s">
        <v>552</v>
      </c>
      <c r="D534" s="2">
        <v>1.3E7</v>
      </c>
      <c r="E534" s="7"/>
      <c r="F534" s="2" t="s">
        <v>6</v>
      </c>
      <c r="G534" s="7">
        <v>3.3403994576E8</v>
      </c>
      <c r="H534" s="7"/>
      <c r="I534" s="8" t="s">
        <v>7</v>
      </c>
    </row>
    <row r="535">
      <c r="A535" s="18" t="s">
        <v>546</v>
      </c>
      <c r="B535" s="6" t="s">
        <v>4</v>
      </c>
      <c r="C535" s="6" t="s">
        <v>553</v>
      </c>
      <c r="D535" s="2">
        <v>2.456125E7</v>
      </c>
      <c r="E535" s="7"/>
      <c r="F535" s="2" t="s">
        <v>6</v>
      </c>
      <c r="G535" s="7">
        <v>3.0947869576E8</v>
      </c>
      <c r="H535" s="7"/>
      <c r="I535" s="8" t="s">
        <v>7</v>
      </c>
    </row>
    <row r="536">
      <c r="A536" s="18" t="s">
        <v>546</v>
      </c>
      <c r="B536" s="6" t="s">
        <v>4</v>
      </c>
      <c r="C536" s="6" t="s">
        <v>554</v>
      </c>
      <c r="D536" s="2">
        <v>6.5E7</v>
      </c>
      <c r="E536" s="7"/>
      <c r="F536" s="2" t="s">
        <v>6</v>
      </c>
      <c r="G536" s="7">
        <v>2.4447869576E8</v>
      </c>
      <c r="H536" s="7"/>
      <c r="I536" s="8" t="s">
        <v>7</v>
      </c>
    </row>
    <row r="537">
      <c r="A537" s="18" t="s">
        <v>546</v>
      </c>
      <c r="B537" s="6" t="s">
        <v>4</v>
      </c>
      <c r="C537" s="6" t="s">
        <v>555</v>
      </c>
      <c r="D537" s="2">
        <v>8.05621E7</v>
      </c>
      <c r="E537" s="7"/>
      <c r="F537" s="2" t="s">
        <v>6</v>
      </c>
      <c r="G537" s="7">
        <v>1.6391659576E8</v>
      </c>
      <c r="H537" s="2">
        <v>1.6391659576E8</v>
      </c>
      <c r="I537" s="8" t="s">
        <v>7</v>
      </c>
    </row>
    <row r="538">
      <c r="A538" s="18" t="s">
        <v>546</v>
      </c>
      <c r="B538" s="6" t="s">
        <v>4</v>
      </c>
      <c r="C538" s="6" t="s">
        <v>556</v>
      </c>
      <c r="D538" s="2">
        <v>6.9943E7</v>
      </c>
      <c r="E538" s="7"/>
      <c r="F538" s="2" t="s">
        <v>6</v>
      </c>
      <c r="G538" s="7">
        <v>9.397359575999999E7</v>
      </c>
      <c r="H538" s="2">
        <v>9.397359576E7</v>
      </c>
      <c r="I538" s="8" t="s">
        <v>7</v>
      </c>
    </row>
    <row r="539">
      <c r="A539" s="18" t="s">
        <v>546</v>
      </c>
      <c r="B539" s="6" t="s">
        <v>12</v>
      </c>
      <c r="C539" s="6" t="s">
        <v>557</v>
      </c>
      <c r="D539" s="2"/>
      <c r="E539" s="2">
        <v>4.684032E8</v>
      </c>
      <c r="F539" s="2" t="s">
        <v>3</v>
      </c>
      <c r="G539" s="7">
        <v>5.6237679576E8</v>
      </c>
      <c r="H539" s="7"/>
      <c r="I539" s="4" t="s">
        <v>9</v>
      </c>
    </row>
    <row r="540">
      <c r="A540" s="18" t="s">
        <v>546</v>
      </c>
      <c r="B540" s="6" t="s">
        <v>55</v>
      </c>
      <c r="C540" s="6" t="s">
        <v>188</v>
      </c>
      <c r="D540" s="2">
        <v>3213500.0</v>
      </c>
      <c r="E540" s="7"/>
      <c r="F540" s="2" t="s">
        <v>6</v>
      </c>
      <c r="G540" s="7">
        <v>5.5916329576E8</v>
      </c>
      <c r="H540" s="7"/>
      <c r="I540" s="8" t="s">
        <v>11</v>
      </c>
    </row>
    <row r="541">
      <c r="A541" s="18" t="s">
        <v>546</v>
      </c>
      <c r="B541" s="6" t="s">
        <v>55</v>
      </c>
      <c r="C541" s="6" t="s">
        <v>189</v>
      </c>
      <c r="D541" s="2">
        <v>2500.0</v>
      </c>
      <c r="E541" s="7"/>
      <c r="F541" s="2" t="s">
        <v>6</v>
      </c>
      <c r="G541" s="7">
        <v>5.5916079576E8</v>
      </c>
      <c r="H541" s="7"/>
      <c r="I541" s="8" t="s">
        <v>11</v>
      </c>
    </row>
    <row r="542">
      <c r="A542" s="18" t="s">
        <v>546</v>
      </c>
      <c r="B542" s="6" t="s">
        <v>4</v>
      </c>
      <c r="C542" s="6" t="s">
        <v>558</v>
      </c>
      <c r="D542" s="2">
        <v>4593500.0</v>
      </c>
      <c r="E542" s="7"/>
      <c r="F542" s="2" t="s">
        <v>6</v>
      </c>
      <c r="G542" s="7">
        <v>5.5456729576E8</v>
      </c>
      <c r="H542" s="7"/>
      <c r="I542" s="8" t="s">
        <v>11</v>
      </c>
    </row>
    <row r="543">
      <c r="A543" s="18" t="s">
        <v>546</v>
      </c>
      <c r="B543" s="6" t="s">
        <v>4</v>
      </c>
      <c r="C543" s="6" t="s">
        <v>559</v>
      </c>
      <c r="D543" s="2">
        <v>4091960.0</v>
      </c>
      <c r="E543" s="7"/>
      <c r="F543" s="2" t="s">
        <v>6</v>
      </c>
      <c r="G543" s="7">
        <v>5.5047533576E8</v>
      </c>
      <c r="H543" s="7"/>
      <c r="I543" s="8" t="s">
        <v>11</v>
      </c>
    </row>
    <row r="544">
      <c r="A544" s="18" t="s">
        <v>546</v>
      </c>
      <c r="B544" s="6" t="s">
        <v>4</v>
      </c>
      <c r="C544" s="6" t="s">
        <v>560</v>
      </c>
      <c r="D544" s="2">
        <v>1000000.0</v>
      </c>
      <c r="E544" s="7"/>
      <c r="F544" s="2" t="s">
        <v>6</v>
      </c>
      <c r="G544" s="7">
        <v>5.4947533576E8</v>
      </c>
      <c r="H544" s="7"/>
      <c r="I544" s="8" t="s">
        <v>11</v>
      </c>
    </row>
    <row r="545">
      <c r="A545" s="18" t="s">
        <v>546</v>
      </c>
      <c r="B545" s="6" t="s">
        <v>55</v>
      </c>
      <c r="C545" s="6" t="s">
        <v>188</v>
      </c>
      <c r="D545" s="2">
        <v>150000.0</v>
      </c>
      <c r="E545" s="7"/>
      <c r="F545" s="2" t="s">
        <v>6</v>
      </c>
      <c r="G545" s="7">
        <v>5.4932533576E8</v>
      </c>
      <c r="H545" s="7"/>
      <c r="I545" s="8" t="s">
        <v>11</v>
      </c>
    </row>
    <row r="546">
      <c r="A546" s="18" t="s">
        <v>546</v>
      </c>
      <c r="B546" s="6" t="s">
        <v>55</v>
      </c>
      <c r="C546" s="6" t="s">
        <v>189</v>
      </c>
      <c r="D546" s="2">
        <v>2500.0</v>
      </c>
      <c r="E546" s="7"/>
      <c r="F546" s="2" t="s">
        <v>6</v>
      </c>
      <c r="G546" s="7">
        <v>5.4932283576E8</v>
      </c>
      <c r="H546" s="7"/>
      <c r="I546" s="8" t="s">
        <v>11</v>
      </c>
    </row>
    <row r="547">
      <c r="A547" s="18" t="s">
        <v>546</v>
      </c>
      <c r="B547" s="6" t="s">
        <v>4</v>
      </c>
      <c r="C547" s="6" t="s">
        <v>561</v>
      </c>
      <c r="D547" s="2">
        <v>1820400.0</v>
      </c>
      <c r="E547" s="7"/>
      <c r="F547" s="2" t="s">
        <v>6</v>
      </c>
      <c r="G547" s="7">
        <v>5.4750243576E8</v>
      </c>
      <c r="H547" s="7"/>
      <c r="I547" s="8" t="s">
        <v>11</v>
      </c>
    </row>
    <row r="548">
      <c r="A548" s="18" t="s">
        <v>546</v>
      </c>
      <c r="B548" s="6" t="s">
        <v>4</v>
      </c>
      <c r="C548" s="6" t="s">
        <v>562</v>
      </c>
      <c r="D548" s="2">
        <v>1300000.0</v>
      </c>
      <c r="E548" s="7"/>
      <c r="F548" s="2" t="s">
        <v>6</v>
      </c>
      <c r="G548" s="7">
        <v>5.4620243576E8</v>
      </c>
      <c r="H548" s="7"/>
      <c r="I548" s="8" t="s">
        <v>37</v>
      </c>
    </row>
    <row r="549">
      <c r="A549" s="18" t="s">
        <v>546</v>
      </c>
      <c r="B549" s="6" t="s">
        <v>55</v>
      </c>
      <c r="C549" s="6" t="s">
        <v>480</v>
      </c>
      <c r="D549" s="2">
        <v>5000000.0</v>
      </c>
      <c r="E549" s="7"/>
      <c r="F549" s="2" t="s">
        <v>6</v>
      </c>
      <c r="G549" s="7">
        <v>5.4120243576E8</v>
      </c>
      <c r="H549" s="7"/>
      <c r="I549" s="8" t="s">
        <v>7</v>
      </c>
    </row>
    <row r="550">
      <c r="A550" s="18" t="s">
        <v>546</v>
      </c>
      <c r="B550" s="6" t="s">
        <v>55</v>
      </c>
      <c r="C550" s="6" t="s">
        <v>481</v>
      </c>
      <c r="D550" s="2">
        <v>2500.0</v>
      </c>
      <c r="E550" s="7"/>
      <c r="F550" s="2" t="s">
        <v>6</v>
      </c>
      <c r="G550" s="7">
        <v>5.4119993576E8</v>
      </c>
      <c r="H550" s="2">
        <v>5.4119993576E8</v>
      </c>
      <c r="I550" s="8" t="s">
        <v>7</v>
      </c>
    </row>
    <row r="551">
      <c r="A551" s="18" t="s">
        <v>546</v>
      </c>
      <c r="B551" s="6" t="s">
        <v>4</v>
      </c>
      <c r="C551" s="6" t="s">
        <v>563</v>
      </c>
      <c r="D551" s="2">
        <v>6.75E7</v>
      </c>
      <c r="E551" s="7"/>
      <c r="F551" s="2" t="s">
        <v>6</v>
      </c>
      <c r="G551" s="7">
        <v>4.7369993576E8</v>
      </c>
      <c r="H551" s="2">
        <v>4.7369993576E8</v>
      </c>
      <c r="I551" s="8" t="s">
        <v>7</v>
      </c>
    </row>
    <row r="552">
      <c r="A552" s="18" t="s">
        <v>546</v>
      </c>
      <c r="B552" s="6" t="s">
        <v>12</v>
      </c>
      <c r="C552" s="6" t="s">
        <v>564</v>
      </c>
      <c r="D552" s="2"/>
      <c r="E552" s="2">
        <v>7.91E7</v>
      </c>
      <c r="F552" s="2" t="s">
        <v>3</v>
      </c>
      <c r="G552" s="7">
        <v>5.5279993576E8</v>
      </c>
      <c r="H552" s="7"/>
      <c r="I552" s="4" t="s">
        <v>9</v>
      </c>
    </row>
    <row r="553">
      <c r="A553" s="18" t="s">
        <v>546</v>
      </c>
      <c r="B553" s="6" t="s">
        <v>4</v>
      </c>
      <c r="C553" s="6" t="s">
        <v>565</v>
      </c>
      <c r="D553" s="2">
        <v>600000.0</v>
      </c>
      <c r="E553" s="7"/>
      <c r="F553" s="2" t="s">
        <v>6</v>
      </c>
      <c r="G553" s="7">
        <v>5.5219993576E8</v>
      </c>
      <c r="H553" s="7"/>
      <c r="I553" s="8" t="s">
        <v>7</v>
      </c>
    </row>
    <row r="554">
      <c r="A554" s="18" t="s">
        <v>546</v>
      </c>
      <c r="B554" s="6" t="s">
        <v>12</v>
      </c>
      <c r="C554" s="6" t="s">
        <v>566</v>
      </c>
      <c r="D554" s="2"/>
      <c r="E554" s="2">
        <v>1047920.0</v>
      </c>
      <c r="F554" s="2" t="s">
        <v>3</v>
      </c>
      <c r="G554" s="7">
        <v>5.5324785576E8</v>
      </c>
      <c r="H554" s="7"/>
      <c r="I554" s="4" t="s">
        <v>9</v>
      </c>
    </row>
    <row r="555">
      <c r="A555" s="18" t="s">
        <v>546</v>
      </c>
      <c r="B555" s="6" t="s">
        <v>4</v>
      </c>
      <c r="C555" s="6" t="s">
        <v>567</v>
      </c>
      <c r="D555" s="2">
        <v>1050000.0</v>
      </c>
      <c r="E555" s="7"/>
      <c r="F555" s="2" t="s">
        <v>6</v>
      </c>
      <c r="G555" s="7">
        <v>5.5219785576E8</v>
      </c>
      <c r="H555" s="7"/>
      <c r="I555" s="8" t="s">
        <v>9</v>
      </c>
    </row>
    <row r="556">
      <c r="A556" s="18" t="s">
        <v>546</v>
      </c>
      <c r="B556" s="6" t="s">
        <v>12</v>
      </c>
      <c r="C556" s="6" t="s">
        <v>568</v>
      </c>
      <c r="D556" s="2"/>
      <c r="E556" s="2">
        <v>1.363141E8</v>
      </c>
      <c r="F556" s="2" t="s">
        <v>3</v>
      </c>
      <c r="G556" s="7">
        <v>6.8851195576E8</v>
      </c>
      <c r="H556" s="7"/>
      <c r="I556" s="4" t="s">
        <v>9</v>
      </c>
    </row>
    <row r="557">
      <c r="A557" s="18" t="s">
        <v>546</v>
      </c>
      <c r="B557" s="6" t="s">
        <v>12</v>
      </c>
      <c r="C557" s="6" t="s">
        <v>569</v>
      </c>
      <c r="D557" s="2"/>
      <c r="E557" s="2">
        <v>1.592499E8</v>
      </c>
      <c r="F557" s="2" t="s">
        <v>3</v>
      </c>
      <c r="G557" s="7">
        <v>8.4776185576E8</v>
      </c>
      <c r="H557" s="7"/>
      <c r="I557" s="4" t="s">
        <v>9</v>
      </c>
    </row>
    <row r="558">
      <c r="A558" s="18" t="s">
        <v>546</v>
      </c>
      <c r="B558" s="6" t="s">
        <v>4</v>
      </c>
      <c r="C558" s="6" t="s">
        <v>570</v>
      </c>
      <c r="D558" s="2">
        <v>6.552721E7</v>
      </c>
      <c r="E558" s="7"/>
      <c r="F558" s="2" t="s">
        <v>6</v>
      </c>
      <c r="G558" s="7">
        <v>7.8223464576E8</v>
      </c>
      <c r="H558" s="7"/>
      <c r="I558" s="8" t="s">
        <v>7</v>
      </c>
    </row>
    <row r="559">
      <c r="A559" s="18" t="s">
        <v>546</v>
      </c>
      <c r="B559" s="6" t="s">
        <v>24</v>
      </c>
      <c r="C559" s="6" t="s">
        <v>571</v>
      </c>
      <c r="D559" s="2">
        <v>27000.0</v>
      </c>
      <c r="E559" s="7"/>
      <c r="F559" s="7"/>
      <c r="G559" s="7">
        <v>7.8220764576E8</v>
      </c>
      <c r="H559" s="2">
        <v>7.8220764576E8</v>
      </c>
      <c r="I559" s="8" t="s">
        <v>9</v>
      </c>
    </row>
    <row r="560">
      <c r="A560" s="18" t="s">
        <v>572</v>
      </c>
      <c r="B560" s="6" t="s">
        <v>12</v>
      </c>
      <c r="C560" s="6" t="s">
        <v>573</v>
      </c>
      <c r="D560" s="2"/>
      <c r="E560" s="2">
        <v>8.217904E7</v>
      </c>
      <c r="F560" s="2" t="s">
        <v>3</v>
      </c>
      <c r="G560" s="7">
        <v>8.6438668576E8</v>
      </c>
      <c r="H560" s="7"/>
      <c r="I560" s="4" t="s">
        <v>9</v>
      </c>
    </row>
    <row r="561">
      <c r="A561" s="18" t="s">
        <v>572</v>
      </c>
      <c r="B561" s="6" t="s">
        <v>4</v>
      </c>
      <c r="C561" s="6" t="s">
        <v>574</v>
      </c>
      <c r="D561" s="2">
        <v>7.771E7</v>
      </c>
      <c r="E561" s="7"/>
      <c r="F561" s="2" t="s">
        <v>6</v>
      </c>
      <c r="G561" s="7">
        <v>7.8667668576E8</v>
      </c>
      <c r="H561" s="7"/>
      <c r="I561" s="8" t="s">
        <v>7</v>
      </c>
    </row>
    <row r="562">
      <c r="A562" s="18" t="s">
        <v>572</v>
      </c>
      <c r="B562" s="6" t="s">
        <v>4</v>
      </c>
      <c r="C562" s="6" t="s">
        <v>575</v>
      </c>
      <c r="D562" s="2">
        <v>7.875E7</v>
      </c>
      <c r="E562" s="7"/>
      <c r="F562" s="2" t="s">
        <v>6</v>
      </c>
      <c r="G562" s="7">
        <v>7.0792668576E8</v>
      </c>
      <c r="H562" s="7"/>
      <c r="I562" s="8" t="s">
        <v>7</v>
      </c>
    </row>
    <row r="563">
      <c r="A563" s="18" t="s">
        <v>572</v>
      </c>
      <c r="B563" s="6" t="s">
        <v>4</v>
      </c>
      <c r="C563" s="6" t="s">
        <v>576</v>
      </c>
      <c r="D563" s="2">
        <v>5.4045E7</v>
      </c>
      <c r="E563" s="7"/>
      <c r="F563" s="2" t="s">
        <v>6</v>
      </c>
      <c r="G563" s="7">
        <v>6.5388168576E8</v>
      </c>
      <c r="H563" s="7"/>
      <c r="I563" s="8" t="s">
        <v>7</v>
      </c>
    </row>
    <row r="564">
      <c r="A564" s="18" t="s">
        <v>572</v>
      </c>
      <c r="B564" s="6" t="s">
        <v>4</v>
      </c>
      <c r="C564" s="6" t="s">
        <v>577</v>
      </c>
      <c r="D564" s="2">
        <v>7.61816E7</v>
      </c>
      <c r="E564" s="7"/>
      <c r="F564" s="2" t="s">
        <v>6</v>
      </c>
      <c r="G564" s="7">
        <v>5.7770008576E8</v>
      </c>
      <c r="H564" s="2">
        <v>5.7770008576E8</v>
      </c>
      <c r="I564" s="8" t="s">
        <v>7</v>
      </c>
    </row>
    <row r="565">
      <c r="A565" s="18" t="s">
        <v>572</v>
      </c>
      <c r="B565" s="6" t="s">
        <v>4</v>
      </c>
      <c r="C565" s="6" t="s">
        <v>578</v>
      </c>
      <c r="D565" s="2">
        <v>1400000.0</v>
      </c>
      <c r="E565" s="7"/>
      <c r="F565" s="2" t="s">
        <v>6</v>
      </c>
      <c r="G565" s="7">
        <v>5.7630008576E8</v>
      </c>
      <c r="H565" s="2">
        <v>5.7630008576E8</v>
      </c>
      <c r="I565" s="8" t="s">
        <v>11</v>
      </c>
    </row>
    <row r="566">
      <c r="A566" s="18" t="s">
        <v>572</v>
      </c>
      <c r="B566" s="6" t="s">
        <v>4</v>
      </c>
      <c r="C566" s="6" t="s">
        <v>579</v>
      </c>
      <c r="D566" s="2">
        <v>500000.0</v>
      </c>
      <c r="E566" s="7"/>
      <c r="F566" s="2" t="s">
        <v>6</v>
      </c>
      <c r="G566" s="7">
        <v>5.7580008576E8</v>
      </c>
      <c r="H566" s="7"/>
      <c r="I566" s="8" t="s">
        <v>11</v>
      </c>
    </row>
    <row r="567">
      <c r="A567" s="18" t="s">
        <v>572</v>
      </c>
      <c r="B567" s="6" t="s">
        <v>4</v>
      </c>
      <c r="C567" s="6" t="s">
        <v>580</v>
      </c>
      <c r="D567" s="2">
        <v>5000000.0</v>
      </c>
      <c r="E567" s="7"/>
      <c r="F567" s="2" t="s">
        <v>6</v>
      </c>
      <c r="G567" s="7">
        <v>5.7080008576E8</v>
      </c>
      <c r="H567" s="7"/>
      <c r="I567" s="8" t="s">
        <v>11</v>
      </c>
    </row>
    <row r="568">
      <c r="A568" s="18" t="s">
        <v>572</v>
      </c>
      <c r="B568" s="6" t="s">
        <v>4</v>
      </c>
      <c r="C568" s="6" t="s">
        <v>581</v>
      </c>
      <c r="D568" s="2">
        <v>3.5821296E8</v>
      </c>
      <c r="E568" s="7"/>
      <c r="F568" s="2" t="s">
        <v>6</v>
      </c>
      <c r="G568" s="7">
        <v>2.1258712576E8</v>
      </c>
      <c r="H568" s="7"/>
      <c r="I568" s="8" t="s">
        <v>7</v>
      </c>
    </row>
    <row r="569">
      <c r="A569" s="18" t="s">
        <v>572</v>
      </c>
      <c r="B569" s="6" t="s">
        <v>4</v>
      </c>
      <c r="C569" s="6" t="s">
        <v>582</v>
      </c>
      <c r="D569" s="2">
        <v>2.125E8</v>
      </c>
      <c r="E569" s="7"/>
      <c r="F569" s="2" t="s">
        <v>6</v>
      </c>
      <c r="G569" s="7">
        <v>87125.75999999046</v>
      </c>
      <c r="H569" s="2">
        <v>87125.76</v>
      </c>
      <c r="I569" s="8" t="s">
        <v>7</v>
      </c>
    </row>
    <row r="570">
      <c r="A570" s="18" t="s">
        <v>583</v>
      </c>
      <c r="B570" s="6" t="s">
        <v>12</v>
      </c>
      <c r="C570" s="6" t="s">
        <v>584</v>
      </c>
      <c r="D570" s="2"/>
      <c r="E570" s="2">
        <v>2620000.0</v>
      </c>
      <c r="F570" s="2" t="s">
        <v>3</v>
      </c>
      <c r="G570" s="7">
        <v>2707125.7599999905</v>
      </c>
      <c r="H570" s="7"/>
      <c r="I570" s="4" t="s">
        <v>9</v>
      </c>
    </row>
    <row r="571">
      <c r="A571" s="18" t="s">
        <v>583</v>
      </c>
      <c r="B571" s="6" t="s">
        <v>4</v>
      </c>
      <c r="C571" s="6" t="s">
        <v>585</v>
      </c>
      <c r="D571" s="2">
        <v>2620000.0</v>
      </c>
      <c r="E571" s="7"/>
      <c r="F571" s="2" t="s">
        <v>6</v>
      </c>
      <c r="G571" s="7">
        <v>87125.75999999046</v>
      </c>
      <c r="H571" s="7"/>
      <c r="I571" s="8" t="s">
        <v>9</v>
      </c>
    </row>
    <row r="572">
      <c r="A572" s="18" t="s">
        <v>583</v>
      </c>
      <c r="B572" s="6" t="s">
        <v>12</v>
      </c>
      <c r="C572" s="6" t="s">
        <v>586</v>
      </c>
      <c r="D572" s="2"/>
      <c r="E572" s="2">
        <v>7.5E7</v>
      </c>
      <c r="F572" s="2" t="s">
        <v>3</v>
      </c>
      <c r="G572" s="7">
        <v>7.508712575999999E7</v>
      </c>
      <c r="H572" s="7"/>
      <c r="I572" s="4" t="s">
        <v>9</v>
      </c>
    </row>
    <row r="573">
      <c r="A573" s="18" t="s">
        <v>583</v>
      </c>
      <c r="B573" s="6" t="s">
        <v>12</v>
      </c>
      <c r="C573" s="6" t="s">
        <v>587</v>
      </c>
      <c r="D573" s="2"/>
      <c r="E573" s="2">
        <v>7500000.0</v>
      </c>
      <c r="F573" s="2" t="s">
        <v>3</v>
      </c>
      <c r="G573" s="7">
        <v>8.258712575999999E7</v>
      </c>
      <c r="H573" s="7"/>
      <c r="I573" s="4" t="s">
        <v>9</v>
      </c>
    </row>
    <row r="574">
      <c r="A574" s="18" t="s">
        <v>583</v>
      </c>
      <c r="B574" s="6" t="s">
        <v>12</v>
      </c>
      <c r="C574" s="6" t="s">
        <v>588</v>
      </c>
      <c r="D574" s="2"/>
      <c r="E574" s="2">
        <v>6.8679631E7</v>
      </c>
      <c r="F574" s="2" t="s">
        <v>3</v>
      </c>
      <c r="G574" s="7">
        <v>1.5126675676E8</v>
      </c>
      <c r="H574" s="7"/>
      <c r="I574" s="4" t="s">
        <v>9</v>
      </c>
    </row>
    <row r="575">
      <c r="A575" s="18" t="s">
        <v>583</v>
      </c>
      <c r="B575" s="6" t="s">
        <v>12</v>
      </c>
      <c r="C575" s="6" t="s">
        <v>589</v>
      </c>
      <c r="D575" s="2"/>
      <c r="E575" s="2">
        <v>2.19712841E8</v>
      </c>
      <c r="F575" s="2" t="s">
        <v>3</v>
      </c>
      <c r="G575" s="7">
        <v>3.7097959776E8</v>
      </c>
      <c r="H575" s="7"/>
      <c r="I575" s="4" t="s">
        <v>9</v>
      </c>
    </row>
    <row r="576">
      <c r="A576" s="18" t="s">
        <v>583</v>
      </c>
      <c r="B576" s="6" t="s">
        <v>55</v>
      </c>
      <c r="C576" s="6" t="s">
        <v>590</v>
      </c>
      <c r="D576" s="2">
        <v>500000.0</v>
      </c>
      <c r="E576" s="7"/>
      <c r="F576" s="2" t="s">
        <v>6</v>
      </c>
      <c r="G576" s="7">
        <v>3.7047959776E8</v>
      </c>
      <c r="H576" s="7"/>
      <c r="I576" s="8" t="s">
        <v>9</v>
      </c>
    </row>
    <row r="577">
      <c r="A577" s="18" t="s">
        <v>583</v>
      </c>
      <c r="B577" s="6" t="s">
        <v>55</v>
      </c>
      <c r="C577" s="6" t="s">
        <v>591</v>
      </c>
      <c r="D577" s="2">
        <v>2500.0</v>
      </c>
      <c r="E577" s="7"/>
      <c r="F577" s="2" t="s">
        <v>6</v>
      </c>
      <c r="G577" s="7">
        <v>3.7047709776E8</v>
      </c>
      <c r="H577" s="2">
        <v>3.7047709776E8</v>
      </c>
      <c r="I577" s="8" t="s">
        <v>9</v>
      </c>
    </row>
    <row r="578">
      <c r="A578" s="18" t="s">
        <v>583</v>
      </c>
      <c r="B578" s="6" t="s">
        <v>4</v>
      </c>
      <c r="C578" s="6" t="s">
        <v>592</v>
      </c>
      <c r="D578" s="2">
        <v>1.0E8</v>
      </c>
      <c r="E578" s="7"/>
      <c r="F578" s="2" t="s">
        <v>6</v>
      </c>
      <c r="G578" s="7">
        <v>2.7047709776E8</v>
      </c>
      <c r="H578" s="2">
        <v>2.7047709776E8</v>
      </c>
      <c r="I578" s="8" t="s">
        <v>7</v>
      </c>
    </row>
    <row r="579">
      <c r="A579" s="18" t="s">
        <v>583</v>
      </c>
      <c r="B579" s="6" t="s">
        <v>4</v>
      </c>
      <c r="C579" s="6" t="s">
        <v>593</v>
      </c>
      <c r="D579" s="2">
        <v>2.866235E7</v>
      </c>
      <c r="E579" s="7"/>
      <c r="F579" s="2" t="s">
        <v>6</v>
      </c>
      <c r="G579" s="7">
        <v>2.4181474776E8</v>
      </c>
      <c r="H579" s="7"/>
      <c r="I579" s="8" t="s">
        <v>7</v>
      </c>
    </row>
    <row r="580">
      <c r="A580" s="18" t="s">
        <v>583</v>
      </c>
      <c r="B580" s="6" t="s">
        <v>12</v>
      </c>
      <c r="C580" s="6" t="s">
        <v>594</v>
      </c>
      <c r="D580" s="2"/>
      <c r="E580" s="2">
        <v>3.064092E8</v>
      </c>
      <c r="F580" s="2" t="s">
        <v>3</v>
      </c>
      <c r="G580" s="7">
        <v>5.4822394776E8</v>
      </c>
      <c r="H580" s="7"/>
      <c r="I580" s="4" t="s">
        <v>9</v>
      </c>
    </row>
    <row r="581">
      <c r="A581" s="18" t="s">
        <v>583</v>
      </c>
      <c r="B581" s="6" t="s">
        <v>4</v>
      </c>
      <c r="C581" s="6" t="s">
        <v>595</v>
      </c>
      <c r="D581" s="2">
        <v>1800000.0</v>
      </c>
      <c r="E581" s="7"/>
      <c r="F581" s="2" t="s">
        <v>6</v>
      </c>
      <c r="G581" s="7">
        <v>5.4642394776E8</v>
      </c>
      <c r="H581" s="7"/>
      <c r="I581" s="8" t="s">
        <v>11</v>
      </c>
    </row>
    <row r="582">
      <c r="A582" s="18" t="s">
        <v>583</v>
      </c>
      <c r="B582" s="6" t="s">
        <v>12</v>
      </c>
      <c r="C582" s="6" t="s">
        <v>596</v>
      </c>
      <c r="D582" s="2"/>
      <c r="E582" s="2">
        <v>1500000.0</v>
      </c>
      <c r="F582" s="2" t="s">
        <v>3</v>
      </c>
      <c r="G582" s="7">
        <v>5.4792394776E8</v>
      </c>
      <c r="H582" s="7"/>
      <c r="I582" s="4" t="s">
        <v>9</v>
      </c>
    </row>
    <row r="583">
      <c r="A583" s="18" t="s">
        <v>583</v>
      </c>
      <c r="B583" s="6" t="s">
        <v>4</v>
      </c>
      <c r="C583" s="6" t="s">
        <v>597</v>
      </c>
      <c r="D583" s="2">
        <v>2594100.0</v>
      </c>
      <c r="E583" s="7"/>
      <c r="F583" s="2" t="s">
        <v>6</v>
      </c>
      <c r="G583" s="7">
        <v>5.4532984776E8</v>
      </c>
      <c r="H583" s="7"/>
      <c r="I583" s="8" t="s">
        <v>11</v>
      </c>
    </row>
    <row r="584">
      <c r="A584" s="18" t="s">
        <v>583</v>
      </c>
      <c r="B584" s="6" t="s">
        <v>598</v>
      </c>
      <c r="C584" s="6" t="s">
        <v>599</v>
      </c>
      <c r="D584" s="7"/>
      <c r="E584" s="2">
        <v>8000000.0</v>
      </c>
      <c r="F584" s="7"/>
      <c r="G584" s="7">
        <v>5.5332984776E8</v>
      </c>
      <c r="H584" s="7"/>
      <c r="I584" s="4" t="s">
        <v>9</v>
      </c>
    </row>
    <row r="585">
      <c r="A585" s="18" t="s">
        <v>583</v>
      </c>
      <c r="B585" s="6" t="s">
        <v>598</v>
      </c>
      <c r="C585" s="6" t="s">
        <v>599</v>
      </c>
      <c r="D585" s="7"/>
      <c r="E585" s="2">
        <v>3550000.0</v>
      </c>
      <c r="F585" s="7"/>
      <c r="G585" s="7">
        <v>5.5687984776E8</v>
      </c>
      <c r="H585" s="7"/>
      <c r="I585" s="4" t="s">
        <v>9</v>
      </c>
    </row>
    <row r="586">
      <c r="A586" s="18" t="s">
        <v>583</v>
      </c>
      <c r="B586" s="6" t="s">
        <v>598</v>
      </c>
      <c r="C586" s="6" t="s">
        <v>599</v>
      </c>
      <c r="D586" s="7"/>
      <c r="E586" s="2">
        <v>450000.0</v>
      </c>
      <c r="F586" s="7"/>
      <c r="G586" s="7">
        <v>5.5732984776E8</v>
      </c>
      <c r="H586" s="7"/>
      <c r="I586" s="4" t="s">
        <v>9</v>
      </c>
    </row>
    <row r="587">
      <c r="A587" s="18" t="s">
        <v>583</v>
      </c>
      <c r="B587" s="6" t="s">
        <v>12</v>
      </c>
      <c r="C587" s="6" t="s">
        <v>600</v>
      </c>
      <c r="D587" s="2"/>
      <c r="E587" s="2">
        <v>1.1E8</v>
      </c>
      <c r="F587" s="2" t="s">
        <v>3</v>
      </c>
      <c r="G587" s="7">
        <v>6.6732984776E8</v>
      </c>
      <c r="H587" s="7"/>
      <c r="I587" s="4" t="s">
        <v>9</v>
      </c>
    </row>
    <row r="588">
      <c r="A588" s="18" t="s">
        <v>583</v>
      </c>
      <c r="B588" s="6" t="s">
        <v>4</v>
      </c>
      <c r="C588" s="6" t="s">
        <v>601</v>
      </c>
      <c r="D588" s="2">
        <v>1200000.0</v>
      </c>
      <c r="E588" s="7"/>
      <c r="F588" s="2" t="s">
        <v>6</v>
      </c>
      <c r="G588" s="7">
        <v>6.6612984776E8</v>
      </c>
      <c r="H588" s="7"/>
      <c r="I588" s="8" t="s">
        <v>16</v>
      </c>
    </row>
    <row r="589">
      <c r="A589" s="18" t="s">
        <v>583</v>
      </c>
      <c r="B589" s="6" t="s">
        <v>4</v>
      </c>
      <c r="C589" s="6" t="s">
        <v>602</v>
      </c>
      <c r="D589" s="2">
        <v>2.99E7</v>
      </c>
      <c r="E589" s="7"/>
      <c r="F589" s="2" t="s">
        <v>6</v>
      </c>
      <c r="G589" s="7">
        <v>6.3622984776E8</v>
      </c>
      <c r="H589" s="7"/>
      <c r="I589" s="8" t="s">
        <v>7</v>
      </c>
    </row>
    <row r="590">
      <c r="A590" s="18" t="s">
        <v>583</v>
      </c>
      <c r="B590" s="6" t="s">
        <v>12</v>
      </c>
      <c r="C590" s="6" t="s">
        <v>603</v>
      </c>
      <c r="D590" s="2"/>
      <c r="E590" s="2">
        <v>2.99E7</v>
      </c>
      <c r="F590" s="2" t="s">
        <v>3</v>
      </c>
      <c r="G590" s="7">
        <v>6.6612984776E8</v>
      </c>
      <c r="H590" s="7"/>
      <c r="I590" s="4" t="s">
        <v>9</v>
      </c>
    </row>
    <row r="591">
      <c r="A591" s="18" t="s">
        <v>583</v>
      </c>
      <c r="B591" s="6" t="s">
        <v>4</v>
      </c>
      <c r="C591" s="6" t="s">
        <v>604</v>
      </c>
      <c r="D591" s="2">
        <v>1.27E7</v>
      </c>
      <c r="E591" s="7"/>
      <c r="F591" s="2" t="s">
        <v>6</v>
      </c>
      <c r="G591" s="7">
        <v>6.5342984776E8</v>
      </c>
      <c r="H591" s="7"/>
      <c r="I591" s="8" t="s">
        <v>7</v>
      </c>
    </row>
    <row r="592">
      <c r="A592" s="18" t="s">
        <v>583</v>
      </c>
      <c r="B592" s="6" t="s">
        <v>4</v>
      </c>
      <c r="C592" s="6" t="s">
        <v>605</v>
      </c>
      <c r="D592" s="2">
        <v>1.5611544E8</v>
      </c>
      <c r="E592" s="7"/>
      <c r="F592" s="2" t="s">
        <v>6</v>
      </c>
      <c r="G592" s="7">
        <v>4.9731440776E8</v>
      </c>
      <c r="H592" s="2">
        <v>4.9731440776E8</v>
      </c>
      <c r="I592" s="8" t="s">
        <v>7</v>
      </c>
    </row>
    <row r="593">
      <c r="A593" s="18" t="s">
        <v>583</v>
      </c>
      <c r="B593" s="6" t="s">
        <v>4</v>
      </c>
      <c r="C593" s="6" t="s">
        <v>606</v>
      </c>
      <c r="D593" s="2">
        <v>1.338E8</v>
      </c>
      <c r="E593" s="7"/>
      <c r="F593" s="2" t="s">
        <v>6</v>
      </c>
      <c r="G593" s="7">
        <v>3.6351440776E8</v>
      </c>
      <c r="H593" s="2">
        <v>1.338E8</v>
      </c>
      <c r="I593" s="8" t="s">
        <v>7</v>
      </c>
    </row>
    <row r="594">
      <c r="A594" s="18" t="s">
        <v>583</v>
      </c>
      <c r="B594" s="6" t="s">
        <v>4</v>
      </c>
      <c r="C594" s="6" t="s">
        <v>607</v>
      </c>
      <c r="D594" s="2">
        <v>1.3850237E8</v>
      </c>
      <c r="E594" s="7"/>
      <c r="F594" s="2" t="s">
        <v>6</v>
      </c>
      <c r="G594" s="7">
        <v>2.2501203776E8</v>
      </c>
      <c r="H594" s="2">
        <v>1.3850237E8</v>
      </c>
      <c r="I594" s="8" t="s">
        <v>7</v>
      </c>
    </row>
    <row r="595">
      <c r="A595" s="18" t="s">
        <v>583</v>
      </c>
      <c r="B595" s="6" t="s">
        <v>608</v>
      </c>
      <c r="C595" s="6" t="s">
        <v>608</v>
      </c>
      <c r="D595" s="7"/>
      <c r="E595" s="2">
        <v>17.84</v>
      </c>
      <c r="F595" s="2" t="s">
        <v>3</v>
      </c>
      <c r="G595" s="7">
        <v>2.250120556E8</v>
      </c>
      <c r="H595" s="7"/>
      <c r="I595" s="4" t="s">
        <v>9</v>
      </c>
    </row>
    <row r="596">
      <c r="A596" s="18" t="s">
        <v>583</v>
      </c>
      <c r="B596" s="6" t="s">
        <v>609</v>
      </c>
      <c r="C596" s="6" t="s">
        <v>609</v>
      </c>
      <c r="D596" s="7"/>
      <c r="E596" s="2">
        <v>1747.85</v>
      </c>
      <c r="F596" s="7"/>
      <c r="G596" s="7">
        <v>2.2501380345E8</v>
      </c>
      <c r="H596" s="7"/>
      <c r="I596" s="4" t="s">
        <v>9</v>
      </c>
    </row>
    <row r="597">
      <c r="A597" s="18" t="s">
        <v>583</v>
      </c>
      <c r="B597" s="6" t="s">
        <v>610</v>
      </c>
      <c r="C597" s="6" t="s">
        <v>610</v>
      </c>
      <c r="D597" s="2">
        <v>353.14</v>
      </c>
      <c r="E597" s="7"/>
      <c r="F597" s="7"/>
      <c r="G597" s="7">
        <v>2.2501345031E8</v>
      </c>
      <c r="H597" s="2">
        <v>2.2501345031E8</v>
      </c>
      <c r="I597" s="8" t="s">
        <v>14</v>
      </c>
    </row>
  </sheetData>
  <dataValidations>
    <dataValidation type="list" allowBlank="1" showErrorMessage="1" sqref="I1:I597">
      <formula1>"PRIBADI,PRODUKSI,BANK,EXSPEDISI,V_SALES,OPERASIONAL,NURUL_AINI"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tr">
        <f>IFERROR(__xludf.DUMMYFUNCTION("IFERROR(QUERY(JUN_2023!A:I, ""SELECT * WHERE D IS NOT NULL AND UPPER(I) = 'EXSPEDISI'"", 1), ""Data EXSPEDISI belum ditemukan"")"),"2023-01-01")</f>
        <v>2023-01-01</v>
      </c>
      <c r="B1" s="3" t="str">
        <f>IFERROR(__xludf.DUMMYFUNCTION("""COMPUTED_VALUE"""),"TRSF E-BANKING DB")</f>
        <v>TRSF E-BANKING DB</v>
      </c>
      <c r="C1" s="3" t="str">
        <f>IFERROR(__xludf.DUMMYFUNCTION("""COMPUTED_VALUE"""),"0106/FTSCY/WS95031 2191500.00 SUPRIYADI 2191500.00 SUPRIYADI")</f>
        <v>0106/FTSCY/WS95031 2191500.00 SUPRIYADI 2191500.00 SUPRIYADI</v>
      </c>
      <c r="D1" s="3">
        <f>IFERROR(__xludf.DUMMYFUNCTION("""COMPUTED_VALUE"""),2191500.0)</f>
        <v>2191500</v>
      </c>
      <c r="E1" s="3"/>
      <c r="F1" s="3" t="str">
        <f>IFERROR(__xludf.DUMMYFUNCTION("""COMPUTED_VALUE"""),"DB")</f>
        <v>DB</v>
      </c>
      <c r="G1" s="3">
        <f>IFERROR(__xludf.DUMMYFUNCTION("""COMPUTED_VALUE"""),1.3073034375999999E8)</f>
        <v>130730343.8</v>
      </c>
      <c r="H1" s="3"/>
      <c r="I1" s="3" t="str">
        <f>IFERROR(__xludf.DUMMYFUNCTION("""COMPUTED_VALUE"""),"EXSPEDISI")</f>
        <v>EXSPEDISI</v>
      </c>
      <c r="J1" s="3">
        <f>SUM(D1:D1000)</f>
        <v>450012965</v>
      </c>
    </row>
    <row r="2">
      <c r="A2" s="3" t="str">
        <f>IFERROR(__xludf.DUMMYFUNCTION("""COMPUTED_VALUE"""),"2023-06-06")</f>
        <v>2023-06-06</v>
      </c>
      <c r="B2" s="3" t="str">
        <f>IFERROR(__xludf.DUMMYFUNCTION("""COMPUTED_VALUE"""),"TRSF E-BANKING DB")</f>
        <v>TRSF E-BANKING DB</v>
      </c>
      <c r="C2" s="3" t="str">
        <f>IFERROR(__xludf.DUMMYFUNCTION("""COMPUTED_VALUE"""),"0206/FTSCY/WS95031 1700000.00 SUPRIYADI 1700000.00 SUPRIYADI")</f>
        <v>0206/FTSCY/WS95031 1700000.00 SUPRIYADI 1700000.00 SUPRIYADI</v>
      </c>
      <c r="D2" s="3">
        <f>IFERROR(__xludf.DUMMYFUNCTION("""COMPUTED_VALUE"""),1700000.0)</f>
        <v>1700000</v>
      </c>
      <c r="E2" s="3"/>
      <c r="F2" s="3" t="str">
        <f>IFERROR(__xludf.DUMMYFUNCTION("""COMPUTED_VALUE"""),"DB")</f>
        <v>DB</v>
      </c>
      <c r="G2" s="3">
        <f>IFERROR(__xludf.DUMMYFUNCTION("""COMPUTED_VALUE"""),8.318701375999999E7)</f>
        <v>83187013.76</v>
      </c>
      <c r="H2" s="3"/>
      <c r="I2" s="3" t="str">
        <f>IFERROR(__xludf.DUMMYFUNCTION("""COMPUTED_VALUE"""),"EXSPEDISI")</f>
        <v>EXSPEDISI</v>
      </c>
    </row>
    <row r="3">
      <c r="A3" s="3" t="str">
        <f>IFERROR(__xludf.DUMMYFUNCTION("""COMPUTED_VALUE"""),"2023-06-06")</f>
        <v>2023-06-06</v>
      </c>
      <c r="B3" s="3" t="str">
        <f>IFERROR(__xludf.DUMMYFUNCTION("""COMPUTED_VALUE"""),"TRSF E-BANKING DB")</f>
        <v>TRSF E-BANKING DB</v>
      </c>
      <c r="C3" s="3" t="str">
        <f>IFERROR(__xludf.DUMMYFUNCTION("""COMPUTED_VALUE"""),"0206/FTSCY/WS95031 3080300.00 jember DIANA NOVITA 3080300.00 jember DIANA NOVITA")</f>
        <v>0206/FTSCY/WS95031 3080300.00 jember DIANA NOVITA 3080300.00 jember DIANA NOVITA</v>
      </c>
      <c r="D3" s="3">
        <f>IFERROR(__xludf.DUMMYFUNCTION("""COMPUTED_VALUE"""),3080300.0)</f>
        <v>3080300</v>
      </c>
      <c r="E3" s="3"/>
      <c r="F3" s="3" t="str">
        <f>IFERROR(__xludf.DUMMYFUNCTION("""COMPUTED_VALUE"""),"DB")</f>
        <v>DB</v>
      </c>
      <c r="G3" s="3">
        <f>IFERROR(__xludf.DUMMYFUNCTION("""COMPUTED_VALUE"""),8.010671375999999E7)</f>
        <v>80106713.76</v>
      </c>
      <c r="H3" s="3"/>
      <c r="I3" s="3" t="str">
        <f>IFERROR(__xludf.DUMMYFUNCTION("""COMPUTED_VALUE"""),"EXSPEDISI")</f>
        <v>EXSPEDISI</v>
      </c>
    </row>
    <row r="4">
      <c r="A4" s="3" t="str">
        <f>IFERROR(__xludf.DUMMYFUNCTION("""COMPUTED_VALUE"""),"2023-06-06")</f>
        <v>2023-06-06</v>
      </c>
      <c r="B4" s="3" t="str">
        <f>IFERROR(__xludf.DUMMYFUNCTION("""COMPUTED_VALUE"""),"TRSF E-BANKING DB")</f>
        <v>TRSF E-BANKING DB</v>
      </c>
      <c r="C4" s="3" t="str">
        <f>IFERROR(__xludf.DUMMYFUNCTION("""COMPUTED_VALUE"""),"0306/FTSCY/WS95031 1500000.00 HERMAWAN 1500000.00 HERMAWAN")</f>
        <v>0306/FTSCY/WS95031 1500000.00 HERMAWAN 1500000.00 HERMAWAN</v>
      </c>
      <c r="D4" s="3">
        <f>IFERROR(__xludf.DUMMYFUNCTION("""COMPUTED_VALUE"""),1500000.0)</f>
        <v>1500000</v>
      </c>
      <c r="E4" s="3"/>
      <c r="F4" s="3" t="str">
        <f>IFERROR(__xludf.DUMMYFUNCTION("""COMPUTED_VALUE"""),"DB")</f>
        <v>DB</v>
      </c>
      <c r="G4" s="3">
        <f>IFERROR(__xludf.DUMMYFUNCTION("""COMPUTED_VALUE"""),1.021961375999999E7)</f>
        <v>10219613.76</v>
      </c>
      <c r="H4" s="3"/>
      <c r="I4" s="3" t="str">
        <f>IFERROR(__xludf.DUMMYFUNCTION("""COMPUTED_VALUE"""),"EXSPEDISI")</f>
        <v>EXSPEDISI</v>
      </c>
    </row>
    <row r="5">
      <c r="A5" s="3" t="str">
        <f>IFERROR(__xludf.DUMMYFUNCTION("""COMPUTED_VALUE"""),"2023-06-06")</f>
        <v>2023-06-06</v>
      </c>
      <c r="B5" s="3" t="str">
        <f>IFERROR(__xludf.DUMMYFUNCTION("""COMPUTED_VALUE"""),"BI-FAST DB")</f>
        <v>BI-FAST DB</v>
      </c>
      <c r="C5" s="3" t="str">
        <f>IFERROR(__xludf.DUMMYFUNCTION("""COMPUTED_VALUE"""),"BIF TRANSFER KE 2 FAJAR ANDREANZAH M-BCA 2 FAJAR ANDREANZAH M-BCA")</f>
        <v>BIF TRANSFER KE 2 FAJAR ANDREANZAH M-BCA 2 FAJAR ANDREANZAH M-BCA</v>
      </c>
      <c r="D5" s="3">
        <f>IFERROR(__xludf.DUMMYFUNCTION("""COMPUTED_VALUE"""),1500000.0)</f>
        <v>1500000</v>
      </c>
      <c r="E5" s="3"/>
      <c r="F5" s="3" t="str">
        <f>IFERROR(__xludf.DUMMYFUNCTION("""COMPUTED_VALUE"""),"DB")</f>
        <v>DB</v>
      </c>
      <c r="G5" s="3">
        <f>IFERROR(__xludf.DUMMYFUNCTION("""COMPUTED_VALUE"""),5.4082010376E8)</f>
        <v>540820103.8</v>
      </c>
      <c r="H5" s="3"/>
      <c r="I5" s="3" t="str">
        <f>IFERROR(__xludf.DUMMYFUNCTION("""COMPUTED_VALUE"""),"EXSPEDISI")</f>
        <v>EXSPEDISI</v>
      </c>
    </row>
    <row r="6">
      <c r="A6" s="3" t="str">
        <f>IFERROR(__xludf.DUMMYFUNCTION("""COMPUTED_VALUE"""),"2023-06-06")</f>
        <v>2023-06-06</v>
      </c>
      <c r="B6" s="3" t="str">
        <f>IFERROR(__xludf.DUMMYFUNCTION("""COMPUTED_VALUE"""),"BI-FAST DB")</f>
        <v>BI-FAST DB</v>
      </c>
      <c r="C6" s="3" t="str">
        <f>IFERROR(__xludf.DUMMYFUNCTION("""COMPUTED_VALUE"""),"BIF BIAYA TXN KE 2 FAJAR ANDREANZAH M-BCA 2 FAJAR ANDREANZAH M-BCA")</f>
        <v>BIF BIAYA TXN KE 2 FAJAR ANDREANZAH M-BCA 2 FAJAR ANDREANZAH M-BCA</v>
      </c>
      <c r="D6" s="3">
        <f>IFERROR(__xludf.DUMMYFUNCTION("""COMPUTED_VALUE"""),2500.0)</f>
        <v>2500</v>
      </c>
      <c r="E6" s="3"/>
      <c r="F6" s="3" t="str">
        <f>IFERROR(__xludf.DUMMYFUNCTION("""COMPUTED_VALUE"""),"DB")</f>
        <v>DB</v>
      </c>
      <c r="G6" s="3">
        <f>IFERROR(__xludf.DUMMYFUNCTION("""COMPUTED_VALUE"""),5.4081760376E8)</f>
        <v>540817603.8</v>
      </c>
      <c r="H6" s="3"/>
      <c r="I6" s="3" t="str">
        <f>IFERROR(__xludf.DUMMYFUNCTION("""COMPUTED_VALUE"""),"EXSPEDISI")</f>
        <v>EXSPEDISI</v>
      </c>
    </row>
    <row r="7">
      <c r="A7" s="3" t="str">
        <f>IFERROR(__xludf.DUMMYFUNCTION("""COMPUTED_VALUE"""),"2023-06-06")</f>
        <v>2023-06-06</v>
      </c>
      <c r="B7" s="3" t="str">
        <f>IFERROR(__xludf.DUMMYFUNCTION("""COMPUTED_VALUE"""),"TRSF E-BANKING DB")</f>
        <v>TRSF E-BANKING DB</v>
      </c>
      <c r="C7" s="3" t="str">
        <f>IFERROR(__xludf.DUMMYFUNCTION("""COMPUTED_VALUE"""),"0406/FTSCY/WS95031 1000000.00 SUPRIYADI 1000000.00 SUPRIYADI")</f>
        <v>0406/FTSCY/WS95031 1000000.00 SUPRIYADI 1000000.00 SUPRIYADI</v>
      </c>
      <c r="D7" s="3">
        <f>IFERROR(__xludf.DUMMYFUNCTION("""COMPUTED_VALUE"""),1000000.0)</f>
        <v>1000000</v>
      </c>
      <c r="E7" s="3"/>
      <c r="F7" s="3" t="str">
        <f>IFERROR(__xludf.DUMMYFUNCTION("""COMPUTED_VALUE"""),"DB")</f>
        <v>DB</v>
      </c>
      <c r="G7" s="3">
        <f>IFERROR(__xludf.DUMMYFUNCTION("""COMPUTED_VALUE"""),5.3981760376E8)</f>
        <v>539817603.8</v>
      </c>
      <c r="H7" s="3"/>
      <c r="I7" s="3" t="str">
        <f>IFERROR(__xludf.DUMMYFUNCTION("""COMPUTED_VALUE"""),"EXSPEDISI")</f>
        <v>EXSPEDISI</v>
      </c>
    </row>
    <row r="8">
      <c r="A8" s="3" t="str">
        <f>IFERROR(__xludf.DUMMYFUNCTION("""COMPUTED_VALUE"""),"2023-06-06")</f>
        <v>2023-06-06</v>
      </c>
      <c r="B8" s="3" t="str">
        <f>IFERROR(__xludf.DUMMYFUNCTION("""COMPUTED_VALUE"""),"TRSF E-BANKING DB")</f>
        <v>TRSF E-BANKING DB</v>
      </c>
      <c r="C8" s="3" t="str">
        <f>IFERROR(__xludf.DUMMYFUNCTION("""COMPUTED_VALUE"""),"0406/FTSCY/WS95031 428010.00 DIANA NOVITA 428010.00 DIANA NOVITA")</f>
        <v>0406/FTSCY/WS95031 428010.00 DIANA NOVITA 428010.00 DIANA NOVITA</v>
      </c>
      <c r="D8" s="3">
        <f>IFERROR(__xludf.DUMMYFUNCTION("""COMPUTED_VALUE"""),428010.0)</f>
        <v>428010</v>
      </c>
      <c r="E8" s="3"/>
      <c r="F8" s="3" t="str">
        <f>IFERROR(__xludf.DUMMYFUNCTION("""COMPUTED_VALUE"""),"DB")</f>
        <v>DB</v>
      </c>
      <c r="G8" s="3">
        <f>IFERROR(__xludf.DUMMYFUNCTION("""COMPUTED_VALUE"""),5.3938959376E8)</f>
        <v>539389593.8</v>
      </c>
      <c r="H8" s="3"/>
      <c r="I8" s="3" t="str">
        <f>IFERROR(__xludf.DUMMYFUNCTION("""COMPUTED_VALUE"""),"EXSPEDISI")</f>
        <v>EXSPEDISI</v>
      </c>
    </row>
    <row r="9">
      <c r="A9" s="3" t="str">
        <f>IFERROR(__xludf.DUMMYFUNCTION("""COMPUTED_VALUE"""),"2023-06-06")</f>
        <v>2023-06-06</v>
      </c>
      <c r="B9" s="3" t="str">
        <f>IFERROR(__xludf.DUMMYFUNCTION("""COMPUTED_VALUE"""),"TRSF E-BANKING DB")</f>
        <v>TRSF E-BANKING DB</v>
      </c>
      <c r="C9" s="3" t="str">
        <f>IFERROR(__xludf.DUMMYFUNCTION("""COMPUTED_VALUE"""),"0406/FTSCY/WS95271 21000000.00 krg 65 jt EKO SETIYAWAN 21000000.00 krg 65 jt EKO SETIYAWAN")</f>
        <v>0406/FTSCY/WS95271 21000000.00 krg 65 jt EKO SETIYAWAN 21000000.00 krg 65 jt EKO SETIYAWAN</v>
      </c>
      <c r="D9" s="3">
        <f>IFERROR(__xludf.DUMMYFUNCTION("""COMPUTED_VALUE"""),2.1E7)</f>
        <v>21000000</v>
      </c>
      <c r="E9" s="3"/>
      <c r="F9" s="3" t="str">
        <f>IFERROR(__xludf.DUMMYFUNCTION("""COMPUTED_VALUE"""),"DB")</f>
        <v>DB</v>
      </c>
      <c r="G9" s="3">
        <f>IFERROR(__xludf.DUMMYFUNCTION("""COMPUTED_VALUE"""),3.1386662376E8)</f>
        <v>313866623.8</v>
      </c>
      <c r="H9" s="3"/>
      <c r="I9" s="3" t="str">
        <f>IFERROR(__xludf.DUMMYFUNCTION("""COMPUTED_VALUE"""),"EXSPEDISI")</f>
        <v>EXSPEDISI</v>
      </c>
    </row>
    <row r="10">
      <c r="A10" s="3" t="str">
        <f>IFERROR(__xludf.DUMMYFUNCTION("""COMPUTED_VALUE"""),"2023-06-06")</f>
        <v>2023-06-06</v>
      </c>
      <c r="B10" s="3" t="str">
        <f>IFERROR(__xludf.DUMMYFUNCTION("""COMPUTED_VALUE"""),"TRSF E-BANKING DB")</f>
        <v>TRSF E-BANKING DB</v>
      </c>
      <c r="C10" s="3" t="str">
        <f>IFERROR(__xludf.DUMMYFUNCTION("""COMPUTED_VALUE"""),"0406/FTSCY/WS95031 1000000.00 SUPRIYADI 1000000.00 SUPRIYADI")</f>
        <v>0406/FTSCY/WS95031 1000000.00 SUPRIYADI 1000000.00 SUPRIYADI</v>
      </c>
      <c r="D10" s="3">
        <f>IFERROR(__xludf.DUMMYFUNCTION("""COMPUTED_VALUE"""),1000000.0)</f>
        <v>1000000</v>
      </c>
      <c r="E10" s="3"/>
      <c r="F10" s="3" t="str">
        <f>IFERROR(__xludf.DUMMYFUNCTION("""COMPUTED_VALUE"""),"DB")</f>
        <v>DB</v>
      </c>
      <c r="G10" s="3">
        <f>IFERROR(__xludf.DUMMYFUNCTION("""COMPUTED_VALUE"""),2.2854207376E8)</f>
        <v>228542073.8</v>
      </c>
      <c r="H10" s="3"/>
      <c r="I10" s="3" t="str">
        <f>IFERROR(__xludf.DUMMYFUNCTION("""COMPUTED_VALUE"""),"EXSPEDISI")</f>
        <v>EXSPEDISI</v>
      </c>
    </row>
    <row r="11">
      <c r="A11" s="3" t="str">
        <f>IFERROR(__xludf.DUMMYFUNCTION("""COMPUTED_VALUE"""),"2023-06-06")</f>
        <v>2023-06-06</v>
      </c>
      <c r="B11" s="3" t="str">
        <f>IFERROR(__xludf.DUMMYFUNCTION("""COMPUTED_VALUE"""),"TRSF E-BANKING DB")</f>
        <v>TRSF E-BANKING DB</v>
      </c>
      <c r="C11" s="3" t="str">
        <f>IFERROR(__xludf.DUMMYFUNCTION("""COMPUTED_VALUE"""),"0506/FTSCY/WS95031 1970300.00 magetan lunas DIANA NOVITA 1970300.00 magetan lunas DIANA NOVITA")</f>
        <v>0506/FTSCY/WS95031 1970300.00 magetan lunas DIANA NOVITA 1970300.00 magetan lunas DIANA NOVITA</v>
      </c>
      <c r="D11" s="3">
        <f>IFERROR(__xludf.DUMMYFUNCTION("""COMPUTED_VALUE"""),1970300.0)</f>
        <v>1970300</v>
      </c>
      <c r="E11" s="3"/>
      <c r="F11" s="3" t="str">
        <f>IFERROR(__xludf.DUMMYFUNCTION("""COMPUTED_VALUE"""),"DB")</f>
        <v>DB</v>
      </c>
      <c r="G11" s="3">
        <f>IFERROR(__xludf.DUMMYFUNCTION("""COMPUTED_VALUE"""),1.4323414376E8)</f>
        <v>143234143.8</v>
      </c>
      <c r="H11" s="3"/>
      <c r="I11" s="3" t="str">
        <f>IFERROR(__xludf.DUMMYFUNCTION("""COMPUTED_VALUE"""),"EXSPEDISI")</f>
        <v>EXSPEDISI</v>
      </c>
    </row>
    <row r="12">
      <c r="A12" s="3" t="str">
        <f>IFERROR(__xludf.DUMMYFUNCTION("""COMPUTED_VALUE"""),"2023-06-06")</f>
        <v>2023-06-06</v>
      </c>
      <c r="B12" s="3" t="str">
        <f>IFERROR(__xludf.DUMMYFUNCTION("""COMPUTED_VALUE"""),"TRSF E-BANKING DB")</f>
        <v>TRSF E-BANKING DB</v>
      </c>
      <c r="C12" s="3" t="str">
        <f>IFERROR(__xludf.DUMMYFUNCTION("""COMPUTED_VALUE"""),"0506/FTSCY/WS95031 1200000.00 SUPRIYADI 1200000.00 SUPRIYADI")</f>
        <v>0506/FTSCY/WS95031 1200000.00 SUPRIYADI 1200000.00 SUPRIYADI</v>
      </c>
      <c r="D12" s="3">
        <f>IFERROR(__xludf.DUMMYFUNCTION("""COMPUTED_VALUE"""),1200000.0)</f>
        <v>1200000</v>
      </c>
      <c r="E12" s="3"/>
      <c r="F12" s="3" t="str">
        <f>IFERROR(__xludf.DUMMYFUNCTION("""COMPUTED_VALUE"""),"DB")</f>
        <v>DB</v>
      </c>
      <c r="G12" s="3">
        <f>IFERROR(__xludf.DUMMYFUNCTION("""COMPUTED_VALUE"""),1.8182174776E8)</f>
        <v>181821747.8</v>
      </c>
      <c r="H12" s="3">
        <f>IFERROR(__xludf.DUMMYFUNCTION("""COMPUTED_VALUE"""),1.8182174776E8)</f>
        <v>181821747.8</v>
      </c>
      <c r="I12" s="3" t="str">
        <f>IFERROR(__xludf.DUMMYFUNCTION("""COMPUTED_VALUE"""),"EXSPEDISI")</f>
        <v>EXSPEDISI</v>
      </c>
    </row>
    <row r="13">
      <c r="A13" s="3" t="str">
        <f>IFERROR(__xludf.DUMMYFUNCTION("""COMPUTED_VALUE"""),"2023-06-06")</f>
        <v>2023-06-06</v>
      </c>
      <c r="B13" s="3" t="str">
        <f>IFERROR(__xludf.DUMMYFUNCTION("""COMPUTED_VALUE"""),"TRSF E-BANKING DB")</f>
        <v>TRSF E-BANKING DB</v>
      </c>
      <c r="C13" s="3" t="str">
        <f>IFERROR(__xludf.DUMMYFUNCTION("""COMPUTED_VALUE"""),"0606/FTSCY/WS95031 3219600.00 bwi DIANA NOVITA 3219600.00 bwi DIANA NOVITA")</f>
        <v>0606/FTSCY/WS95031 3219600.00 bwi DIANA NOVITA 3219600.00 bwi DIANA NOVITA</v>
      </c>
      <c r="D13" s="3">
        <f>IFERROR(__xludf.DUMMYFUNCTION("""COMPUTED_VALUE"""),3219600.0)</f>
        <v>3219600</v>
      </c>
      <c r="E13" s="3"/>
      <c r="F13" s="3" t="str">
        <f>IFERROR(__xludf.DUMMYFUNCTION("""COMPUTED_VALUE"""),"DB")</f>
        <v>DB</v>
      </c>
      <c r="G13" s="3">
        <f>IFERROR(__xludf.DUMMYFUNCTION("""COMPUTED_VALUE"""),7.555207775999999E7)</f>
        <v>75552077.76</v>
      </c>
      <c r="H13" s="3"/>
      <c r="I13" s="3" t="str">
        <f>IFERROR(__xludf.DUMMYFUNCTION("""COMPUTED_VALUE"""),"EXSPEDISI")</f>
        <v>EXSPEDISI</v>
      </c>
    </row>
    <row r="14">
      <c r="A14" s="3" t="str">
        <f>IFERROR(__xludf.DUMMYFUNCTION("""COMPUTED_VALUE"""),"2023-06-06")</f>
        <v>2023-06-06</v>
      </c>
      <c r="B14" s="3" t="str">
        <f>IFERROR(__xludf.DUMMYFUNCTION("""COMPUTED_VALUE"""),"TRSF E-BANKING DB")</f>
        <v>TRSF E-BANKING DB</v>
      </c>
      <c r="C14" s="3" t="str">
        <f>IFERROR(__xludf.DUMMYFUNCTION("""COMPUTED_VALUE"""),"0606/FTSCY/WS95031 7516470.00 lunas HERMAWAN 7516470.00 lunas HERMAWAN")</f>
        <v>0606/FTSCY/WS95031 7516470.00 lunas HERMAWAN 7516470.00 lunas HERMAWAN</v>
      </c>
      <c r="D14" s="3">
        <f>IFERROR(__xludf.DUMMYFUNCTION("""COMPUTED_VALUE"""),7516470.0)</f>
        <v>7516470</v>
      </c>
      <c r="E14" s="3"/>
      <c r="F14" s="3" t="str">
        <f>IFERROR(__xludf.DUMMYFUNCTION("""COMPUTED_VALUE"""),"DB")</f>
        <v>DB</v>
      </c>
      <c r="G14" s="3">
        <f>IFERROR(__xludf.DUMMYFUNCTION("""COMPUTED_VALUE"""),1.1768676775999999E8)</f>
        <v>117686767.8</v>
      </c>
      <c r="H14" s="3">
        <f>IFERROR(__xludf.DUMMYFUNCTION("""COMPUTED_VALUE"""),1.1768676776E8)</f>
        <v>117686767.8</v>
      </c>
      <c r="I14" s="3" t="str">
        <f>IFERROR(__xludf.DUMMYFUNCTION("""COMPUTED_VALUE"""),"EXSPEDISI")</f>
        <v>EXSPEDISI</v>
      </c>
    </row>
    <row r="15">
      <c r="A15" s="3" t="str">
        <f>IFERROR(__xludf.DUMMYFUNCTION("""COMPUTED_VALUE"""),"2023-06-06")</f>
        <v>2023-06-06</v>
      </c>
      <c r="B15" s="3" t="str">
        <f>IFERROR(__xludf.DUMMYFUNCTION("""COMPUTED_VALUE"""),"TRSF E-BANKING DB")</f>
        <v>TRSF E-BANKING DB</v>
      </c>
      <c r="C15" s="3" t="str">
        <f>IFERROR(__xludf.DUMMYFUNCTION("""COMPUTED_VALUE"""),"0606/FTSCY/WS95271 14198000.00 krg 60 jt EKO SETIYAWAN 14198000.00 krg 60 jt EKO SETIYAWAN")</f>
        <v>0606/FTSCY/WS95271 14198000.00 krg 60 jt EKO SETIYAWAN 14198000.00 krg 60 jt EKO SETIYAWAN</v>
      </c>
      <c r="D15" s="3">
        <f>IFERROR(__xludf.DUMMYFUNCTION("""COMPUTED_VALUE"""),1.4198E7)</f>
        <v>14198000</v>
      </c>
      <c r="E15" s="3"/>
      <c r="F15" s="3" t="str">
        <f>IFERROR(__xludf.DUMMYFUNCTION("""COMPUTED_VALUE"""),"DB")</f>
        <v>DB</v>
      </c>
      <c r="G15" s="3">
        <f>IFERROR(__xludf.DUMMYFUNCTION("""COMPUTED_VALUE"""),1.0348876775999999E8)</f>
        <v>103488767.8</v>
      </c>
      <c r="H15" s="3">
        <f>IFERROR(__xludf.DUMMYFUNCTION("""COMPUTED_VALUE"""),1.0348876776E8)</f>
        <v>103488767.8</v>
      </c>
      <c r="I15" s="3" t="str">
        <f>IFERROR(__xludf.DUMMYFUNCTION("""COMPUTED_VALUE"""),"EXSPEDISI")</f>
        <v>EXSPEDISI</v>
      </c>
    </row>
    <row r="16">
      <c r="A16" s="3" t="str">
        <f>IFERROR(__xludf.DUMMYFUNCTION("""COMPUTED_VALUE"""),"2023-06-06")</f>
        <v>2023-06-06</v>
      </c>
      <c r="B16" s="3" t="str">
        <f>IFERROR(__xludf.DUMMYFUNCTION("""COMPUTED_VALUE"""),"TRSF E-BANKING DB")</f>
        <v>TRSF E-BANKING DB</v>
      </c>
      <c r="C16" s="3" t="str">
        <f>IFERROR(__xludf.DUMMYFUNCTION("""COMPUTED_VALUE"""),"0706/FTSCY/WS95031 6167000.00 krg 60 jt EKO SETIYAWAN 6167000.00 krg 60 jt EKO SETIYAWAN")</f>
        <v>0706/FTSCY/WS95031 6167000.00 krg 60 jt EKO SETIYAWAN 6167000.00 krg 60 jt EKO SETIYAWAN</v>
      </c>
      <c r="D16" s="3">
        <f>IFERROR(__xludf.DUMMYFUNCTION("""COMPUTED_VALUE"""),6167000.0)</f>
        <v>6167000</v>
      </c>
      <c r="E16" s="3"/>
      <c r="F16" s="3" t="str">
        <f>IFERROR(__xludf.DUMMYFUNCTION("""COMPUTED_VALUE"""),"DB")</f>
        <v>DB</v>
      </c>
      <c r="G16" s="3">
        <f>IFERROR(__xludf.DUMMYFUNCTION("""COMPUTED_VALUE"""),9.732176775999999E7)</f>
        <v>97321767.76</v>
      </c>
      <c r="H16" s="3"/>
      <c r="I16" s="3" t="str">
        <f>IFERROR(__xludf.DUMMYFUNCTION("""COMPUTED_VALUE"""),"EXSPEDISI")</f>
        <v>EXSPEDISI</v>
      </c>
    </row>
    <row r="17">
      <c r="A17" s="3" t="str">
        <f>IFERROR(__xludf.DUMMYFUNCTION("""COMPUTED_VALUE"""),"2023-06-06")</f>
        <v>2023-06-06</v>
      </c>
      <c r="B17" s="3" t="str">
        <f>IFERROR(__xludf.DUMMYFUNCTION("""COMPUTED_VALUE"""),"TRSF E-BANKING DB")</f>
        <v>TRSF E-BANKING DB</v>
      </c>
      <c r="C17" s="3" t="str">
        <f>IFERROR(__xludf.DUMMYFUNCTION("""COMPUTED_VALUE"""),"0706/FTSCY/WS95031 1500000.00 SUPRIYADI 1500000.00 SUPRIYADI")</f>
        <v>0706/FTSCY/WS95031 1500000.00 SUPRIYADI 1500000.00 SUPRIYADI</v>
      </c>
      <c r="D17" s="3">
        <f>IFERROR(__xludf.DUMMYFUNCTION("""COMPUTED_VALUE"""),1500000.0)</f>
        <v>1500000</v>
      </c>
      <c r="E17" s="3"/>
      <c r="F17" s="3" t="str">
        <f>IFERROR(__xludf.DUMMYFUNCTION("""COMPUTED_VALUE"""),"DB")</f>
        <v>DB</v>
      </c>
      <c r="G17" s="3">
        <f>IFERROR(__xludf.DUMMYFUNCTION("""COMPUTED_VALUE"""),9.440176775999999E7)</f>
        <v>94401767.76</v>
      </c>
      <c r="H17" s="3"/>
      <c r="I17" s="3" t="str">
        <f>IFERROR(__xludf.DUMMYFUNCTION("""COMPUTED_VALUE"""),"EXSPEDISI")</f>
        <v>EXSPEDISI</v>
      </c>
    </row>
    <row r="18">
      <c r="A18" s="3" t="str">
        <f>IFERROR(__xludf.DUMMYFUNCTION("""COMPUTED_VALUE"""),"2023-06-06")</f>
        <v>2023-06-06</v>
      </c>
      <c r="B18" s="3" t="str">
        <f>IFERROR(__xludf.DUMMYFUNCTION("""COMPUTED_VALUE"""),"TRSF E-BANKING DB")</f>
        <v>TRSF E-BANKING DB</v>
      </c>
      <c r="C18" s="3" t="str">
        <f>IFERROR(__xludf.DUMMYFUNCTION("""COMPUTED_VALUE"""),"0706/FTSCY/WS95031 700000.00 probolinggo DIANA NOVITA 700000.00 probolinggo")</f>
        <v>0706/FTSCY/WS95031 700000.00 probolinggo DIANA NOVITA 700000.00 probolinggo</v>
      </c>
      <c r="D18" s="3">
        <f>IFERROR(__xludf.DUMMYFUNCTION("""COMPUTED_VALUE"""),700000.0)</f>
        <v>700000</v>
      </c>
      <c r="E18" s="3"/>
      <c r="F18" s="3" t="str">
        <f>IFERROR(__xludf.DUMMYFUNCTION("""COMPUTED_VALUE"""),"DB")</f>
        <v>DB</v>
      </c>
      <c r="G18" s="3">
        <f>IFERROR(__xludf.DUMMYFUNCTION("""COMPUTED_VALUE"""),3.0031415776E8)</f>
        <v>300314157.8</v>
      </c>
      <c r="H18" s="3"/>
      <c r="I18" s="3" t="str">
        <f>IFERROR(__xludf.DUMMYFUNCTION("""COMPUTED_VALUE"""),"EXSPEDISI")</f>
        <v>EXSPEDISI</v>
      </c>
    </row>
    <row r="19">
      <c r="A19" s="3" t="str">
        <f>IFERROR(__xludf.DUMMYFUNCTION("""COMPUTED_VALUE"""),"2023-06-06")</f>
        <v>2023-06-06</v>
      </c>
      <c r="B19" s="3" t="str">
        <f>IFERROR(__xludf.DUMMYFUNCTION("""COMPUTED_VALUE"""),"TRSF E-BANKING DB")</f>
        <v>TRSF E-BANKING DB</v>
      </c>
      <c r="C19" s="3" t="str">
        <f>IFERROR(__xludf.DUMMYFUNCTION("""COMPUTED_VALUE"""),"0706/FTSCY/WS95031 1000000.00 SUPRIYADI")</f>
        <v>0706/FTSCY/WS95031 1000000.00 SUPRIYADI</v>
      </c>
      <c r="D19" s="3">
        <f>IFERROR(__xludf.DUMMYFUNCTION("""COMPUTED_VALUE"""),1000000.0)</f>
        <v>1000000</v>
      </c>
      <c r="E19" s="3"/>
      <c r="F19" s="3" t="str">
        <f>IFERROR(__xludf.DUMMYFUNCTION("""COMPUTED_VALUE"""),"DB")</f>
        <v>DB</v>
      </c>
      <c r="G19" s="3">
        <f>IFERROR(__xludf.DUMMYFUNCTION("""COMPUTED_VALUE"""),3.0906003776E8)</f>
        <v>309060037.8</v>
      </c>
      <c r="H19" s="3"/>
      <c r="I19" s="3" t="str">
        <f>IFERROR(__xludf.DUMMYFUNCTION("""COMPUTED_VALUE"""),"EXSPEDISI")</f>
        <v>EXSPEDISI</v>
      </c>
    </row>
    <row r="20">
      <c r="A20" s="3" t="str">
        <f>IFERROR(__xludf.DUMMYFUNCTION("""COMPUTED_VALUE"""),"2023-06-06")</f>
        <v>2023-06-06</v>
      </c>
      <c r="B20" s="3" t="str">
        <f>IFERROR(__xludf.DUMMYFUNCTION("""COMPUTED_VALUE"""),"TRSF E-BANKING DB")</f>
        <v>TRSF E-BANKING DB</v>
      </c>
      <c r="C20" s="3" t="str">
        <f>IFERROR(__xludf.DUMMYFUNCTION("""COMPUTED_VALUE"""),"0806/FTSCY/WS95031 5104400.00 ban 1.5 jt DIANA NOVITA")</f>
        <v>0806/FTSCY/WS95031 5104400.00 ban 1.5 jt DIANA NOVITA</v>
      </c>
      <c r="D20" s="3">
        <f>IFERROR(__xludf.DUMMYFUNCTION("""COMPUTED_VALUE"""),5104400.0)</f>
        <v>5104400</v>
      </c>
      <c r="E20" s="3"/>
      <c r="F20" s="3" t="str">
        <f>IFERROR(__xludf.DUMMYFUNCTION("""COMPUTED_VALUE"""),"DB")</f>
        <v>DB</v>
      </c>
      <c r="G20" s="3">
        <f>IFERROR(__xludf.DUMMYFUNCTION("""COMPUTED_VALUE"""),4.7237621276E8)</f>
        <v>472376212.8</v>
      </c>
      <c r="H20" s="3"/>
      <c r="I20" s="3" t="str">
        <f>IFERROR(__xludf.DUMMYFUNCTION("""COMPUTED_VALUE"""),"EXSPEDISI")</f>
        <v>EXSPEDISI</v>
      </c>
    </row>
    <row r="21">
      <c r="A21" s="3" t="str">
        <f>IFERROR(__xludf.DUMMYFUNCTION("""COMPUTED_VALUE"""),"2023-06-06")</f>
        <v>2023-06-06</v>
      </c>
      <c r="B21" s="3" t="str">
        <f>IFERROR(__xludf.DUMMYFUNCTION("""COMPUTED_VALUE"""),"TRSF E-BANKING DB")</f>
        <v>TRSF E-BANKING DB</v>
      </c>
      <c r="C21" s="3" t="str">
        <f>IFERROR(__xludf.DUMMYFUNCTION("""COMPUTED_VALUE"""),"0806/FTSCY/WS95031 1216760.00 tot. bon 2 jt SUPRIYADI")</f>
        <v>0806/FTSCY/WS95031 1216760.00 tot. bon 2 jt SUPRIYADI</v>
      </c>
      <c r="D21" s="3">
        <f>IFERROR(__xludf.DUMMYFUNCTION("""COMPUTED_VALUE"""),1216760.0)</f>
        <v>1216760</v>
      </c>
      <c r="E21" s="3"/>
      <c r="F21" s="3" t="str">
        <f>IFERROR(__xludf.DUMMYFUNCTION("""COMPUTED_VALUE"""),"DB")</f>
        <v>DB</v>
      </c>
      <c r="G21" s="3">
        <f>IFERROR(__xludf.DUMMYFUNCTION("""COMPUTED_VALUE"""),3.8157877276E8)</f>
        <v>381578772.8</v>
      </c>
      <c r="H21" s="3">
        <f>IFERROR(__xludf.DUMMYFUNCTION("""COMPUTED_VALUE"""),3.8157877276E8)</f>
        <v>381578772.8</v>
      </c>
      <c r="I21" s="3" t="str">
        <f>IFERROR(__xludf.DUMMYFUNCTION("""COMPUTED_VALUE"""),"EXSPEDISI")</f>
        <v>EXSPEDISI</v>
      </c>
    </row>
    <row r="22">
      <c r="A22" s="3" t="str">
        <f>IFERROR(__xludf.DUMMYFUNCTION("""COMPUTED_VALUE"""),"2023-06-06")</f>
        <v>2023-06-06</v>
      </c>
      <c r="B22" s="3" t="str">
        <f>IFERROR(__xludf.DUMMYFUNCTION("""COMPUTED_VALUE"""),"BI-FAST DB TANGGAL :08/06")</f>
        <v>BI-FAST DB TANGGAL :08/06</v>
      </c>
      <c r="C22" s="3" t="str">
        <f>IFERROR(__xludf.DUMMYFUNCTION("""COMPUTED_VALUE"""),"BIF TRANSFER KE FAJAR ANDREANZAH M-BCA")</f>
        <v>BIF TRANSFER KE FAJAR ANDREANZAH M-BCA</v>
      </c>
      <c r="D22" s="3">
        <f>IFERROR(__xludf.DUMMYFUNCTION("""COMPUTED_VALUE"""),2700000.0)</f>
        <v>2700000</v>
      </c>
      <c r="E22" s="3"/>
      <c r="F22" s="3" t="str">
        <f>IFERROR(__xludf.DUMMYFUNCTION("""COMPUTED_VALUE"""),"DB")</f>
        <v>DB</v>
      </c>
      <c r="G22" s="3">
        <f>IFERROR(__xludf.DUMMYFUNCTION("""COMPUTED_VALUE"""),3464172.7599999905)</f>
        <v>3464172.76</v>
      </c>
      <c r="H22" s="3"/>
      <c r="I22" s="3" t="str">
        <f>IFERROR(__xludf.DUMMYFUNCTION("""COMPUTED_VALUE"""),"EXSPEDISI")</f>
        <v>EXSPEDISI</v>
      </c>
    </row>
    <row r="23">
      <c r="A23" s="3" t="str">
        <f>IFERROR(__xludf.DUMMYFUNCTION("""COMPUTED_VALUE"""),"2023-06-06")</f>
        <v>2023-06-06</v>
      </c>
      <c r="B23" s="3" t="str">
        <f>IFERROR(__xludf.DUMMYFUNCTION("""COMPUTED_VALUE"""),"BI-FAST DB TANGGAL :08/06")</f>
        <v>BI-FAST DB TANGGAL :08/06</v>
      </c>
      <c r="C23" s="3" t="str">
        <f>IFERROR(__xludf.DUMMYFUNCTION("""COMPUTED_VALUE"""),"BIF BIAYA TXN KE FAJAR ANDREANZAH M-BCA")</f>
        <v>BIF BIAYA TXN KE FAJAR ANDREANZAH M-BCA</v>
      </c>
      <c r="D23" s="3">
        <f>IFERROR(__xludf.DUMMYFUNCTION("""COMPUTED_VALUE"""),2500.0)</f>
        <v>2500</v>
      </c>
      <c r="E23" s="3"/>
      <c r="F23" s="3" t="str">
        <f>IFERROR(__xludf.DUMMYFUNCTION("""COMPUTED_VALUE"""),"DB")</f>
        <v>DB</v>
      </c>
      <c r="G23" s="3">
        <f>IFERROR(__xludf.DUMMYFUNCTION("""COMPUTED_VALUE"""),3461672.7599999905)</f>
        <v>3461672.76</v>
      </c>
      <c r="H23" s="3"/>
      <c r="I23" s="3" t="str">
        <f>IFERROR(__xludf.DUMMYFUNCTION("""COMPUTED_VALUE"""),"EXSPEDISI")</f>
        <v>EXSPEDISI</v>
      </c>
    </row>
    <row r="24">
      <c r="A24" s="3" t="str">
        <f>IFERROR(__xludf.DUMMYFUNCTION("""COMPUTED_VALUE"""),"2023-06-06")</f>
        <v>2023-06-06</v>
      </c>
      <c r="B24" s="3" t="str">
        <f>IFERROR(__xludf.DUMMYFUNCTION("""COMPUTED_VALUE"""),"TRSF E-BANKING DB")</f>
        <v>TRSF E-BANKING DB</v>
      </c>
      <c r="C24" s="3" t="str">
        <f>IFERROR(__xludf.DUMMYFUNCTION("""COMPUTED_VALUE"""),"0906/FTSCY/WS95031 2017000.00 DIANA NOVITA")</f>
        <v>0906/FTSCY/WS95031 2017000.00 DIANA NOVITA</v>
      </c>
      <c r="D24" s="3">
        <f>IFERROR(__xludf.DUMMYFUNCTION("""COMPUTED_VALUE"""),2017000.0)</f>
        <v>2017000</v>
      </c>
      <c r="E24" s="3"/>
      <c r="F24" s="3" t="str">
        <f>IFERROR(__xludf.DUMMYFUNCTION("""COMPUTED_VALUE"""),"DB")</f>
        <v>DB</v>
      </c>
      <c r="G24" s="3">
        <f>IFERROR(__xludf.DUMMYFUNCTION("""COMPUTED_VALUE"""),2.5221546076E8)</f>
        <v>252215460.8</v>
      </c>
      <c r="H24" s="3"/>
      <c r="I24" s="3" t="str">
        <f>IFERROR(__xludf.DUMMYFUNCTION("""COMPUTED_VALUE"""),"EXSPEDISI")</f>
        <v>EXSPEDISI</v>
      </c>
    </row>
    <row r="25">
      <c r="A25" s="3" t="str">
        <f>IFERROR(__xludf.DUMMYFUNCTION("""COMPUTED_VALUE"""),"2023-06-06")</f>
        <v>2023-06-06</v>
      </c>
      <c r="B25" s="3" t="str">
        <f>IFERROR(__xludf.DUMMYFUNCTION("""COMPUTED_VALUE"""),"TRSF E-BANKING DB")</f>
        <v>TRSF E-BANKING DB</v>
      </c>
      <c r="C25" s="3" t="str">
        <f>IFERROR(__xludf.DUMMYFUNCTION("""COMPUTED_VALUE"""),"0906/FTSCY/WS95031 1710700.00 SUPRIYADI")</f>
        <v>0906/FTSCY/WS95031 1710700.00 SUPRIYADI</v>
      </c>
      <c r="D25" s="3">
        <f>IFERROR(__xludf.DUMMYFUNCTION("""COMPUTED_VALUE"""),1710700.0)</f>
        <v>1710700</v>
      </c>
      <c r="E25" s="3"/>
      <c r="F25" s="3" t="str">
        <f>IFERROR(__xludf.DUMMYFUNCTION("""COMPUTED_VALUE"""),"DB")</f>
        <v>DB</v>
      </c>
      <c r="G25" s="3">
        <f>IFERROR(__xludf.DUMMYFUNCTION("""COMPUTED_VALUE"""),2.5050476076E8)</f>
        <v>250504760.8</v>
      </c>
      <c r="H25" s="3"/>
      <c r="I25" s="3" t="str">
        <f>IFERROR(__xludf.DUMMYFUNCTION("""COMPUTED_VALUE"""),"EXSPEDISI")</f>
        <v>EXSPEDISI</v>
      </c>
    </row>
    <row r="26">
      <c r="A26" s="3" t="str">
        <f>IFERROR(__xludf.DUMMYFUNCTION("""COMPUTED_VALUE"""),"2023-06-06")</f>
        <v>2023-06-06</v>
      </c>
      <c r="B26" s="3" t="str">
        <f>IFERROR(__xludf.DUMMYFUNCTION("""COMPUTED_VALUE"""),"TRSF E-BANKING DB")</f>
        <v>TRSF E-BANKING DB</v>
      </c>
      <c r="C26" s="3" t="str">
        <f>IFERROR(__xludf.DUMMYFUNCTION("""COMPUTED_VALUE"""),"1006/FTSCY/WS95031 3366000.00 bwi DIANA NOVITA")</f>
        <v>1006/FTSCY/WS95031 3366000.00 bwi DIANA NOVITA</v>
      </c>
      <c r="D26" s="3">
        <f>IFERROR(__xludf.DUMMYFUNCTION("""COMPUTED_VALUE"""),3366000.0)</f>
        <v>3366000</v>
      </c>
      <c r="E26" s="3"/>
      <c r="F26" s="3" t="str">
        <f>IFERROR(__xludf.DUMMYFUNCTION("""COMPUTED_VALUE"""),"DB")</f>
        <v>DB</v>
      </c>
      <c r="G26" s="3">
        <f>IFERROR(__xludf.DUMMYFUNCTION("""COMPUTED_VALUE"""),1.8777354076E8)</f>
        <v>187773540.8</v>
      </c>
      <c r="H26" s="3">
        <f>IFERROR(__xludf.DUMMYFUNCTION("""COMPUTED_VALUE"""),1.8777354076E8)</f>
        <v>187773540.8</v>
      </c>
      <c r="I26" s="3" t="str">
        <f>IFERROR(__xludf.DUMMYFUNCTION("""COMPUTED_VALUE"""),"EXSPEDISI")</f>
        <v>EXSPEDISI</v>
      </c>
    </row>
    <row r="27">
      <c r="A27" s="3" t="str">
        <f>IFERROR(__xludf.DUMMYFUNCTION("""COMPUTED_VALUE"""),"2023-06-06")</f>
        <v>2023-06-06</v>
      </c>
      <c r="B27" s="3" t="str">
        <f>IFERROR(__xludf.DUMMYFUNCTION("""COMPUTED_VALUE"""),"TRSF E-BANKING DB")</f>
        <v>TRSF E-BANKING DB</v>
      </c>
      <c r="C27" s="3" t="str">
        <f>IFERROR(__xludf.DUMMYFUNCTION("""COMPUTED_VALUE"""),"1006/FTSCY/WS95031 1691470.00 SUPRIYADI")</f>
        <v>1006/FTSCY/WS95031 1691470.00 SUPRIYADI</v>
      </c>
      <c r="D27" s="3">
        <f>IFERROR(__xludf.DUMMYFUNCTION("""COMPUTED_VALUE"""),1691470.0)</f>
        <v>1691470</v>
      </c>
      <c r="E27" s="3"/>
      <c r="F27" s="3" t="str">
        <f>IFERROR(__xludf.DUMMYFUNCTION("""COMPUTED_VALUE"""),"DB")</f>
        <v>DB</v>
      </c>
      <c r="G27" s="3">
        <f>IFERROR(__xludf.DUMMYFUNCTION("""COMPUTED_VALUE"""),1.8601387076E8)</f>
        <v>186013870.8</v>
      </c>
      <c r="H27" s="3"/>
      <c r="I27" s="3" t="str">
        <f>IFERROR(__xludf.DUMMYFUNCTION("""COMPUTED_VALUE"""),"EXSPEDISI")</f>
        <v>EXSPEDISI</v>
      </c>
    </row>
    <row r="28">
      <c r="A28" s="3" t="str">
        <f>IFERROR(__xludf.DUMMYFUNCTION("""COMPUTED_VALUE"""),"2023-06-06")</f>
        <v>2023-06-06</v>
      </c>
      <c r="B28" s="3" t="str">
        <f>IFERROR(__xludf.DUMMYFUNCTION("""COMPUTED_VALUE"""),"BI-FAST DB")</f>
        <v>BI-FAST DB</v>
      </c>
      <c r="C28" s="3" t="str">
        <f>IFERROR(__xludf.DUMMYFUNCTION("""COMPUTED_VALUE"""),"BIF TRANSFER KE 2 FAJAR ANDREANZAH M-BCA")</f>
        <v>BIF TRANSFER KE 2 FAJAR ANDREANZAH M-BCA</v>
      </c>
      <c r="D28" s="3">
        <f>IFERROR(__xludf.DUMMYFUNCTION("""COMPUTED_VALUE"""),3643980.0)</f>
        <v>3643980</v>
      </c>
      <c r="E28" s="3"/>
      <c r="F28" s="3" t="str">
        <f>IFERROR(__xludf.DUMMYFUNCTION("""COMPUTED_VALUE"""),"DB")</f>
        <v>DB</v>
      </c>
      <c r="G28" s="3">
        <f>IFERROR(__xludf.DUMMYFUNCTION("""COMPUTED_VALUE"""),1.8236989076E8)</f>
        <v>182369890.8</v>
      </c>
      <c r="H28" s="3"/>
      <c r="I28" s="3" t="str">
        <f>IFERROR(__xludf.DUMMYFUNCTION("""COMPUTED_VALUE"""),"EXSPEDISI")</f>
        <v>EXSPEDISI</v>
      </c>
    </row>
    <row r="29">
      <c r="A29" s="3" t="str">
        <f>IFERROR(__xludf.DUMMYFUNCTION("""COMPUTED_VALUE"""),"2023-06-06")</f>
        <v>2023-06-06</v>
      </c>
      <c r="B29" s="3" t="str">
        <f>IFERROR(__xludf.DUMMYFUNCTION("""COMPUTED_VALUE"""),"BI-FAST DB")</f>
        <v>BI-FAST DB</v>
      </c>
      <c r="C29" s="3" t="str">
        <f>IFERROR(__xludf.DUMMYFUNCTION("""COMPUTED_VALUE"""),"BIF BIAYA TXN KE 2 FAJAR ANDREANZAH M-BCA")</f>
        <v>BIF BIAYA TXN KE 2 FAJAR ANDREANZAH M-BCA</v>
      </c>
      <c r="D29" s="3">
        <f>IFERROR(__xludf.DUMMYFUNCTION("""COMPUTED_VALUE"""),2500.0)</f>
        <v>2500</v>
      </c>
      <c r="E29" s="3"/>
      <c r="F29" s="3" t="str">
        <f>IFERROR(__xludf.DUMMYFUNCTION("""COMPUTED_VALUE"""),"DB")</f>
        <v>DB</v>
      </c>
      <c r="G29" s="3">
        <f>IFERROR(__xludf.DUMMYFUNCTION("""COMPUTED_VALUE"""),1.8236739076E8)</f>
        <v>182367390.8</v>
      </c>
      <c r="H29" s="3"/>
      <c r="I29" s="3" t="str">
        <f>IFERROR(__xludf.DUMMYFUNCTION("""COMPUTED_VALUE"""),"EXSPEDISI")</f>
        <v>EXSPEDISI</v>
      </c>
    </row>
    <row r="30">
      <c r="A30" s="3" t="str">
        <f>IFERROR(__xludf.DUMMYFUNCTION("""COMPUTED_VALUE"""),"2023-06-06")</f>
        <v>2023-06-06</v>
      </c>
      <c r="B30" s="3" t="str">
        <f>IFERROR(__xludf.DUMMYFUNCTION("""COMPUTED_VALUE"""),"TRSF E-BANKING DB")</f>
        <v>TRSF E-BANKING DB</v>
      </c>
      <c r="C30" s="3" t="str">
        <f>IFERROR(__xludf.DUMMYFUNCTION("""COMPUTED_VALUE"""),"1006/FTSCY/WS95031 1311100.00 HERMAWAN")</f>
        <v>1006/FTSCY/WS95031 1311100.00 HERMAWAN</v>
      </c>
      <c r="D30" s="3">
        <f>IFERROR(__xludf.DUMMYFUNCTION("""COMPUTED_VALUE"""),1311100.0)</f>
        <v>1311100</v>
      </c>
      <c r="E30" s="3"/>
      <c r="F30" s="3" t="str">
        <f>IFERROR(__xludf.DUMMYFUNCTION("""COMPUTED_VALUE"""),"DB")</f>
        <v>DB</v>
      </c>
      <c r="G30" s="3">
        <f>IFERROR(__xludf.DUMMYFUNCTION("""COMPUTED_VALUE"""),1.8105629076E8)</f>
        <v>181056290.8</v>
      </c>
      <c r="H30" s="3"/>
      <c r="I30" s="3" t="str">
        <f>IFERROR(__xludf.DUMMYFUNCTION("""COMPUTED_VALUE"""),"EXSPEDISI")</f>
        <v>EXSPEDISI</v>
      </c>
    </row>
    <row r="31">
      <c r="A31" s="3" t="str">
        <f>IFERROR(__xludf.DUMMYFUNCTION("""COMPUTED_VALUE"""),"2023-06-06")</f>
        <v>2023-06-06</v>
      </c>
      <c r="B31" s="3" t="str">
        <f>IFERROR(__xludf.DUMMYFUNCTION("""COMPUTED_VALUE"""),"TRSF E-BANKING DB")</f>
        <v>TRSF E-BANKING DB</v>
      </c>
      <c r="C31" s="3" t="str">
        <f>IFERROR(__xludf.DUMMYFUNCTION("""COMPUTED_VALUE"""),"1006/FTSCY/WS95031 250000.00 HERMAWAN")</f>
        <v>1006/FTSCY/WS95031 250000.00 HERMAWAN</v>
      </c>
      <c r="D31" s="3">
        <f>IFERROR(__xludf.DUMMYFUNCTION("""COMPUTED_VALUE"""),250000.0)</f>
        <v>250000</v>
      </c>
      <c r="E31" s="3"/>
      <c r="F31" s="3" t="str">
        <f>IFERROR(__xludf.DUMMYFUNCTION("""COMPUTED_VALUE"""),"DB")</f>
        <v>DB</v>
      </c>
      <c r="G31" s="3">
        <f>IFERROR(__xludf.DUMMYFUNCTION("""COMPUTED_VALUE"""),1.8080629076E8)</f>
        <v>180806290.8</v>
      </c>
      <c r="H31" s="3"/>
      <c r="I31" s="3" t="str">
        <f>IFERROR(__xludf.DUMMYFUNCTION("""COMPUTED_VALUE"""),"EXSPEDISI")</f>
        <v>EXSPEDISI</v>
      </c>
    </row>
    <row r="32">
      <c r="A32" s="3" t="str">
        <f>IFERROR(__xludf.DUMMYFUNCTION("""COMPUTED_VALUE"""),"2023-06-06")</f>
        <v>2023-06-06</v>
      </c>
      <c r="B32" s="3" t="str">
        <f>IFERROR(__xludf.DUMMYFUNCTION("""COMPUTED_VALUE"""),"TRSF E-BANKING DB")</f>
        <v>TRSF E-BANKING DB</v>
      </c>
      <c r="C32" s="3" t="str">
        <f>IFERROR(__xludf.DUMMYFUNCTION("""COMPUTED_VALUE"""),"1006/FTSCY/WS95031 15429400.00 krg 80 jt EKO SETIYAWAN")</f>
        <v>1006/FTSCY/WS95031 15429400.00 krg 80 jt EKO SETIYAWAN</v>
      </c>
      <c r="D32" s="3">
        <f>IFERROR(__xludf.DUMMYFUNCTION("""COMPUTED_VALUE"""),1.54294E7)</f>
        <v>15429400</v>
      </c>
      <c r="E32" s="3"/>
      <c r="F32" s="3" t="str">
        <f>IFERROR(__xludf.DUMMYFUNCTION("""COMPUTED_VALUE"""),"DB")</f>
        <v>DB</v>
      </c>
      <c r="G32" s="3">
        <f>IFERROR(__xludf.DUMMYFUNCTION("""COMPUTED_VALUE"""),3.812229075999999E7)</f>
        <v>38122290.76</v>
      </c>
      <c r="H32" s="3"/>
      <c r="I32" s="3" t="str">
        <f>IFERROR(__xludf.DUMMYFUNCTION("""COMPUTED_VALUE"""),"EXSPEDISI")</f>
        <v>EXSPEDISI</v>
      </c>
    </row>
    <row r="33">
      <c r="A33" s="3" t="str">
        <f>IFERROR(__xludf.DUMMYFUNCTION("""COMPUTED_VALUE"""),"2023-13-13")</f>
        <v>2023-13-13</v>
      </c>
      <c r="B33" s="3" t="str">
        <f>IFERROR(__xludf.DUMMYFUNCTION("""COMPUTED_VALUE"""),"TRSF E-BANKING DB")</f>
        <v>TRSF E-BANKING DB</v>
      </c>
      <c r="C33" s="3" t="str">
        <f>IFERROR(__xludf.DUMMYFUNCTION("""COMPUTED_VALUE"""),"1306/FTSCY/WS95031 28355200 krg70 jt EKO SETIYAWAN")</f>
        <v>1306/FTSCY/WS95031 28355200 krg70 jt EKO SETIYAWAN</v>
      </c>
      <c r="D33" s="3">
        <f>IFERROR(__xludf.DUMMYFUNCTION("""COMPUTED_VALUE"""),2.83552E7)</f>
        <v>28355200</v>
      </c>
      <c r="E33" s="3"/>
      <c r="F33" s="3" t="str">
        <f>IFERROR(__xludf.DUMMYFUNCTION("""COMPUTED_VALUE"""),"DB")</f>
        <v>DB</v>
      </c>
      <c r="G33" s="3">
        <f>IFERROR(__xludf.DUMMYFUNCTION("""COMPUTED_VALUE"""),2.0916282076E8)</f>
        <v>209162820.8</v>
      </c>
      <c r="H33" s="3"/>
      <c r="I33" s="3" t="str">
        <f>IFERROR(__xludf.DUMMYFUNCTION("""COMPUTED_VALUE"""),"EXSPEDISI")</f>
        <v>EXSPEDISI</v>
      </c>
    </row>
    <row r="34">
      <c r="A34" s="3" t="str">
        <f>IFERROR(__xludf.DUMMYFUNCTION("""COMPUTED_VALUE"""),"2023-13-13")</f>
        <v>2023-13-13</v>
      </c>
      <c r="B34" s="3" t="str">
        <f>IFERROR(__xludf.DUMMYFUNCTION("""COMPUTED_VALUE"""),"TRSF E-BANKING DB")</f>
        <v>TRSF E-BANKING DB</v>
      </c>
      <c r="C34" s="3" t="str">
        <f>IFERROR(__xludf.DUMMYFUNCTION("""COMPUTED_VALUE"""),"1306/FTSCY/WS95271 3250000 HERMAWAN")</f>
        <v>1306/FTSCY/WS95271 3250000 HERMAWAN</v>
      </c>
      <c r="D34" s="3">
        <f>IFERROR(__xludf.DUMMYFUNCTION("""COMPUTED_VALUE"""),3250000.0)</f>
        <v>3250000</v>
      </c>
      <c r="E34" s="3"/>
      <c r="F34" s="3" t="str">
        <f>IFERROR(__xludf.DUMMYFUNCTION("""COMPUTED_VALUE"""),"DB")</f>
        <v>DB</v>
      </c>
      <c r="G34" s="3">
        <f>IFERROR(__xludf.DUMMYFUNCTION("""COMPUTED_VALUE"""),4.255382075999999E7)</f>
        <v>42553820.76</v>
      </c>
      <c r="H34" s="3"/>
      <c r="I34" s="3" t="str">
        <f>IFERROR(__xludf.DUMMYFUNCTION("""COMPUTED_VALUE"""),"EXSPEDISI")</f>
        <v>EXSPEDISI</v>
      </c>
    </row>
    <row r="35">
      <c r="A35" s="3" t="str">
        <f>IFERROR(__xludf.DUMMYFUNCTION("""COMPUTED_VALUE"""),"2023-13-13")</f>
        <v>2023-13-13</v>
      </c>
      <c r="B35" s="3" t="str">
        <f>IFERROR(__xludf.DUMMYFUNCTION("""COMPUTED_VALUE"""),"TRSF E-BANKING DB")</f>
        <v>TRSF E-BANKING DB</v>
      </c>
      <c r="C35" s="3" t="str">
        <f>IFERROR(__xludf.DUMMYFUNCTION("""COMPUTED_VALUE"""),"1306/FTSCY/WS95031 500000 tot. bon 2 jt SUPRIYADI")</f>
        <v>1306/FTSCY/WS95031 500000 tot. bon 2 jt SUPRIYADI</v>
      </c>
      <c r="D35" s="3">
        <f>IFERROR(__xludf.DUMMYFUNCTION("""COMPUTED_VALUE"""),500000.0)</f>
        <v>500000</v>
      </c>
      <c r="E35" s="3"/>
      <c r="F35" s="3" t="str">
        <f>IFERROR(__xludf.DUMMYFUNCTION("""COMPUTED_VALUE"""),"DB")</f>
        <v>DB</v>
      </c>
      <c r="G35" s="3">
        <f>IFERROR(__xludf.DUMMYFUNCTION("""COMPUTED_VALUE"""),2.5107259076E8)</f>
        <v>251072590.8</v>
      </c>
      <c r="H35" s="3"/>
      <c r="I35" s="3" t="str">
        <f>IFERROR(__xludf.DUMMYFUNCTION("""COMPUTED_VALUE"""),"EXSPEDISI")</f>
        <v>EXSPEDISI</v>
      </c>
    </row>
    <row r="36">
      <c r="A36" s="3" t="str">
        <f>IFERROR(__xludf.DUMMYFUNCTION("""COMPUTED_VALUE"""),"2023-14-14")</f>
        <v>2023-14-14</v>
      </c>
      <c r="B36" s="3" t="str">
        <f>IFERROR(__xludf.DUMMYFUNCTION("""COMPUTED_VALUE"""),"TRSF E-BANKING DB")</f>
        <v>TRSF E-BANKING DB</v>
      </c>
      <c r="C36" s="3" t="str">
        <f>IFERROR(__xludf.DUMMYFUNCTION("""COMPUTED_VALUE"""),"1406/FTSCY/WS95031 2629000 DIANA NOVITA")</f>
        <v>1406/FTSCY/WS95031 2629000 DIANA NOVITA</v>
      </c>
      <c r="D36" s="3">
        <f>IFERROR(__xludf.DUMMYFUNCTION("""COMPUTED_VALUE"""),2629000.0)</f>
        <v>2629000</v>
      </c>
      <c r="E36" s="3"/>
      <c r="F36" s="3" t="str">
        <f>IFERROR(__xludf.DUMMYFUNCTION("""COMPUTED_VALUE"""),"DB")</f>
        <v>DB</v>
      </c>
      <c r="G36" s="3">
        <f>IFERROR(__xludf.DUMMYFUNCTION("""COMPUTED_VALUE"""),3.883125075999999E7)</f>
        <v>38831250.76</v>
      </c>
      <c r="H36" s="3"/>
      <c r="I36" s="3" t="str">
        <f>IFERROR(__xludf.DUMMYFUNCTION("""COMPUTED_VALUE"""),"EXSPEDISI")</f>
        <v>EXSPEDISI</v>
      </c>
    </row>
    <row r="37">
      <c r="A37" s="3" t="str">
        <f>IFERROR(__xludf.DUMMYFUNCTION("""COMPUTED_VALUE"""),"2023-14-14")</f>
        <v>2023-14-14</v>
      </c>
      <c r="B37" s="3" t="str">
        <f>IFERROR(__xludf.DUMMYFUNCTION("""COMPUTED_VALUE"""),"TRSF E-BANKING DB")</f>
        <v>TRSF E-BANKING DB</v>
      </c>
      <c r="C37" s="3" t="str">
        <f>IFERROR(__xludf.DUMMYFUNCTION("""COMPUTED_VALUE"""),"1406/FTSCY/WS95031 28159000 krg 50 jt EKO SETIYAWAN")</f>
        <v>1406/FTSCY/WS95031 28159000 krg 50 jt EKO SETIYAWAN</v>
      </c>
      <c r="D37" s="3">
        <f>IFERROR(__xludf.DUMMYFUNCTION("""COMPUTED_VALUE"""),2.8159E7)</f>
        <v>28159000</v>
      </c>
      <c r="E37" s="3"/>
      <c r="F37" s="3" t="str">
        <f>IFERROR(__xludf.DUMMYFUNCTION("""COMPUTED_VALUE"""),"DB")</f>
        <v>DB</v>
      </c>
      <c r="G37" s="3">
        <f>IFERROR(__xludf.DUMMYFUNCTION("""COMPUTED_VALUE"""),1.0475602075999999E8)</f>
        <v>104756020.8</v>
      </c>
      <c r="H37" s="3"/>
      <c r="I37" s="3" t="str">
        <f>IFERROR(__xludf.DUMMYFUNCTION("""COMPUTED_VALUE"""),"EXSPEDISI")</f>
        <v>EXSPEDISI</v>
      </c>
    </row>
    <row r="38">
      <c r="A38" s="3" t="str">
        <f>IFERROR(__xludf.DUMMYFUNCTION("""COMPUTED_VALUE"""),"2023-14-14")</f>
        <v>2023-14-14</v>
      </c>
      <c r="B38" s="3" t="str">
        <f>IFERROR(__xludf.DUMMYFUNCTION("""COMPUTED_VALUE"""),"TRSF E-BANKING DB")</f>
        <v>TRSF E-BANKING DB</v>
      </c>
      <c r="C38" s="3" t="str">
        <f>IFERROR(__xludf.DUMMYFUNCTION("""COMPUTED_VALUE"""),"1406/FTSCY/WS95031 2485110 HERMAWAN")</f>
        <v>1406/FTSCY/WS95031 2485110 HERMAWAN</v>
      </c>
      <c r="D38" s="3">
        <f>IFERROR(__xludf.DUMMYFUNCTION("""COMPUTED_VALUE"""),2485110.0)</f>
        <v>2485110</v>
      </c>
      <c r="E38" s="3"/>
      <c r="F38" s="3" t="str">
        <f>IFERROR(__xludf.DUMMYFUNCTION("""COMPUTED_VALUE"""),"DB")</f>
        <v>DB</v>
      </c>
      <c r="G38" s="3">
        <f>IFERROR(__xludf.DUMMYFUNCTION("""COMPUTED_VALUE"""),1.0227091075999999E8)</f>
        <v>102270910.8</v>
      </c>
      <c r="H38" s="3"/>
      <c r="I38" s="3" t="str">
        <f>IFERROR(__xludf.DUMMYFUNCTION("""COMPUTED_VALUE"""),"EXSPEDISI")</f>
        <v>EXSPEDISI</v>
      </c>
    </row>
    <row r="39">
      <c r="A39" s="3" t="str">
        <f>IFERROR(__xludf.DUMMYFUNCTION("""COMPUTED_VALUE"""),"2023-06-14")</f>
        <v>2023-06-14</v>
      </c>
      <c r="B39" s="3" t="str">
        <f>IFERROR(__xludf.DUMMYFUNCTION("""COMPUTED_VALUE"""),"TRSF E-BANKING DB")</f>
        <v>TRSF E-BANKING DB</v>
      </c>
      <c r="C39" s="3" t="str">
        <f>IFERROR(__xludf.DUMMYFUNCTION("""COMPUTED_VALUE"""),"1406/FTSCY/WS95271 1576900.00 sisa bon 1 jt SUPRIYADI")</f>
        <v>1406/FTSCY/WS95271 1576900.00 sisa bon 1 jt SUPRIYADI</v>
      </c>
      <c r="D39" s="3">
        <f>IFERROR(__xludf.DUMMYFUNCTION("""COMPUTED_VALUE"""),1576900.0)</f>
        <v>1576900</v>
      </c>
      <c r="E39" s="3"/>
      <c r="F39" s="3" t="str">
        <f>IFERROR(__xludf.DUMMYFUNCTION("""COMPUTED_VALUE"""),"DB")</f>
        <v>DB</v>
      </c>
      <c r="G39" s="3">
        <f>IFERROR(__xludf.DUMMYFUNCTION("""COMPUTED_VALUE"""),2.2733997076E8)</f>
        <v>227339970.8</v>
      </c>
      <c r="H39" s="3"/>
      <c r="I39" s="3" t="str">
        <f>IFERROR(__xludf.DUMMYFUNCTION("""COMPUTED_VALUE"""),"EXSPEDISI")</f>
        <v>EXSPEDISI</v>
      </c>
    </row>
    <row r="40">
      <c r="A40" s="3" t="str">
        <f>IFERROR(__xludf.DUMMYFUNCTION("""COMPUTED_VALUE"""),"2023-06-15")</f>
        <v>2023-06-15</v>
      </c>
      <c r="B40" s="3" t="str">
        <f>IFERROR(__xludf.DUMMYFUNCTION("""COMPUTED_VALUE"""),"TRSF E-BANKING DB")</f>
        <v>TRSF E-BANKING DB</v>
      </c>
      <c r="C40" s="3" t="str">
        <f>IFERROR(__xludf.DUMMYFUNCTION("""COMPUTED_VALUE"""),"1506/FTSCY/WS95031 3014800.00 bwi DIANA NOVITA")</f>
        <v>1506/FTSCY/WS95031 3014800.00 bwi DIANA NOVITA</v>
      </c>
      <c r="D40" s="3">
        <f>IFERROR(__xludf.DUMMYFUNCTION("""COMPUTED_VALUE"""),3014800.0)</f>
        <v>3014800</v>
      </c>
      <c r="E40" s="3"/>
      <c r="F40" s="3" t="str">
        <f>IFERROR(__xludf.DUMMYFUNCTION("""COMPUTED_VALUE"""),"DB")</f>
        <v>DB</v>
      </c>
      <c r="G40" s="3">
        <f>IFERROR(__xludf.DUMMYFUNCTION("""COMPUTED_VALUE"""),7.101700075999999E7)</f>
        <v>71017000.76</v>
      </c>
      <c r="H40" s="3"/>
      <c r="I40" s="3" t="str">
        <f>IFERROR(__xludf.DUMMYFUNCTION("""COMPUTED_VALUE"""),"EXSPEDISI")</f>
        <v>EXSPEDISI</v>
      </c>
    </row>
    <row r="41">
      <c r="A41" s="3" t="str">
        <f>IFERROR(__xludf.DUMMYFUNCTION("""COMPUTED_VALUE"""),"2023-06-15")</f>
        <v>2023-06-15</v>
      </c>
      <c r="B41" s="3" t="str">
        <f>IFERROR(__xludf.DUMMYFUNCTION("""COMPUTED_VALUE"""),"TRSF E-BANKING DB")</f>
        <v>TRSF E-BANKING DB</v>
      </c>
      <c r="C41" s="3" t="str">
        <f>IFERROR(__xludf.DUMMYFUNCTION("""COMPUTED_VALUE"""),"1506/FTSCY/WS95031 1616060.00 SUPRIYADI")</f>
        <v>1506/FTSCY/WS95031 1616060.00 SUPRIYADI</v>
      </c>
      <c r="D41" s="3">
        <f>IFERROR(__xludf.DUMMYFUNCTION("""COMPUTED_VALUE"""),1616060.0)</f>
        <v>1616060</v>
      </c>
      <c r="E41" s="3"/>
      <c r="F41" s="3" t="str">
        <f>IFERROR(__xludf.DUMMYFUNCTION("""COMPUTED_VALUE"""),"DB")</f>
        <v>DB</v>
      </c>
      <c r="G41" s="3">
        <f>IFERROR(__xludf.DUMMYFUNCTION("""COMPUTED_VALUE"""),6.940094075999999E7)</f>
        <v>69400940.76</v>
      </c>
      <c r="H41" s="3"/>
      <c r="I41" s="3" t="str">
        <f>IFERROR(__xludf.DUMMYFUNCTION("""COMPUTED_VALUE"""),"EXSPEDISI")</f>
        <v>EXSPEDISI</v>
      </c>
    </row>
    <row r="42">
      <c r="A42" s="3" t="str">
        <f>IFERROR(__xludf.DUMMYFUNCTION("""COMPUTED_VALUE"""),"2023-06-16")</f>
        <v>2023-06-16</v>
      </c>
      <c r="B42" s="3" t="str">
        <f>IFERROR(__xludf.DUMMYFUNCTION("""COMPUTED_VALUE"""),"BI-FAST DB TANGGAL :15/06")</f>
        <v>BI-FAST DB TANGGAL :15/06</v>
      </c>
      <c r="C42" s="3" t="str">
        <f>IFERROR(__xludf.DUMMYFUNCTION("""COMPUTED_VALUE"""),"BIF TRANSFER KE FAJAR ANDREANZAH M-BCA")</f>
        <v>BIF TRANSFER KE FAJAR ANDREANZAH M-BCA</v>
      </c>
      <c r="D42" s="3">
        <f>IFERROR(__xludf.DUMMYFUNCTION("""COMPUTED_VALUE"""),1816800.0)</f>
        <v>1816800</v>
      </c>
      <c r="E42" s="3"/>
      <c r="F42" s="3" t="str">
        <f>IFERROR(__xludf.DUMMYFUNCTION("""COMPUTED_VALUE"""),"DB")</f>
        <v>DB</v>
      </c>
      <c r="G42" s="3">
        <f>IFERROR(__xludf.DUMMYFUNCTION("""COMPUTED_VALUE"""),4143960.7599999905)</f>
        <v>4143960.76</v>
      </c>
      <c r="H42" s="3">
        <f>IFERROR(__xludf.DUMMYFUNCTION("""COMPUTED_VALUE"""),4143960.76)</f>
        <v>4143960.76</v>
      </c>
      <c r="I42" s="3" t="str">
        <f>IFERROR(__xludf.DUMMYFUNCTION("""COMPUTED_VALUE"""),"EXSPEDISI")</f>
        <v>EXSPEDISI</v>
      </c>
    </row>
    <row r="43">
      <c r="A43" s="3" t="str">
        <f>IFERROR(__xludf.DUMMYFUNCTION("""COMPUTED_VALUE"""),"2023-06-16")</f>
        <v>2023-06-16</v>
      </c>
      <c r="B43" s="3" t="str">
        <f>IFERROR(__xludf.DUMMYFUNCTION("""COMPUTED_VALUE"""),"BI-FAST DB TANGGAL :15/06")</f>
        <v>BI-FAST DB TANGGAL :15/06</v>
      </c>
      <c r="C43" s="3" t="str">
        <f>IFERROR(__xludf.DUMMYFUNCTION("""COMPUTED_VALUE"""),"BIF BIAYA TXN KE FAJAR ANDREANZAH M-BCA")</f>
        <v>BIF BIAYA TXN KE FAJAR ANDREANZAH M-BCA</v>
      </c>
      <c r="D43" s="3">
        <f>IFERROR(__xludf.DUMMYFUNCTION("""COMPUTED_VALUE"""),2500.0)</f>
        <v>2500</v>
      </c>
      <c r="E43" s="3"/>
      <c r="F43" s="3" t="str">
        <f>IFERROR(__xludf.DUMMYFUNCTION("""COMPUTED_VALUE"""),"DB")</f>
        <v>DB</v>
      </c>
      <c r="G43" s="3">
        <f>IFERROR(__xludf.DUMMYFUNCTION("""COMPUTED_VALUE"""),4141460.7599999905)</f>
        <v>4141460.76</v>
      </c>
      <c r="H43" s="3">
        <f>IFERROR(__xludf.DUMMYFUNCTION("""COMPUTED_VALUE"""),4141460.76)</f>
        <v>4141460.76</v>
      </c>
      <c r="I43" s="3" t="str">
        <f>IFERROR(__xludf.DUMMYFUNCTION("""COMPUTED_VALUE"""),"EXSPEDISI")</f>
        <v>EXSPEDISI</v>
      </c>
    </row>
    <row r="44">
      <c r="A44" s="3" t="str">
        <f>IFERROR(__xludf.DUMMYFUNCTION("""COMPUTED_VALUE"""),"2023-06-16")</f>
        <v>2023-06-16</v>
      </c>
      <c r="B44" s="3" t="str">
        <f>IFERROR(__xludf.DUMMYFUNCTION("""COMPUTED_VALUE"""),"TRSF E-BANKING DB TANGGAL :15/06")</f>
        <v>TRSF E-BANKING DB TANGGAL :15/06</v>
      </c>
      <c r="C44" s="3" t="str">
        <f>IFERROR(__xludf.DUMMYFUNCTION("""COMPUTED_VALUE"""),"1506/FTSCY/WS95031 jombang HERMAWAN")</f>
        <v>1506/FTSCY/WS95031 jombang HERMAWAN</v>
      </c>
      <c r="D44" s="3">
        <f>IFERROR(__xludf.DUMMYFUNCTION("""COMPUTED_VALUE"""),3826160.0)</f>
        <v>3826160</v>
      </c>
      <c r="E44" s="3"/>
      <c r="F44" s="3" t="str">
        <f>IFERROR(__xludf.DUMMYFUNCTION("""COMPUTED_VALUE"""),"DB")</f>
        <v>DB</v>
      </c>
      <c r="G44" s="3">
        <f>IFERROR(__xludf.DUMMYFUNCTION("""COMPUTED_VALUE"""),315300.75999999046)</f>
        <v>315300.76</v>
      </c>
      <c r="H44" s="3"/>
      <c r="I44" s="3" t="str">
        <f>IFERROR(__xludf.DUMMYFUNCTION("""COMPUTED_VALUE"""),"EXSPEDISI")</f>
        <v>EXSPEDISI</v>
      </c>
    </row>
    <row r="45">
      <c r="A45" s="3" t="str">
        <f>IFERROR(__xludf.DUMMYFUNCTION("""COMPUTED_VALUE"""),"2023-06-16")</f>
        <v>2023-06-16</v>
      </c>
      <c r="B45" s="3" t="str">
        <f>IFERROR(__xludf.DUMMYFUNCTION("""COMPUTED_VALUE"""),"TRSF E-BANKING DB")</f>
        <v>TRSF E-BANKING DB</v>
      </c>
      <c r="C45" s="3" t="str">
        <f>IFERROR(__xludf.DUMMYFUNCTION("""COMPUTED_VALUE"""),"1606/FTSCY/WS95031 1000000.00 bon 2 jt SUPRIYADI")</f>
        <v>1606/FTSCY/WS95031 1000000.00 bon 2 jt SUPRIYADI</v>
      </c>
      <c r="D45" s="3">
        <f>IFERROR(__xludf.DUMMYFUNCTION("""COMPUTED_VALUE"""),1000000.0)</f>
        <v>1000000</v>
      </c>
      <c r="E45" s="3"/>
      <c r="F45" s="3" t="str">
        <f>IFERROR(__xludf.DUMMYFUNCTION("""COMPUTED_VALUE"""),"DB")</f>
        <v>DB</v>
      </c>
      <c r="G45" s="3">
        <f>IFERROR(__xludf.DUMMYFUNCTION("""COMPUTED_VALUE"""),2.1772778076E8)</f>
        <v>217727780.8</v>
      </c>
      <c r="H45" s="3"/>
      <c r="I45" s="3" t="str">
        <f>IFERROR(__xludf.DUMMYFUNCTION("""COMPUTED_VALUE"""),"EXSPEDISI")</f>
        <v>EXSPEDISI</v>
      </c>
    </row>
    <row r="46">
      <c r="A46" s="3" t="str">
        <f>IFERROR(__xludf.DUMMYFUNCTION("""COMPUTED_VALUE"""),"2023-06-17")</f>
        <v>2023-06-17</v>
      </c>
      <c r="B46" s="3" t="str">
        <f>IFERROR(__xludf.DUMMYFUNCTION("""COMPUTED_VALUE"""),"TRSF E-BANKING DB")</f>
        <v>TRSF E-BANKING DB</v>
      </c>
      <c r="C46" s="3" t="str">
        <f>IFERROR(__xludf.DUMMYFUNCTION("""COMPUTED_VALUE"""),"1706/FTSCY/WS95031 924220.00 jbr DIANA NOVITA")</f>
        <v>1706/FTSCY/WS95031 924220.00 jbr DIANA NOVITA</v>
      </c>
      <c r="D46" s="3">
        <f>IFERROR(__xludf.DUMMYFUNCTION("""COMPUTED_VALUE"""),924220.0)</f>
        <v>924220</v>
      </c>
      <c r="E46" s="3"/>
      <c r="F46" s="3" t="str">
        <f>IFERROR(__xludf.DUMMYFUNCTION("""COMPUTED_VALUE"""),"DB")</f>
        <v>DB</v>
      </c>
      <c r="G46" s="3">
        <f>IFERROR(__xludf.DUMMYFUNCTION("""COMPUTED_VALUE"""),4.509366075999999E7)</f>
        <v>45093660.76</v>
      </c>
      <c r="H46" s="3"/>
      <c r="I46" s="3" t="str">
        <f>IFERROR(__xludf.DUMMYFUNCTION("""COMPUTED_VALUE"""),"EXSPEDISI")</f>
        <v>EXSPEDISI</v>
      </c>
    </row>
    <row r="47">
      <c r="A47" s="3" t="str">
        <f>IFERROR(__xludf.DUMMYFUNCTION("""COMPUTED_VALUE"""),"2023-06-17")</f>
        <v>2023-06-17</v>
      </c>
      <c r="B47" s="3" t="str">
        <f>IFERROR(__xludf.DUMMYFUNCTION("""COMPUTED_VALUE"""),"TRSF E-BANKING DB")</f>
        <v>TRSF E-BANKING DB</v>
      </c>
      <c r="C47" s="3" t="str">
        <f>IFERROR(__xludf.DUMMYFUNCTION("""COMPUTED_VALUE"""),"1706/FTSCY/WS95031 2269500.00 HERMAWAN")</f>
        <v>1706/FTSCY/WS95031 2269500.00 HERMAWAN</v>
      </c>
      <c r="D47" s="3">
        <f>IFERROR(__xludf.DUMMYFUNCTION("""COMPUTED_VALUE"""),2269500.0)</f>
        <v>2269500</v>
      </c>
      <c r="E47" s="3"/>
      <c r="F47" s="3" t="str">
        <f>IFERROR(__xludf.DUMMYFUNCTION("""COMPUTED_VALUE"""),"DB")</f>
        <v>DB</v>
      </c>
      <c r="G47" s="3">
        <f>IFERROR(__xludf.DUMMYFUNCTION("""COMPUTED_VALUE"""),4.282416075999999E7)</f>
        <v>42824160.76</v>
      </c>
      <c r="H47" s="3"/>
      <c r="I47" s="3" t="str">
        <f>IFERROR(__xludf.DUMMYFUNCTION("""COMPUTED_VALUE"""),"EXSPEDISI")</f>
        <v>EXSPEDISI</v>
      </c>
    </row>
    <row r="48">
      <c r="A48" s="3" t="str">
        <f>IFERROR(__xludf.DUMMYFUNCTION("""COMPUTED_VALUE"""),"2023-06-17")</f>
        <v>2023-06-17</v>
      </c>
      <c r="B48" s="3" t="str">
        <f>IFERROR(__xludf.DUMMYFUNCTION("""COMPUTED_VALUE"""),"TRSF E-BANKING DB")</f>
        <v>TRSF E-BANKING DB</v>
      </c>
      <c r="C48" s="3" t="str">
        <f>IFERROR(__xludf.DUMMYFUNCTION("""COMPUTED_VALUE"""),"1706/FTSCY/WS95271 50000000.00 krg 30 jt EKO SETIYAWAN")</f>
        <v>1706/FTSCY/WS95271 50000000.00 krg 30 jt EKO SETIYAWAN</v>
      </c>
      <c r="D48" s="3">
        <f>IFERROR(__xludf.DUMMYFUNCTION("""COMPUTED_VALUE"""),5.0E7)</f>
        <v>50000000</v>
      </c>
      <c r="E48" s="3"/>
      <c r="F48" s="3" t="str">
        <f>IFERROR(__xludf.DUMMYFUNCTION("""COMPUTED_VALUE"""),"DB")</f>
        <v>DB</v>
      </c>
      <c r="G48" s="3">
        <f>IFERROR(__xludf.DUMMYFUNCTION("""COMPUTED_VALUE"""),2.8887665076E8)</f>
        <v>288876650.8</v>
      </c>
      <c r="H48" s="3"/>
      <c r="I48" s="3" t="str">
        <f>IFERROR(__xludf.DUMMYFUNCTION("""COMPUTED_VALUE"""),"EXSPEDISI")</f>
        <v>EXSPEDISI</v>
      </c>
    </row>
    <row r="49">
      <c r="A49" s="3" t="str">
        <f>IFERROR(__xludf.DUMMYFUNCTION("""COMPUTED_VALUE"""),"2023-06-17")</f>
        <v>2023-06-17</v>
      </c>
      <c r="B49" s="3" t="str">
        <f>IFERROR(__xludf.DUMMYFUNCTION("""COMPUTED_VALUE"""),"BI-FAST DB")</f>
        <v>BI-FAST DB</v>
      </c>
      <c r="C49" s="3" t="str">
        <f>IFERROR(__xludf.DUMMYFUNCTION("""COMPUTED_VALUE"""),"BIF TRANSFER KE 2 FAJAR ANDREANZAH M-BCA")</f>
        <v>BIF TRANSFER KE 2 FAJAR ANDREANZAH M-BCA</v>
      </c>
      <c r="D49" s="3">
        <f>IFERROR(__xludf.DUMMYFUNCTION("""COMPUTED_VALUE"""),2156860.0)</f>
        <v>2156860</v>
      </c>
      <c r="E49" s="3"/>
      <c r="F49" s="3" t="str">
        <f>IFERROR(__xludf.DUMMYFUNCTION("""COMPUTED_VALUE"""),"DB")</f>
        <v>DB</v>
      </c>
      <c r="G49" s="3">
        <f>IFERROR(__xludf.DUMMYFUNCTION("""COMPUTED_VALUE"""),2.8671979076E8)</f>
        <v>286719790.8</v>
      </c>
      <c r="H49" s="3"/>
      <c r="I49" s="3" t="str">
        <f>IFERROR(__xludf.DUMMYFUNCTION("""COMPUTED_VALUE"""),"EXSPEDISI")</f>
        <v>EXSPEDISI</v>
      </c>
    </row>
    <row r="50">
      <c r="A50" s="3" t="str">
        <f>IFERROR(__xludf.DUMMYFUNCTION("""COMPUTED_VALUE"""),"2023-06-17")</f>
        <v>2023-06-17</v>
      </c>
      <c r="B50" s="3" t="str">
        <f>IFERROR(__xludf.DUMMYFUNCTION("""COMPUTED_VALUE"""),"BI-FAST DB")</f>
        <v>BI-FAST DB</v>
      </c>
      <c r="C50" s="3" t="str">
        <f>IFERROR(__xludf.DUMMYFUNCTION("""COMPUTED_VALUE"""),"BIF BIAYA TXN KE 2 FAJAR ANDREANZAH M-BCA")</f>
        <v>BIF BIAYA TXN KE 2 FAJAR ANDREANZAH M-BCA</v>
      </c>
      <c r="D50" s="3">
        <f>IFERROR(__xludf.DUMMYFUNCTION("""COMPUTED_VALUE"""),2500.0)</f>
        <v>2500</v>
      </c>
      <c r="E50" s="3"/>
      <c r="F50" s="3" t="str">
        <f>IFERROR(__xludf.DUMMYFUNCTION("""COMPUTED_VALUE"""),"DB")</f>
        <v>DB</v>
      </c>
      <c r="G50" s="3">
        <f>IFERROR(__xludf.DUMMYFUNCTION("""COMPUTED_VALUE"""),2.8671729076E8)</f>
        <v>286717290.8</v>
      </c>
      <c r="H50" s="3"/>
      <c r="I50" s="3" t="str">
        <f>IFERROR(__xludf.DUMMYFUNCTION("""COMPUTED_VALUE"""),"EXSPEDISI")</f>
        <v>EXSPEDISI</v>
      </c>
    </row>
    <row r="51">
      <c r="A51" s="3" t="str">
        <f>IFERROR(__xludf.DUMMYFUNCTION("""COMPUTED_VALUE"""),"2023-06-18")</f>
        <v>2023-06-18</v>
      </c>
      <c r="B51" s="3" t="str">
        <f>IFERROR(__xludf.DUMMYFUNCTION("""COMPUTED_VALUE"""),"TRSF E-BANKING DB")</f>
        <v>TRSF E-BANKING DB</v>
      </c>
      <c r="C51" s="3" t="str">
        <f>IFERROR(__xludf.DUMMYFUNCTION("""COMPUTED_VALUE"""),"1806/FTSCY/WS95031 2822840.00 jbr DIANA NOVITA")</f>
        <v>1806/FTSCY/WS95031 2822840.00 jbr DIANA NOVITA</v>
      </c>
      <c r="D51" s="3">
        <f>IFERROR(__xludf.DUMMYFUNCTION("""COMPUTED_VALUE"""),2822840.0)</f>
        <v>2822840</v>
      </c>
      <c r="E51" s="3"/>
      <c r="F51" s="3" t="str">
        <f>IFERROR(__xludf.DUMMYFUNCTION("""COMPUTED_VALUE"""),"DB")</f>
        <v>DB</v>
      </c>
      <c r="G51" s="3">
        <f>IFERROR(__xludf.DUMMYFUNCTION("""COMPUTED_VALUE"""),2.7849005076E8)</f>
        <v>278490050.8</v>
      </c>
      <c r="H51" s="3">
        <f>IFERROR(__xludf.DUMMYFUNCTION("""COMPUTED_VALUE"""),2.7849005076E8)</f>
        <v>278490050.8</v>
      </c>
      <c r="I51" s="3" t="str">
        <f>IFERROR(__xludf.DUMMYFUNCTION("""COMPUTED_VALUE"""),"EXSPEDISI")</f>
        <v>EXSPEDISI</v>
      </c>
    </row>
    <row r="52">
      <c r="A52" s="3" t="str">
        <f>IFERROR(__xludf.DUMMYFUNCTION("""COMPUTED_VALUE"""),"2023-06-18")</f>
        <v>2023-06-18</v>
      </c>
      <c r="B52" s="3" t="str">
        <f>IFERROR(__xludf.DUMMYFUNCTION("""COMPUTED_VALUE"""),"TRSF E-BANKING DB")</f>
        <v>TRSF E-BANKING DB</v>
      </c>
      <c r="C52" s="3" t="str">
        <f>IFERROR(__xludf.DUMMYFUNCTION("""COMPUTED_VALUE"""),"1806/FTSCY/WS95031 2000000.00 SUPRIYADI")</f>
        <v>1806/FTSCY/WS95031 2000000.00 SUPRIYADI</v>
      </c>
      <c r="D52" s="3">
        <f>IFERROR(__xludf.DUMMYFUNCTION("""COMPUTED_VALUE"""),2000000.0)</f>
        <v>2000000</v>
      </c>
      <c r="E52" s="3"/>
      <c r="F52" s="3" t="str">
        <f>IFERROR(__xludf.DUMMYFUNCTION("""COMPUTED_VALUE"""),"DB")</f>
        <v>DB</v>
      </c>
      <c r="G52" s="3">
        <f>IFERROR(__xludf.DUMMYFUNCTION("""COMPUTED_VALUE"""),3.6962608076E8)</f>
        <v>369626080.8</v>
      </c>
      <c r="H52" s="3"/>
      <c r="I52" s="3" t="str">
        <f>IFERROR(__xludf.DUMMYFUNCTION("""COMPUTED_VALUE"""),"EXSPEDISI")</f>
        <v>EXSPEDISI</v>
      </c>
    </row>
    <row r="53">
      <c r="A53" s="3" t="str">
        <f>IFERROR(__xludf.DUMMYFUNCTION("""COMPUTED_VALUE"""),"2023-06-18")</f>
        <v>2023-06-18</v>
      </c>
      <c r="B53" s="3" t="str">
        <f>IFERROR(__xludf.DUMMYFUNCTION("""COMPUTED_VALUE"""),"TRSF E-BANKING DB")</f>
        <v>TRSF E-BANKING DB</v>
      </c>
      <c r="C53" s="3" t="str">
        <f>IFERROR(__xludf.DUMMYFUNCTION("""COMPUTED_VALUE"""),"1806/FTSCY/WS95271 50000000.00 EKO SETIYAWAN")</f>
        <v>1806/FTSCY/WS95271 50000000.00 EKO SETIYAWAN</v>
      </c>
      <c r="D53" s="3">
        <f>IFERROR(__xludf.DUMMYFUNCTION("""COMPUTED_VALUE"""),5.0E7)</f>
        <v>50000000</v>
      </c>
      <c r="E53" s="3"/>
      <c r="F53" s="3" t="str">
        <f>IFERROR(__xludf.DUMMYFUNCTION("""COMPUTED_VALUE"""),"DB")</f>
        <v>DB</v>
      </c>
      <c r="G53" s="3">
        <f>IFERROR(__xludf.DUMMYFUNCTION("""COMPUTED_VALUE"""),1.0780168075999999E8)</f>
        <v>107801680.8</v>
      </c>
      <c r="H53" s="3"/>
      <c r="I53" s="3" t="str">
        <f>IFERROR(__xludf.DUMMYFUNCTION("""COMPUTED_VALUE"""),"EXSPEDISI")</f>
        <v>EXSPEDISI</v>
      </c>
    </row>
    <row r="54">
      <c r="A54" s="3" t="str">
        <f>IFERROR(__xludf.DUMMYFUNCTION("""COMPUTED_VALUE"""),"2023-06-18")</f>
        <v>2023-06-18</v>
      </c>
      <c r="B54" s="3" t="str">
        <f>IFERROR(__xludf.DUMMYFUNCTION("""COMPUTED_VALUE"""),"BI-FAST DB")</f>
        <v>BI-FAST DB</v>
      </c>
      <c r="C54" s="3" t="str">
        <f>IFERROR(__xludf.DUMMYFUNCTION("""COMPUTED_VALUE"""),"BIF TRANSFER KE 2 FAJAR ANDREANZAH M-BCA")</f>
        <v>BIF TRANSFER KE 2 FAJAR ANDREANZAH M-BCA</v>
      </c>
      <c r="D54" s="3">
        <f>IFERROR(__xludf.DUMMYFUNCTION("""COMPUTED_VALUE"""),1500000.0)</f>
        <v>1500000</v>
      </c>
      <c r="E54" s="3"/>
      <c r="F54" s="3" t="str">
        <f>IFERROR(__xludf.DUMMYFUNCTION("""COMPUTED_VALUE"""),"DB")</f>
        <v>DB</v>
      </c>
      <c r="G54" s="3">
        <f>IFERROR(__xludf.DUMMYFUNCTION("""COMPUTED_VALUE"""),3.514610075999999E7)</f>
        <v>35146100.76</v>
      </c>
      <c r="H54" s="3">
        <f>IFERROR(__xludf.DUMMYFUNCTION("""COMPUTED_VALUE"""),3.514610076E7)</f>
        <v>35146100.76</v>
      </c>
      <c r="I54" s="3" t="str">
        <f>IFERROR(__xludf.DUMMYFUNCTION("""COMPUTED_VALUE"""),"EXSPEDISI")</f>
        <v>EXSPEDISI</v>
      </c>
    </row>
    <row r="55">
      <c r="A55" s="3" t="str">
        <f>IFERROR(__xludf.DUMMYFUNCTION("""COMPUTED_VALUE"""),"2023-06-18")</f>
        <v>2023-06-18</v>
      </c>
      <c r="B55" s="3" t="str">
        <f>IFERROR(__xludf.DUMMYFUNCTION("""COMPUTED_VALUE"""),"BI-FAST DB")</f>
        <v>BI-FAST DB</v>
      </c>
      <c r="C55" s="3" t="str">
        <f>IFERROR(__xludf.DUMMYFUNCTION("""COMPUTED_VALUE"""),"BIF BIAYA TXN KE 2 FAJAR ANDREANZAH M-BCA")</f>
        <v>BIF BIAYA TXN KE 2 FAJAR ANDREANZAH M-BCA</v>
      </c>
      <c r="D55" s="3">
        <f>IFERROR(__xludf.DUMMYFUNCTION("""COMPUTED_VALUE"""),2500.0)</f>
        <v>2500</v>
      </c>
      <c r="E55" s="3"/>
      <c r="F55" s="3" t="str">
        <f>IFERROR(__xludf.DUMMYFUNCTION("""COMPUTED_VALUE"""),"DB")</f>
        <v>DB</v>
      </c>
      <c r="G55" s="3">
        <f>IFERROR(__xludf.DUMMYFUNCTION("""COMPUTED_VALUE"""),3.514360075999999E7)</f>
        <v>35143600.76</v>
      </c>
      <c r="H55" s="3">
        <f>IFERROR(__xludf.DUMMYFUNCTION("""COMPUTED_VALUE"""),3.514360076E7)</f>
        <v>35143600.76</v>
      </c>
      <c r="I55" s="3" t="str">
        <f>IFERROR(__xludf.DUMMYFUNCTION("""COMPUTED_VALUE"""),"EXSPEDISI")</f>
        <v>EXSPEDISI</v>
      </c>
    </row>
    <row r="56">
      <c r="A56" s="3" t="str">
        <f>IFERROR(__xludf.DUMMYFUNCTION("""COMPUTED_VALUE"""),"2023-06-18")</f>
        <v>2023-06-18</v>
      </c>
      <c r="B56" s="3" t="str">
        <f>IFERROR(__xludf.DUMMYFUNCTION("""COMPUTED_VALUE"""),"TRSF E-BANKING DB")</f>
        <v>TRSF E-BANKING DB</v>
      </c>
      <c r="C56" s="3" t="str">
        <f>IFERROR(__xludf.DUMMYFUNCTION("""COMPUTED_VALUE"""),"1806/FTSCY/WS95031 1500000.00 HERMAWAN")</f>
        <v>1806/FTSCY/WS95031 1500000.00 HERMAWAN</v>
      </c>
      <c r="D56" s="3">
        <f>IFERROR(__xludf.DUMMYFUNCTION("""COMPUTED_VALUE"""),1500000.0)</f>
        <v>1500000</v>
      </c>
      <c r="E56" s="3"/>
      <c r="F56" s="3" t="str">
        <f>IFERROR(__xludf.DUMMYFUNCTION("""COMPUTED_VALUE"""),"DB")</f>
        <v>DB</v>
      </c>
      <c r="G56" s="3">
        <f>IFERROR(__xludf.DUMMYFUNCTION("""COMPUTED_VALUE"""),3.364360075999999E7)</f>
        <v>33643600.76</v>
      </c>
      <c r="H56" s="3"/>
      <c r="I56" s="3" t="str">
        <f>IFERROR(__xludf.DUMMYFUNCTION("""COMPUTED_VALUE"""),"EXSPEDISI")</f>
        <v>EXSPEDISI</v>
      </c>
    </row>
    <row r="57">
      <c r="A57" s="3" t="str">
        <f>IFERROR(__xludf.DUMMYFUNCTION("""COMPUTED_VALUE"""),"2023-06-19")</f>
        <v>2023-06-19</v>
      </c>
      <c r="B57" s="3" t="str">
        <f>IFERROR(__xludf.DUMMYFUNCTION("""COMPUTED_VALUE"""),"TRSF E-BANKING DB")</f>
        <v>TRSF E-BANKING DB</v>
      </c>
      <c r="C57" s="3" t="str">
        <f>IFERROR(__xludf.DUMMYFUNCTION("""COMPUTED_VALUE"""),"1906/FTSCY/WS95271 14680800.00 bon 10 jt EKO SETIYAWAN")</f>
        <v>1906/FTSCY/WS95271 14680800.00 bon 10 jt EKO SETIYAWAN</v>
      </c>
      <c r="D57" s="3">
        <f>IFERROR(__xludf.DUMMYFUNCTION("""COMPUTED_VALUE"""),1.46808E7)</f>
        <v>14680800</v>
      </c>
      <c r="E57" s="3"/>
      <c r="F57" s="3" t="str">
        <f>IFERROR(__xludf.DUMMYFUNCTION("""COMPUTED_VALUE"""),"DB")</f>
        <v>DB</v>
      </c>
      <c r="G57" s="3">
        <f>IFERROR(__xludf.DUMMYFUNCTION("""COMPUTED_VALUE"""),5.1004974076E8)</f>
        <v>510049740.8</v>
      </c>
      <c r="H57" s="3"/>
      <c r="I57" s="3" t="str">
        <f>IFERROR(__xludf.DUMMYFUNCTION("""COMPUTED_VALUE"""),"EXSPEDISI")</f>
        <v>EXSPEDISI</v>
      </c>
    </row>
    <row r="58">
      <c r="A58" s="3" t="str">
        <f>IFERROR(__xludf.DUMMYFUNCTION("""COMPUTED_VALUE"""),"2023-06-19")</f>
        <v>2023-06-19</v>
      </c>
      <c r="B58" s="3" t="str">
        <f>IFERROR(__xludf.DUMMYFUNCTION("""COMPUTED_VALUE"""),"TRSF E-BANKING DB")</f>
        <v>TRSF E-BANKING DB</v>
      </c>
      <c r="C58" s="3" t="str">
        <f>IFERROR(__xludf.DUMMYFUNCTION("""COMPUTED_VALUE"""),"1906/FTSCY/WS95011 30000000.00 EKO SETIYAWAN")</f>
        <v>1906/FTSCY/WS95011 30000000.00 EKO SETIYAWAN</v>
      </c>
      <c r="D58" s="3">
        <f>IFERROR(__xludf.DUMMYFUNCTION("""COMPUTED_VALUE"""),3.0E7)</f>
        <v>30000000</v>
      </c>
      <c r="E58" s="3"/>
      <c r="F58" s="3" t="str">
        <f>IFERROR(__xludf.DUMMYFUNCTION("""COMPUTED_VALUE"""),"DB")</f>
        <v>DB</v>
      </c>
      <c r="G58" s="3">
        <f>IFERROR(__xludf.DUMMYFUNCTION("""COMPUTED_VALUE"""),4.8004974076E8)</f>
        <v>480049740.8</v>
      </c>
      <c r="H58" s="3"/>
      <c r="I58" s="3" t="str">
        <f>IFERROR(__xludf.DUMMYFUNCTION("""COMPUTED_VALUE"""),"EXSPEDISI")</f>
        <v>EXSPEDISI</v>
      </c>
    </row>
    <row r="59">
      <c r="A59" s="3" t="str">
        <f>IFERROR(__xludf.DUMMYFUNCTION("""COMPUTED_VALUE"""),"2023-06-19")</f>
        <v>2023-06-19</v>
      </c>
      <c r="B59" s="3" t="str">
        <f>IFERROR(__xludf.DUMMYFUNCTION("""COMPUTED_VALUE"""),"TRSF E-BANKING DB")</f>
        <v>TRSF E-BANKING DB</v>
      </c>
      <c r="C59" s="3" t="str">
        <f>IFERROR(__xludf.DUMMYFUNCTION("""COMPUTED_VALUE"""),"1906/FTSCY/WS95031 1983000.00 HERMAWAN")</f>
        <v>1906/FTSCY/WS95031 1983000.00 HERMAWAN</v>
      </c>
      <c r="D59" s="3">
        <f>IFERROR(__xludf.DUMMYFUNCTION("""COMPUTED_VALUE"""),1983000.0)</f>
        <v>1983000</v>
      </c>
      <c r="E59" s="3"/>
      <c r="F59" s="3" t="str">
        <f>IFERROR(__xludf.DUMMYFUNCTION("""COMPUTED_VALUE"""),"DB")</f>
        <v>DB</v>
      </c>
      <c r="G59" s="3">
        <f>IFERROR(__xludf.DUMMYFUNCTION("""COMPUTED_VALUE"""),7091880.75999999)</f>
        <v>7091880.76</v>
      </c>
      <c r="H59" s="3"/>
      <c r="I59" s="3" t="str">
        <f>IFERROR(__xludf.DUMMYFUNCTION("""COMPUTED_VALUE"""),"EXSPEDISI")</f>
        <v>EXSPEDISI</v>
      </c>
    </row>
    <row r="60">
      <c r="A60" s="3" t="str">
        <f>IFERROR(__xludf.DUMMYFUNCTION("""COMPUTED_VALUE"""),"2023-06-21")</f>
        <v>2023-06-21</v>
      </c>
      <c r="B60" s="3" t="str">
        <f>IFERROR(__xludf.DUMMYFUNCTION("""COMPUTED_VALUE"""),"TRSF E-BANKING DB")</f>
        <v>TRSF E-BANKING DB</v>
      </c>
      <c r="C60" s="3" t="str">
        <f>IFERROR(__xludf.DUMMYFUNCTION("""COMPUTED_VALUE"""),"2106/FTSCY/WS95031 2730105.00 MUJIANTO")</f>
        <v>2106/FTSCY/WS95031 2730105.00 MUJIANTO</v>
      </c>
      <c r="D60" s="3">
        <f>IFERROR(__xludf.DUMMYFUNCTION("""COMPUTED_VALUE"""),2730105.0)</f>
        <v>2730105</v>
      </c>
      <c r="E60" s="3"/>
      <c r="F60" s="3" t="str">
        <f>IFERROR(__xludf.DUMMYFUNCTION("""COMPUTED_VALUE"""),"DB")</f>
        <v>DB</v>
      </c>
      <c r="G60" s="3">
        <f>IFERROR(__xludf.DUMMYFUNCTION("""COMPUTED_VALUE"""),1.954237575999999E7)</f>
        <v>19542375.76</v>
      </c>
      <c r="H60" s="3"/>
      <c r="I60" s="3" t="str">
        <f>IFERROR(__xludf.DUMMYFUNCTION("""COMPUTED_VALUE"""),"EXSPEDISI")</f>
        <v>EXSPEDISI</v>
      </c>
    </row>
    <row r="61">
      <c r="A61" s="3" t="str">
        <f>IFERROR(__xludf.DUMMYFUNCTION("""COMPUTED_VALUE"""),"2023-06-21")</f>
        <v>2023-06-21</v>
      </c>
      <c r="B61" s="3" t="str">
        <f>IFERROR(__xludf.DUMMYFUNCTION("""COMPUTED_VALUE"""),"TRSF E-BANKING DB")</f>
        <v>TRSF E-BANKING DB</v>
      </c>
      <c r="C61" s="3" t="str">
        <f>IFERROR(__xludf.DUMMYFUNCTION("""COMPUTED_VALUE"""),"2106/FTSCY/WS95031 4375150.00 HERMAWAN")</f>
        <v>2106/FTSCY/WS95031 4375150.00 HERMAWAN</v>
      </c>
      <c r="D61" s="3">
        <f>IFERROR(__xludf.DUMMYFUNCTION("""COMPUTED_VALUE"""),4375150.0)</f>
        <v>4375150</v>
      </c>
      <c r="E61" s="3"/>
      <c r="F61" s="3" t="str">
        <f>IFERROR(__xludf.DUMMYFUNCTION("""COMPUTED_VALUE"""),"DB")</f>
        <v>DB</v>
      </c>
      <c r="G61" s="3">
        <f>IFERROR(__xludf.DUMMYFUNCTION("""COMPUTED_VALUE"""),1.516722575999999E7)</f>
        <v>15167225.76</v>
      </c>
      <c r="H61" s="3"/>
      <c r="I61" s="3" t="str">
        <f>IFERROR(__xludf.DUMMYFUNCTION("""COMPUTED_VALUE"""),"EXSPEDISI")</f>
        <v>EXSPEDISI</v>
      </c>
    </row>
    <row r="62">
      <c r="A62" s="3" t="str">
        <f>IFERROR(__xludf.DUMMYFUNCTION("""COMPUTED_VALUE"""),"2023-06-21")</f>
        <v>2023-06-21</v>
      </c>
      <c r="B62" s="3" t="str">
        <f>IFERROR(__xludf.DUMMYFUNCTION("""COMPUTED_VALUE"""),"TRSF E-BANKING DB")</f>
        <v>TRSF E-BANKING DB</v>
      </c>
      <c r="C62" s="3" t="str">
        <f>IFERROR(__xludf.DUMMYFUNCTION("""COMPUTED_VALUE"""),"2106/FTSCY/WS95031 500000.00 tot. 2.5 jt SUPRIYADI")</f>
        <v>2106/FTSCY/WS95031 500000.00 tot. 2.5 jt SUPRIYADI</v>
      </c>
      <c r="D62" s="3">
        <f>IFERROR(__xludf.DUMMYFUNCTION("""COMPUTED_VALUE"""),500000.0)</f>
        <v>500000</v>
      </c>
      <c r="E62" s="3"/>
      <c r="F62" s="3" t="str">
        <f>IFERROR(__xludf.DUMMYFUNCTION("""COMPUTED_VALUE"""),"DB")</f>
        <v>DB</v>
      </c>
      <c r="G62" s="3">
        <f>IFERROR(__xludf.DUMMYFUNCTION("""COMPUTED_VALUE"""),1.2301176775999999E8)</f>
        <v>123011767.8</v>
      </c>
      <c r="H62" s="3"/>
      <c r="I62" s="3" t="str">
        <f>IFERROR(__xludf.DUMMYFUNCTION("""COMPUTED_VALUE"""),"EXSPEDISI")</f>
        <v>EXSPEDISI</v>
      </c>
    </row>
    <row r="63">
      <c r="A63" s="3" t="str">
        <f>IFERROR(__xludf.DUMMYFUNCTION("""COMPUTED_VALUE"""),"2023-06-21")</f>
        <v>2023-06-21</v>
      </c>
      <c r="B63" s="3" t="str">
        <f>IFERROR(__xludf.DUMMYFUNCTION("""COMPUTED_VALUE"""),"TRSF E-BANKING DB")</f>
        <v>TRSF E-BANKING DB</v>
      </c>
      <c r="C63" s="3" t="str">
        <f>IFERROR(__xludf.DUMMYFUNCTION("""COMPUTED_VALUE"""),"2106/FTSCY/WS95031 700000.00 DIANA NOVITA")</f>
        <v>2106/FTSCY/WS95031 700000.00 DIANA NOVITA</v>
      </c>
      <c r="D63" s="3">
        <f>IFERROR(__xludf.DUMMYFUNCTION("""COMPUTED_VALUE"""),700000.0)</f>
        <v>700000</v>
      </c>
      <c r="E63" s="3"/>
      <c r="F63" s="3" t="str">
        <f>IFERROR(__xludf.DUMMYFUNCTION("""COMPUTED_VALUE"""),"DB")</f>
        <v>DB</v>
      </c>
      <c r="G63" s="3">
        <f>IFERROR(__xludf.DUMMYFUNCTION("""COMPUTED_VALUE"""),1.2231176775999999E8)</f>
        <v>122311767.8</v>
      </c>
      <c r="H63" s="3"/>
      <c r="I63" s="3" t="str">
        <f>IFERROR(__xludf.DUMMYFUNCTION("""COMPUTED_VALUE"""),"EXSPEDISI")</f>
        <v>EXSPEDISI</v>
      </c>
    </row>
    <row r="64">
      <c r="A64" s="3" t="str">
        <f>IFERROR(__xludf.DUMMYFUNCTION("""COMPUTED_VALUE"""),"2023-06-21")</f>
        <v>2023-06-21</v>
      </c>
      <c r="B64" s="3" t="str">
        <f>IFERROR(__xludf.DUMMYFUNCTION("""COMPUTED_VALUE"""),"TRSF E-BANKING DB")</f>
        <v>TRSF E-BANKING DB</v>
      </c>
      <c r="C64" s="3" t="str">
        <f>IFERROR(__xludf.DUMMYFUNCTION("""COMPUTED_VALUE"""),"2106/FTSCY/WS95031 500000.00 DIANA NOVITA")</f>
        <v>2106/FTSCY/WS95031 500000.00 DIANA NOVITA</v>
      </c>
      <c r="D64" s="3">
        <f>IFERROR(__xludf.DUMMYFUNCTION("""COMPUTED_VALUE"""),500000.0)</f>
        <v>500000</v>
      </c>
      <c r="E64" s="3"/>
      <c r="F64" s="3" t="str">
        <f>IFERROR(__xludf.DUMMYFUNCTION("""COMPUTED_VALUE"""),"DB")</f>
        <v>DB</v>
      </c>
      <c r="G64" s="3">
        <f>IFERROR(__xludf.DUMMYFUNCTION("""COMPUTED_VALUE"""),1.2181176775999999E8)</f>
        <v>121811767.8</v>
      </c>
      <c r="H64" s="3"/>
      <c r="I64" s="3" t="str">
        <f>IFERROR(__xludf.DUMMYFUNCTION("""COMPUTED_VALUE"""),"EXSPEDISI")</f>
        <v>EXSPEDISI</v>
      </c>
    </row>
    <row r="65">
      <c r="A65" s="3" t="str">
        <f>IFERROR(__xludf.DUMMYFUNCTION("""COMPUTED_VALUE"""),"2023-06-21")</f>
        <v>2023-06-21</v>
      </c>
      <c r="B65" s="3" t="str">
        <f>IFERROR(__xludf.DUMMYFUNCTION("""COMPUTED_VALUE"""),"BI-FAST DB")</f>
        <v>BI-FAST DB</v>
      </c>
      <c r="C65" s="3" t="str">
        <f>IFERROR(__xludf.DUMMYFUNCTION("""COMPUTED_VALUE"""),"BIF TRANSFER KE 2 FAJAR ANDREANZAH M-BCA")</f>
        <v>BIF TRANSFER KE 2 FAJAR ANDREANZAH M-BCA</v>
      </c>
      <c r="D65" s="3">
        <f>IFERROR(__xludf.DUMMYFUNCTION("""COMPUTED_VALUE"""),5700000.0)</f>
        <v>5700000</v>
      </c>
      <c r="E65" s="3"/>
      <c r="F65" s="3" t="str">
        <f>IFERROR(__xludf.DUMMYFUNCTION("""COMPUTED_VALUE"""),"DB")</f>
        <v>DB</v>
      </c>
      <c r="G65" s="3">
        <f>IFERROR(__xludf.DUMMYFUNCTION("""COMPUTED_VALUE"""),1.1611176775999999E8)</f>
        <v>116111767.8</v>
      </c>
      <c r="H65" s="3"/>
      <c r="I65" s="3" t="str">
        <f>IFERROR(__xludf.DUMMYFUNCTION("""COMPUTED_VALUE"""),"EXSPEDISI")</f>
        <v>EXSPEDISI</v>
      </c>
    </row>
    <row r="66">
      <c r="A66" s="3" t="str">
        <f>IFERROR(__xludf.DUMMYFUNCTION("""COMPUTED_VALUE"""),"2023-06-21")</f>
        <v>2023-06-21</v>
      </c>
      <c r="B66" s="3" t="str">
        <f>IFERROR(__xludf.DUMMYFUNCTION("""COMPUTED_VALUE"""),"BI-FAST DB")</f>
        <v>BI-FAST DB</v>
      </c>
      <c r="C66" s="3" t="str">
        <f>IFERROR(__xludf.DUMMYFUNCTION("""COMPUTED_VALUE"""),"BIF BIAYA TXN KE 2 FAJAR ANDREANZAH M-BCA")</f>
        <v>BIF BIAYA TXN KE 2 FAJAR ANDREANZAH M-BCA</v>
      </c>
      <c r="D66" s="3">
        <f>IFERROR(__xludf.DUMMYFUNCTION("""COMPUTED_VALUE"""),2500.0)</f>
        <v>2500</v>
      </c>
      <c r="E66" s="3"/>
      <c r="F66" s="3" t="str">
        <f>IFERROR(__xludf.DUMMYFUNCTION("""COMPUTED_VALUE"""),"DB")</f>
        <v>DB</v>
      </c>
      <c r="G66" s="3">
        <f>IFERROR(__xludf.DUMMYFUNCTION("""COMPUTED_VALUE"""),1.1610926775999999E8)</f>
        <v>116109267.8</v>
      </c>
      <c r="H66" s="3"/>
      <c r="I66" s="3" t="str">
        <f>IFERROR(__xludf.DUMMYFUNCTION("""COMPUTED_VALUE"""),"EXSPEDISI")</f>
        <v>EXSPEDISI</v>
      </c>
    </row>
    <row r="67">
      <c r="A67" s="3" t="str">
        <f>IFERROR(__xludf.DUMMYFUNCTION("""COMPUTED_VALUE"""),"2023-06-21")</f>
        <v>2023-06-21</v>
      </c>
      <c r="B67" s="3" t="str">
        <f>IFERROR(__xludf.DUMMYFUNCTION("""COMPUTED_VALUE"""),"BI-FAST DB")</f>
        <v>BI-FAST DB</v>
      </c>
      <c r="C67" s="3" t="str">
        <f>IFERROR(__xludf.DUMMYFUNCTION("""COMPUTED_VALUE"""),"BIF TRANSFER KE 2 FAJAR ANDREANZAH M-BCA")</f>
        <v>BIF TRANSFER KE 2 FAJAR ANDREANZAH M-BCA</v>
      </c>
      <c r="D67" s="3">
        <f>IFERROR(__xludf.DUMMYFUNCTION("""COMPUTED_VALUE"""),311830.0)</f>
        <v>311830</v>
      </c>
      <c r="E67" s="3"/>
      <c r="F67" s="3" t="str">
        <f>IFERROR(__xludf.DUMMYFUNCTION("""COMPUTED_VALUE"""),"DB")</f>
        <v>DB</v>
      </c>
      <c r="G67" s="3">
        <f>IFERROR(__xludf.DUMMYFUNCTION("""COMPUTED_VALUE"""),1.1579743775999999E8)</f>
        <v>115797437.8</v>
      </c>
      <c r="H67" s="3"/>
      <c r="I67" s="3" t="str">
        <f>IFERROR(__xludf.DUMMYFUNCTION("""COMPUTED_VALUE"""),"EXSPEDISI")</f>
        <v>EXSPEDISI</v>
      </c>
    </row>
    <row r="68">
      <c r="A68" s="3" t="str">
        <f>IFERROR(__xludf.DUMMYFUNCTION("""COMPUTED_VALUE"""),"2023-06-21")</f>
        <v>2023-06-21</v>
      </c>
      <c r="B68" s="3" t="str">
        <f>IFERROR(__xludf.DUMMYFUNCTION("""COMPUTED_VALUE"""),"BI-FAST DB")</f>
        <v>BI-FAST DB</v>
      </c>
      <c r="C68" s="3" t="str">
        <f>IFERROR(__xludf.DUMMYFUNCTION("""COMPUTED_VALUE"""),"BIF BIAYA TXN KE 2 FAJAR ANDREANZAH M-BCA")</f>
        <v>BIF BIAYA TXN KE 2 FAJAR ANDREANZAH M-BCA</v>
      </c>
      <c r="D68" s="3">
        <f>IFERROR(__xludf.DUMMYFUNCTION("""COMPUTED_VALUE"""),2500.0)</f>
        <v>2500</v>
      </c>
      <c r="E68" s="3"/>
      <c r="F68" s="3" t="str">
        <f>IFERROR(__xludf.DUMMYFUNCTION("""COMPUTED_VALUE"""),"DB")</f>
        <v>DB</v>
      </c>
      <c r="G68" s="3">
        <f>IFERROR(__xludf.DUMMYFUNCTION("""COMPUTED_VALUE"""),1.1579493775999999E8)</f>
        <v>115794937.8</v>
      </c>
      <c r="H68" s="3"/>
      <c r="I68" s="3" t="str">
        <f>IFERROR(__xludf.DUMMYFUNCTION("""COMPUTED_VALUE"""),"EXSPEDISI")</f>
        <v>EXSPEDISI</v>
      </c>
    </row>
    <row r="69">
      <c r="A69" s="3" t="str">
        <f>IFERROR(__xludf.DUMMYFUNCTION("""COMPUTED_VALUE"""),"2023-06-22")</f>
        <v>2023-06-22</v>
      </c>
      <c r="B69" s="3" t="str">
        <f>IFERROR(__xludf.DUMMYFUNCTION("""COMPUTED_VALUE"""),"TRSF E-BANKING DB")</f>
        <v>TRSF E-BANKING DB</v>
      </c>
      <c r="C69" s="3" t="str">
        <f>IFERROR(__xludf.DUMMYFUNCTION("""COMPUTED_VALUE"""),"2206/FTSCY/WS95031 1926570.00 HERMAWAN")</f>
        <v>2206/FTSCY/WS95031 1926570.00 HERMAWAN</v>
      </c>
      <c r="D69" s="3">
        <f>IFERROR(__xludf.DUMMYFUNCTION("""COMPUTED_VALUE"""),1926570.0)</f>
        <v>1926570</v>
      </c>
      <c r="E69" s="3"/>
      <c r="F69" s="3" t="str">
        <f>IFERROR(__xludf.DUMMYFUNCTION("""COMPUTED_VALUE"""),"DB")</f>
        <v>DB</v>
      </c>
      <c r="G69" s="3">
        <f>IFERROR(__xludf.DUMMYFUNCTION("""COMPUTED_VALUE"""),4.477015775999999E7)</f>
        <v>44770157.76</v>
      </c>
      <c r="H69" s="3"/>
      <c r="I69" s="3" t="str">
        <f>IFERROR(__xludf.DUMMYFUNCTION("""COMPUTED_VALUE"""),"EXSPEDISI")</f>
        <v>EXSPEDISI</v>
      </c>
    </row>
    <row r="70">
      <c r="A70" s="3" t="str">
        <f>IFERROR(__xludf.DUMMYFUNCTION("""COMPUTED_VALUE"""),"2023-06-22")</f>
        <v>2023-06-22</v>
      </c>
      <c r="B70" s="3" t="str">
        <f>IFERROR(__xludf.DUMMYFUNCTION("""COMPUTED_VALUE"""),"TRSF E-BANKING DB")</f>
        <v>TRSF E-BANKING DB</v>
      </c>
      <c r="C70" s="3" t="str">
        <f>IFERROR(__xludf.DUMMYFUNCTION("""COMPUTED_VALUE"""),"2206/FTSCY/WS95271 1505820.00 MUJIANTO")</f>
        <v>2206/FTSCY/WS95271 1505820.00 MUJIANTO</v>
      </c>
      <c r="D70" s="3">
        <f>IFERROR(__xludf.DUMMYFUNCTION("""COMPUTED_VALUE"""),1505820.0)</f>
        <v>1505820</v>
      </c>
      <c r="E70" s="3"/>
      <c r="F70" s="3" t="str">
        <f>IFERROR(__xludf.DUMMYFUNCTION("""COMPUTED_VALUE"""),"DB")</f>
        <v>DB</v>
      </c>
      <c r="G70" s="3">
        <f>IFERROR(__xludf.DUMMYFUNCTION("""COMPUTED_VALUE"""),4.326433775999999E7)</f>
        <v>43264337.76</v>
      </c>
      <c r="H70" s="3"/>
      <c r="I70" s="3" t="str">
        <f>IFERROR(__xludf.DUMMYFUNCTION("""COMPUTED_VALUE"""),"EXSPEDISI")</f>
        <v>EXSPEDISI</v>
      </c>
    </row>
    <row r="71">
      <c r="A71" s="3" t="str">
        <f>IFERROR(__xludf.DUMMYFUNCTION("""COMPUTED_VALUE"""),"2023-06-22")</f>
        <v>2023-06-22</v>
      </c>
      <c r="B71" s="3" t="str">
        <f>IFERROR(__xludf.DUMMYFUNCTION("""COMPUTED_VALUE"""),"TRSF E-BANKING DB")</f>
        <v>TRSF E-BANKING DB</v>
      </c>
      <c r="C71" s="3" t="str">
        <f>IFERROR(__xludf.DUMMYFUNCTION("""COMPUTED_VALUE"""),"2206/FTSCY/WS95271 2648900.00 SUPRIYADI")</f>
        <v>2206/FTSCY/WS95271 2648900.00 SUPRIYADI</v>
      </c>
      <c r="D71" s="3">
        <f>IFERROR(__xludf.DUMMYFUNCTION("""COMPUTED_VALUE"""),2648900.0)</f>
        <v>2648900</v>
      </c>
      <c r="E71" s="3"/>
      <c r="F71" s="3" t="str">
        <f>IFERROR(__xludf.DUMMYFUNCTION("""COMPUTED_VALUE"""),"DB")</f>
        <v>DB</v>
      </c>
      <c r="G71" s="3">
        <f>IFERROR(__xludf.DUMMYFUNCTION("""COMPUTED_VALUE"""),2.2420453276E8)</f>
        <v>224204532.8</v>
      </c>
      <c r="H71" s="3">
        <f>IFERROR(__xludf.DUMMYFUNCTION("""COMPUTED_VALUE"""),2.2420453276E8)</f>
        <v>224204532.8</v>
      </c>
      <c r="I71" s="3" t="str">
        <f>IFERROR(__xludf.DUMMYFUNCTION("""COMPUTED_VALUE"""),"EXSPEDISI")</f>
        <v>EXSPEDISI</v>
      </c>
    </row>
    <row r="72">
      <c r="A72" s="3" t="str">
        <f>IFERROR(__xludf.DUMMYFUNCTION("""COMPUTED_VALUE"""),"2023-06-23")</f>
        <v>2023-06-23</v>
      </c>
      <c r="B72" s="3" t="str">
        <f>IFERROR(__xludf.DUMMYFUNCTION("""COMPUTED_VALUE"""),"TRSF E-BANKING DB TANGGAL :22/06")</f>
        <v>TRSF E-BANKING DB TANGGAL :22/06</v>
      </c>
      <c r="C72" s="3" t="str">
        <f>IFERROR(__xludf.DUMMYFUNCTION("""COMPUTED_VALUE"""),"2206/FTSCY/WS95271 DIANA NOVITA")</f>
        <v>2206/FTSCY/WS95271 DIANA NOVITA</v>
      </c>
      <c r="D72" s="3">
        <f>IFERROR(__xludf.DUMMYFUNCTION("""COMPUTED_VALUE"""),450000.0)</f>
        <v>450000</v>
      </c>
      <c r="E72" s="3"/>
      <c r="F72" s="3" t="str">
        <f>IFERROR(__xludf.DUMMYFUNCTION("""COMPUTED_VALUE"""),"DB")</f>
        <v>DB</v>
      </c>
      <c r="G72" s="3">
        <f>IFERROR(__xludf.DUMMYFUNCTION("""COMPUTED_VALUE"""),2.841613275999999E7)</f>
        <v>28416132.76</v>
      </c>
      <c r="H72" s="3"/>
      <c r="I72" s="3" t="str">
        <f>IFERROR(__xludf.DUMMYFUNCTION("""COMPUTED_VALUE"""),"EXSPEDISI")</f>
        <v>EXSPEDISI</v>
      </c>
    </row>
    <row r="73">
      <c r="A73" s="3" t="str">
        <f>IFERROR(__xludf.DUMMYFUNCTION("""COMPUTED_VALUE"""),"2023-06-23")</f>
        <v>2023-06-23</v>
      </c>
      <c r="B73" s="3" t="str">
        <f>IFERROR(__xludf.DUMMYFUNCTION("""COMPUTED_VALUE"""),"TRSF E-BANKING DB")</f>
        <v>TRSF E-BANKING DB</v>
      </c>
      <c r="C73" s="3" t="str">
        <f>IFERROR(__xludf.DUMMYFUNCTION("""COMPUTED_VALUE"""),"2306/FTSCY/WS95031 1558360.00 MUJIANTO")</f>
        <v>2306/FTSCY/WS95031 1558360.00 MUJIANTO</v>
      </c>
      <c r="D73" s="3">
        <f>IFERROR(__xludf.DUMMYFUNCTION("""COMPUTED_VALUE"""),1558360.0)</f>
        <v>1558360</v>
      </c>
      <c r="E73" s="3"/>
      <c r="F73" s="3" t="str">
        <f>IFERROR(__xludf.DUMMYFUNCTION("""COMPUTED_VALUE"""),"DB")</f>
        <v>DB</v>
      </c>
      <c r="G73" s="3">
        <f>IFERROR(__xludf.DUMMYFUNCTION("""COMPUTED_VALUE"""),4334702.75999999)</f>
        <v>4334702.76</v>
      </c>
      <c r="H73" s="3">
        <f>IFERROR(__xludf.DUMMYFUNCTION("""COMPUTED_VALUE"""),4334702.76)</f>
        <v>4334702.76</v>
      </c>
      <c r="I73" s="3" t="str">
        <f>IFERROR(__xludf.DUMMYFUNCTION("""COMPUTED_VALUE"""),"EXSPEDISI")</f>
        <v>EXSPEDISI</v>
      </c>
    </row>
    <row r="74">
      <c r="A74" s="3" t="str">
        <f>IFERROR(__xludf.DUMMYFUNCTION("""COMPUTED_VALUE"""),"2023-06-23")</f>
        <v>2023-06-23</v>
      </c>
      <c r="B74" s="3" t="str">
        <f>IFERROR(__xludf.DUMMYFUNCTION("""COMPUTED_VALUE"""),"BI-FAST DB")</f>
        <v>BI-FAST DB</v>
      </c>
      <c r="C74" s="3" t="str">
        <f>IFERROR(__xludf.DUMMYFUNCTION("""COMPUTED_VALUE"""),"BIF TRANSFER KE 2 FAJAR ANDREANZAH M-BCA")</f>
        <v>BIF TRANSFER KE 2 FAJAR ANDREANZAH M-BCA</v>
      </c>
      <c r="D74" s="3">
        <f>IFERROR(__xludf.DUMMYFUNCTION("""COMPUTED_VALUE"""),3307050.0)</f>
        <v>3307050</v>
      </c>
      <c r="E74" s="3"/>
      <c r="F74" s="3" t="str">
        <f>IFERROR(__xludf.DUMMYFUNCTION("""COMPUTED_VALUE"""),"DB")</f>
        <v>DB</v>
      </c>
      <c r="G74" s="3">
        <f>IFERROR(__xludf.DUMMYFUNCTION("""COMPUTED_VALUE"""),1027652.7599999905)</f>
        <v>1027652.76</v>
      </c>
      <c r="H74" s="3"/>
      <c r="I74" s="3" t="str">
        <f>IFERROR(__xludf.DUMMYFUNCTION("""COMPUTED_VALUE"""),"EXSPEDISI")</f>
        <v>EXSPEDISI</v>
      </c>
    </row>
    <row r="75">
      <c r="A75" s="3" t="str">
        <f>IFERROR(__xludf.DUMMYFUNCTION("""COMPUTED_VALUE"""),"2023-06-23")</f>
        <v>2023-06-23</v>
      </c>
      <c r="B75" s="3" t="str">
        <f>IFERROR(__xludf.DUMMYFUNCTION("""COMPUTED_VALUE"""),"BI-FAST DB")</f>
        <v>BI-FAST DB</v>
      </c>
      <c r="C75" s="3" t="str">
        <f>IFERROR(__xludf.DUMMYFUNCTION("""COMPUTED_VALUE"""),"BIF BIAYA TXN KE 2 FAJAR ANDREANZAH M-BCA")</f>
        <v>BIF BIAYA TXN KE 2 FAJAR ANDREANZAH M-BCA</v>
      </c>
      <c r="D75" s="3">
        <f>IFERROR(__xludf.DUMMYFUNCTION("""COMPUTED_VALUE"""),2500.0)</f>
        <v>2500</v>
      </c>
      <c r="E75" s="3"/>
      <c r="F75" s="3" t="str">
        <f>IFERROR(__xludf.DUMMYFUNCTION("""COMPUTED_VALUE"""),"DB")</f>
        <v>DB</v>
      </c>
      <c r="G75" s="3">
        <f>IFERROR(__xludf.DUMMYFUNCTION("""COMPUTED_VALUE"""),1025152.7599999905)</f>
        <v>1025152.76</v>
      </c>
      <c r="H75" s="3"/>
      <c r="I75" s="3" t="str">
        <f>IFERROR(__xludf.DUMMYFUNCTION("""COMPUTED_VALUE"""),"EXSPEDISI")</f>
        <v>EXSPEDISI</v>
      </c>
    </row>
    <row r="76">
      <c r="A76" s="3" t="str">
        <f>IFERROR(__xludf.DUMMYFUNCTION("""COMPUTED_VALUE"""),"2023-06-23")</f>
        <v>2023-06-23</v>
      </c>
      <c r="B76" s="3" t="str">
        <f>IFERROR(__xludf.DUMMYFUNCTION("""COMPUTED_VALUE"""),"TRSF E-BANKING DB")</f>
        <v>TRSF E-BANKING DB</v>
      </c>
      <c r="C76" s="3" t="str">
        <f>IFERROR(__xludf.DUMMYFUNCTION("""COMPUTED_VALUE"""),"2306/FTSCY/WS95031 1561000.00 SUPRIYADI")</f>
        <v>2306/FTSCY/WS95031 1561000.00 SUPRIYADI</v>
      </c>
      <c r="D76" s="3">
        <f>IFERROR(__xludf.DUMMYFUNCTION("""COMPUTED_VALUE"""),1561000.0)</f>
        <v>1561000</v>
      </c>
      <c r="E76" s="3"/>
      <c r="F76" s="3" t="str">
        <f>IFERROR(__xludf.DUMMYFUNCTION("""COMPUTED_VALUE"""),"DB")</f>
        <v>DB</v>
      </c>
      <c r="G76" s="3">
        <f>IFERROR(__xludf.DUMMYFUNCTION("""COMPUTED_VALUE"""),2.8568111276E8)</f>
        <v>285681112.8</v>
      </c>
      <c r="H76" s="3"/>
      <c r="I76" s="3" t="str">
        <f>IFERROR(__xludf.DUMMYFUNCTION("""COMPUTED_VALUE"""),"EXSPEDISI")</f>
        <v>EXSPEDISI</v>
      </c>
    </row>
    <row r="77">
      <c r="A77" s="3" t="str">
        <f>IFERROR(__xludf.DUMMYFUNCTION("""COMPUTED_VALUE"""),"2023-06-23")</f>
        <v>2023-06-23</v>
      </c>
      <c r="B77" s="3" t="str">
        <f>IFERROR(__xludf.DUMMYFUNCTION("""COMPUTED_VALUE"""),"TRSF E-BANKING DB")</f>
        <v>TRSF E-BANKING DB</v>
      </c>
      <c r="C77" s="3" t="str">
        <f>IFERROR(__xludf.DUMMYFUNCTION("""COMPUTED_VALUE"""),"2306/FTSCY/WS95271 10000000.00 EKO SETIYAWAN")</f>
        <v>2306/FTSCY/WS95271 10000000.00 EKO SETIYAWAN</v>
      </c>
      <c r="D77" s="3">
        <f>IFERROR(__xludf.DUMMYFUNCTION("""COMPUTED_VALUE"""),1.0E7)</f>
        <v>10000000</v>
      </c>
      <c r="E77" s="3"/>
      <c r="F77" s="3" t="str">
        <f>IFERROR(__xludf.DUMMYFUNCTION("""COMPUTED_VALUE"""),"DB")</f>
        <v>DB</v>
      </c>
      <c r="G77" s="3">
        <f>IFERROR(__xludf.DUMMYFUNCTION("""COMPUTED_VALUE"""),2.7611463276E8)</f>
        <v>276114632.8</v>
      </c>
      <c r="H77" s="3"/>
      <c r="I77" s="3" t="str">
        <f>IFERROR(__xludf.DUMMYFUNCTION("""COMPUTED_VALUE"""),"EXSPEDISI")</f>
        <v>EXSPEDISI</v>
      </c>
    </row>
    <row r="78">
      <c r="A78" s="3" t="str">
        <f>IFERROR(__xludf.DUMMYFUNCTION("""COMPUTED_VALUE"""),"2023-06-23")</f>
        <v>2023-06-23</v>
      </c>
      <c r="B78" s="3" t="str">
        <f>IFERROR(__xludf.DUMMYFUNCTION("""COMPUTED_VALUE"""),"TRSF E-BANKING DB")</f>
        <v>TRSF E-BANKING DB</v>
      </c>
      <c r="C78" s="3" t="str">
        <f>IFERROR(__xludf.DUMMYFUNCTION("""COMPUTED_VALUE"""),"2306/FTSCY/WS95271 1200000.00 DIANA NOVITA")</f>
        <v>2306/FTSCY/WS95271 1200000.00 DIANA NOVITA</v>
      </c>
      <c r="D78" s="3">
        <f>IFERROR(__xludf.DUMMYFUNCTION("""COMPUTED_VALUE"""),1200000.0)</f>
        <v>1200000</v>
      </c>
      <c r="E78" s="3"/>
      <c r="F78" s="3" t="str">
        <f>IFERROR(__xludf.DUMMYFUNCTION("""COMPUTED_VALUE"""),"DB")</f>
        <v>DB</v>
      </c>
      <c r="G78" s="3">
        <f>IFERROR(__xludf.DUMMYFUNCTION("""COMPUTED_VALUE"""),2.7471463276E8)</f>
        <v>274714632.8</v>
      </c>
      <c r="H78" s="3">
        <f>IFERROR(__xludf.DUMMYFUNCTION("""COMPUTED_VALUE"""),2.7471463276E8)</f>
        <v>274714632.8</v>
      </c>
      <c r="I78" s="3" t="str">
        <f>IFERROR(__xludf.DUMMYFUNCTION("""COMPUTED_VALUE"""),"EXSPEDISI")</f>
        <v>EXSPEDISI</v>
      </c>
    </row>
    <row r="79">
      <c r="A79" s="3" t="str">
        <f>IFERROR(__xludf.DUMMYFUNCTION("""COMPUTED_VALUE"""),"2023-06-24")</f>
        <v>2023-06-24</v>
      </c>
      <c r="B79" s="3" t="str">
        <f>IFERROR(__xludf.DUMMYFUNCTION("""COMPUTED_VALUE"""),"TRSF E-BANKING DB")</f>
        <v>TRSF E-BANKING DB</v>
      </c>
      <c r="C79" s="3" t="str">
        <f>IFERROR(__xludf.DUMMYFUNCTION("""COMPUTED_VALUE"""),"2406/FTSCY/WS95031 1100760.00 HERMAWAN")</f>
        <v>2406/FTSCY/WS95031 1100760.00 HERMAWAN</v>
      </c>
      <c r="D79" s="3">
        <f>IFERROR(__xludf.DUMMYFUNCTION("""COMPUTED_VALUE"""),1100760.0)</f>
        <v>1100760</v>
      </c>
      <c r="E79" s="3"/>
      <c r="F79" s="3" t="str">
        <f>IFERROR(__xludf.DUMMYFUNCTION("""COMPUTED_VALUE"""),"DB")</f>
        <v>DB</v>
      </c>
      <c r="G79" s="3">
        <f>IFERROR(__xludf.DUMMYFUNCTION("""COMPUTED_VALUE"""),2.942766275999999E7)</f>
        <v>29427662.76</v>
      </c>
      <c r="H79" s="3"/>
      <c r="I79" s="3" t="str">
        <f>IFERROR(__xludf.DUMMYFUNCTION("""COMPUTED_VALUE"""),"EXSPEDISI")</f>
        <v>EXSPEDISI</v>
      </c>
    </row>
    <row r="80">
      <c r="A80" s="3" t="str">
        <f>IFERROR(__xludf.DUMMYFUNCTION("""COMPUTED_VALUE"""),"2023-06-24")</f>
        <v>2023-06-24</v>
      </c>
      <c r="B80" s="3" t="str">
        <f>IFERROR(__xludf.DUMMYFUNCTION("""COMPUTED_VALUE"""),"BI-FAST DB")</f>
        <v>BI-FAST DB</v>
      </c>
      <c r="C80" s="3" t="str">
        <f>IFERROR(__xludf.DUMMYFUNCTION("""COMPUTED_VALUE"""),"BIF TRANSFER KE 2 FAJAR ANDREANZAH M-BCA")</f>
        <v>BIF TRANSFER KE 2 FAJAR ANDREANZAH M-BCA</v>
      </c>
      <c r="D80" s="3">
        <f>IFERROR(__xludf.DUMMYFUNCTION("""COMPUTED_VALUE"""),2267340.0)</f>
        <v>2267340</v>
      </c>
      <c r="E80" s="3"/>
      <c r="F80" s="3" t="str">
        <f>IFERROR(__xludf.DUMMYFUNCTION("""COMPUTED_VALUE"""),"DB")</f>
        <v>DB</v>
      </c>
      <c r="G80" s="3">
        <f>IFERROR(__xludf.DUMMYFUNCTION("""COMPUTED_VALUE"""),2.716032275999999E7)</f>
        <v>27160322.76</v>
      </c>
      <c r="H80" s="3"/>
      <c r="I80" s="3" t="str">
        <f>IFERROR(__xludf.DUMMYFUNCTION("""COMPUTED_VALUE"""),"EXSPEDISI")</f>
        <v>EXSPEDISI</v>
      </c>
    </row>
    <row r="81">
      <c r="A81" s="3" t="str">
        <f>IFERROR(__xludf.DUMMYFUNCTION("""COMPUTED_VALUE"""),"2023-06-24")</f>
        <v>2023-06-24</v>
      </c>
      <c r="B81" s="3" t="str">
        <f>IFERROR(__xludf.DUMMYFUNCTION("""COMPUTED_VALUE"""),"BI-FAST DB")</f>
        <v>BI-FAST DB</v>
      </c>
      <c r="C81" s="3" t="str">
        <f>IFERROR(__xludf.DUMMYFUNCTION("""COMPUTED_VALUE"""),"BIF BIAYA TXN KE 2 FAJAR ANDREANZAH M-BCA")</f>
        <v>BIF BIAYA TXN KE 2 FAJAR ANDREANZAH M-BCA</v>
      </c>
      <c r="D81" s="3">
        <f>IFERROR(__xludf.DUMMYFUNCTION("""COMPUTED_VALUE"""),2500.0)</f>
        <v>2500</v>
      </c>
      <c r="E81" s="3"/>
      <c r="F81" s="3" t="str">
        <f>IFERROR(__xludf.DUMMYFUNCTION("""COMPUTED_VALUE"""),"DB")</f>
        <v>DB</v>
      </c>
      <c r="G81" s="3">
        <f>IFERROR(__xludf.DUMMYFUNCTION("""COMPUTED_VALUE"""),2.715782275999999E7)</f>
        <v>27157822.76</v>
      </c>
      <c r="H81" s="3"/>
      <c r="I81" s="3" t="str">
        <f>IFERROR(__xludf.DUMMYFUNCTION("""COMPUTED_VALUE"""),"EXSPEDISI")</f>
        <v>EXSPEDISI</v>
      </c>
    </row>
    <row r="82">
      <c r="A82" s="3" t="str">
        <f>IFERROR(__xludf.DUMMYFUNCTION("""COMPUTED_VALUE"""),"2023-06-25")</f>
        <v>2023-06-25</v>
      </c>
      <c r="B82" s="3" t="str">
        <f>IFERROR(__xludf.DUMMYFUNCTION("""COMPUTED_VALUE"""),"TRSF E-BANKING DB TANGGAL :24/06")</f>
        <v>TRSF E-BANKING DB TANGGAL :24/06</v>
      </c>
      <c r="C82" s="3" t="str">
        <f>IFERROR(__xludf.DUMMYFUNCTION("""COMPUTED_VALUE"""),"2406/FTSCY/WS95031 jember DIANA NOVITA")</f>
        <v>2406/FTSCY/WS95031 jember DIANA NOVITA</v>
      </c>
      <c r="D82" s="3">
        <f>IFERROR(__xludf.DUMMYFUNCTION("""COMPUTED_VALUE"""),1500000.0)</f>
        <v>1500000</v>
      </c>
      <c r="E82" s="3"/>
      <c r="F82" s="3" t="str">
        <f>IFERROR(__xludf.DUMMYFUNCTION("""COMPUTED_VALUE"""),"DB")</f>
        <v>DB</v>
      </c>
      <c r="G82" s="3">
        <f>IFERROR(__xludf.DUMMYFUNCTION("""COMPUTED_VALUE"""),4.7238495776E8)</f>
        <v>472384957.8</v>
      </c>
      <c r="H82" s="3"/>
      <c r="I82" s="3" t="str">
        <f>IFERROR(__xludf.DUMMYFUNCTION("""COMPUTED_VALUE"""),"EXSPEDISI")</f>
        <v>EXSPEDISI</v>
      </c>
    </row>
    <row r="83">
      <c r="A83" s="3" t="str">
        <f>IFERROR(__xludf.DUMMYFUNCTION("""COMPUTED_VALUE"""),"2023-06-25")</f>
        <v>2023-06-25</v>
      </c>
      <c r="B83" s="3" t="str">
        <f>IFERROR(__xludf.DUMMYFUNCTION("""COMPUTED_VALUE"""),"TRSF E-BANKING DB TANGGAL :24/06")</f>
        <v>TRSF E-BANKING DB TANGGAL :24/06</v>
      </c>
      <c r="C83" s="3" t="str">
        <f>IFERROR(__xludf.DUMMYFUNCTION("""COMPUTED_VALUE"""),"2406/FTSCY/WS95031 jember SUPRIYADI")</f>
        <v>2406/FTSCY/WS95031 jember SUPRIYADI</v>
      </c>
      <c r="D83" s="3">
        <f>IFERROR(__xludf.DUMMYFUNCTION("""COMPUTED_VALUE"""),1404490.0)</f>
        <v>1404490</v>
      </c>
      <c r="E83" s="3"/>
      <c r="F83" s="3" t="str">
        <f>IFERROR(__xludf.DUMMYFUNCTION("""COMPUTED_VALUE"""),"DB")</f>
        <v>DB</v>
      </c>
      <c r="G83" s="3">
        <f>IFERROR(__xludf.DUMMYFUNCTION("""COMPUTED_VALUE"""),4.7098046776E8)</f>
        <v>470980467.8</v>
      </c>
      <c r="H83" s="3"/>
      <c r="I83" s="3" t="str">
        <f>IFERROR(__xludf.DUMMYFUNCTION("""COMPUTED_VALUE"""),"EXSPEDISI")</f>
        <v>EXSPEDISI</v>
      </c>
    </row>
    <row r="84">
      <c r="A84" s="3" t="str">
        <f>IFERROR(__xludf.DUMMYFUNCTION("""COMPUTED_VALUE"""),"2023-06-25")</f>
        <v>2023-06-25</v>
      </c>
      <c r="B84" s="3" t="str">
        <f>IFERROR(__xludf.DUMMYFUNCTION("""COMPUTED_VALUE"""),"TRSF E-BANKING DB")</f>
        <v>TRSF E-BANKING DB</v>
      </c>
      <c r="C84" s="3" t="str">
        <f>IFERROR(__xludf.DUMMYFUNCTION("""COMPUTED_VALUE"""),"2506/FTSCY/WS95031 1732490.00 HERMAWAN")</f>
        <v>2506/FTSCY/WS95031 1732490.00 HERMAWAN</v>
      </c>
      <c r="D84" s="3">
        <f>IFERROR(__xludf.DUMMYFUNCTION("""COMPUTED_VALUE"""),1732490.0)</f>
        <v>1732490</v>
      </c>
      <c r="E84" s="3"/>
      <c r="F84" s="3" t="str">
        <f>IFERROR(__xludf.DUMMYFUNCTION("""COMPUTED_VALUE"""),"DB")</f>
        <v>DB</v>
      </c>
      <c r="G84" s="3">
        <f>IFERROR(__xludf.DUMMYFUNCTION("""COMPUTED_VALUE"""),4.6624547776E8)</f>
        <v>466245477.8</v>
      </c>
      <c r="H84" s="3"/>
      <c r="I84" s="3" t="str">
        <f>IFERROR(__xludf.DUMMYFUNCTION("""COMPUTED_VALUE"""),"EXSPEDISI")</f>
        <v>EXSPEDISI</v>
      </c>
    </row>
    <row r="85">
      <c r="A85" s="3" t="str">
        <f>IFERROR(__xludf.DUMMYFUNCTION("""COMPUTED_VALUE"""),"2023-06-25")</f>
        <v>2023-06-25</v>
      </c>
      <c r="B85" s="3" t="str">
        <f>IFERROR(__xludf.DUMMYFUNCTION("""COMPUTED_VALUE"""),"TRSF E-BANKING DB")</f>
        <v>TRSF E-BANKING DB</v>
      </c>
      <c r="C85" s="3" t="str">
        <f>IFERROR(__xludf.DUMMYFUNCTION("""COMPUTED_VALUE"""),"2506/FTSCY/WS95031 5530200.00 blitar MUJIANTO")</f>
        <v>2506/FTSCY/WS95031 5530200.00 blitar MUJIANTO</v>
      </c>
      <c r="D85" s="3">
        <f>IFERROR(__xludf.DUMMYFUNCTION("""COMPUTED_VALUE"""),5530200.0)</f>
        <v>5530200</v>
      </c>
      <c r="E85" s="3"/>
      <c r="F85" s="3" t="str">
        <f>IFERROR(__xludf.DUMMYFUNCTION("""COMPUTED_VALUE"""),"DB")</f>
        <v>DB</v>
      </c>
      <c r="G85" s="3">
        <f>IFERROR(__xludf.DUMMYFUNCTION("""COMPUTED_VALUE"""),4.6071527776E8)</f>
        <v>460715277.8</v>
      </c>
      <c r="H85" s="3"/>
      <c r="I85" s="3" t="str">
        <f>IFERROR(__xludf.DUMMYFUNCTION("""COMPUTED_VALUE"""),"EXSPEDISI")</f>
        <v>EXSPEDISI</v>
      </c>
    </row>
    <row r="86">
      <c r="A86" s="3" t="str">
        <f>IFERROR(__xludf.DUMMYFUNCTION("""COMPUTED_VALUE"""),"2023-06-25")</f>
        <v>2023-06-25</v>
      </c>
      <c r="B86" s="3" t="str">
        <f>IFERROR(__xludf.DUMMYFUNCTION("""COMPUTED_VALUE"""),"TRSF E-BANKING DB")</f>
        <v>TRSF E-BANKING DB</v>
      </c>
      <c r="C86" s="3" t="str">
        <f>IFERROR(__xludf.DUMMYFUNCTION("""COMPUTED_VALUE"""),"2506/FTSCY/WS95031 10000000.00 EKO SETIYAWAN")</f>
        <v>2506/FTSCY/WS95031 10000000.00 EKO SETIYAWAN</v>
      </c>
      <c r="D86" s="3">
        <f>IFERROR(__xludf.DUMMYFUNCTION("""COMPUTED_VALUE"""),1.0E7)</f>
        <v>10000000</v>
      </c>
      <c r="E86" s="3"/>
      <c r="F86" s="3" t="str">
        <f>IFERROR(__xludf.DUMMYFUNCTION("""COMPUTED_VALUE"""),"DB")</f>
        <v>DB</v>
      </c>
      <c r="G86" s="3">
        <f>IFERROR(__xludf.DUMMYFUNCTION("""COMPUTED_VALUE"""),3.0602583276E8)</f>
        <v>306025832.8</v>
      </c>
      <c r="H86" s="3"/>
      <c r="I86" s="3" t="str">
        <f>IFERROR(__xludf.DUMMYFUNCTION("""COMPUTED_VALUE"""),"EXSPEDISI")</f>
        <v>EXSPEDISI</v>
      </c>
    </row>
    <row r="87">
      <c r="A87" s="3" t="str">
        <f>IFERROR(__xludf.DUMMYFUNCTION("""COMPUTED_VALUE"""),"2023-06-26")</f>
        <v>2023-06-26</v>
      </c>
      <c r="B87" s="3" t="str">
        <f>IFERROR(__xludf.DUMMYFUNCTION("""COMPUTED_VALUE"""),"TRSF E-BANKING DB")</f>
        <v>TRSF E-BANKING DB</v>
      </c>
      <c r="C87" s="3" t="str">
        <f>IFERROR(__xludf.DUMMYFUNCTION("""COMPUTED_VALUE"""),"2606/FTSCY/WS95031 1000000.00 DIANA NOVITA")</f>
        <v>2606/FTSCY/WS95031 1000000.00 DIANA NOVITA</v>
      </c>
      <c r="D87" s="3">
        <f>IFERROR(__xludf.DUMMYFUNCTION("""COMPUTED_VALUE"""),1000000.0)</f>
        <v>1000000</v>
      </c>
      <c r="E87" s="3"/>
      <c r="F87" s="3" t="str">
        <f>IFERROR(__xludf.DUMMYFUNCTION("""COMPUTED_VALUE"""),"DB")</f>
        <v>DB</v>
      </c>
      <c r="G87" s="3">
        <f>IFERROR(__xludf.DUMMYFUNCTION("""COMPUTED_VALUE"""),5.212333275999999E7)</f>
        <v>52123332.76</v>
      </c>
      <c r="H87" s="3"/>
      <c r="I87" s="3" t="str">
        <f>IFERROR(__xludf.DUMMYFUNCTION("""COMPUTED_VALUE"""),"EXSPEDISI")</f>
        <v>EXSPEDISI</v>
      </c>
    </row>
    <row r="88">
      <c r="A88" s="3" t="str">
        <f>IFERROR(__xludf.DUMMYFUNCTION("""COMPUTED_VALUE"""),"2023-06-26")</f>
        <v>2023-06-26</v>
      </c>
      <c r="B88" s="3" t="str">
        <f>IFERROR(__xludf.DUMMYFUNCTION("""COMPUTED_VALUE"""),"TRSF E-BANKING DB")</f>
        <v>TRSF E-BANKING DB</v>
      </c>
      <c r="C88" s="3" t="str">
        <f>IFERROR(__xludf.DUMMYFUNCTION("""COMPUTED_VALUE"""),"2606/FTSCY/WS95031 1200000.00 DIANA NOVITA")</f>
        <v>2606/FTSCY/WS95031 1200000.00 DIANA NOVITA</v>
      </c>
      <c r="D88" s="3">
        <f>IFERROR(__xludf.DUMMYFUNCTION("""COMPUTED_VALUE"""),1200000.0)</f>
        <v>1200000</v>
      </c>
      <c r="E88" s="3"/>
      <c r="F88" s="3" t="str">
        <f>IFERROR(__xludf.DUMMYFUNCTION("""COMPUTED_VALUE"""),"DB")</f>
        <v>DB</v>
      </c>
      <c r="G88" s="3">
        <f>IFERROR(__xludf.DUMMYFUNCTION("""COMPUTED_VALUE"""),1.16549039976E9)</f>
        <v>1165490400</v>
      </c>
      <c r="H88" s="3"/>
      <c r="I88" s="3" t="str">
        <f>IFERROR(__xludf.DUMMYFUNCTION("""COMPUTED_VALUE"""),"EXSPEDISI")</f>
        <v>EXSPEDISI</v>
      </c>
    </row>
    <row r="89">
      <c r="A89" s="3" t="str">
        <f>IFERROR(__xludf.DUMMYFUNCTION("""COMPUTED_VALUE"""),"2023-06-26")</f>
        <v>2023-06-26</v>
      </c>
      <c r="B89" s="3" t="str">
        <f>IFERROR(__xludf.DUMMYFUNCTION("""COMPUTED_VALUE"""),"TRSF E-BANKING DB")</f>
        <v>TRSF E-BANKING DB</v>
      </c>
      <c r="C89" s="3" t="str">
        <f>IFERROR(__xludf.DUMMYFUNCTION("""COMPUTED_VALUE"""),"2606/FTSCY/WS95031 1731200.00 SUPRIYADI")</f>
        <v>2606/FTSCY/WS95031 1731200.00 SUPRIYADI</v>
      </c>
      <c r="D89" s="3">
        <f>IFERROR(__xludf.DUMMYFUNCTION("""COMPUTED_VALUE"""),1731200.0)</f>
        <v>1731200</v>
      </c>
      <c r="E89" s="3"/>
      <c r="F89" s="3" t="str">
        <f>IFERROR(__xludf.DUMMYFUNCTION("""COMPUTED_VALUE"""),"DB")</f>
        <v>DB</v>
      </c>
      <c r="G89" s="3">
        <f>IFERROR(__xludf.DUMMYFUNCTION("""COMPUTED_VALUE"""),1.12225414976E9)</f>
        <v>1122254150</v>
      </c>
      <c r="H89" s="3"/>
      <c r="I89" s="3" t="str">
        <f>IFERROR(__xludf.DUMMYFUNCTION("""COMPUTED_VALUE"""),"EXSPEDISI")</f>
        <v>EXSPEDISI</v>
      </c>
    </row>
    <row r="90">
      <c r="A90" s="3" t="str">
        <f>IFERROR(__xludf.DUMMYFUNCTION("""COMPUTED_VALUE"""),"2023-06-26")</f>
        <v>2023-06-26</v>
      </c>
      <c r="B90" s="3" t="str">
        <f>IFERROR(__xludf.DUMMYFUNCTION("""COMPUTED_VALUE"""),"TRSF E-BANKING DB")</f>
        <v>TRSF E-BANKING DB</v>
      </c>
      <c r="C90" s="3" t="str">
        <f>IFERROR(__xludf.DUMMYFUNCTION("""COMPUTED_VALUE"""),"2606/FTSCY/WS95031 10000000.00 EKO SETIYAWAN")</f>
        <v>2606/FTSCY/WS95031 10000000.00 EKO SETIYAWAN</v>
      </c>
      <c r="D90" s="3">
        <f>IFERROR(__xludf.DUMMYFUNCTION("""COMPUTED_VALUE"""),1.0E7)</f>
        <v>10000000</v>
      </c>
      <c r="E90" s="3"/>
      <c r="F90" s="3" t="str">
        <f>IFERROR(__xludf.DUMMYFUNCTION("""COMPUTED_VALUE"""),"DB")</f>
        <v>DB</v>
      </c>
      <c r="G90" s="3">
        <f>IFERROR(__xludf.DUMMYFUNCTION("""COMPUTED_VALUE"""),7.6361106976E8)</f>
        <v>763611069.8</v>
      </c>
      <c r="H90" s="3"/>
      <c r="I90" s="3" t="str">
        <f>IFERROR(__xludf.DUMMYFUNCTION("""COMPUTED_VALUE"""),"EXSPEDISI")</f>
        <v>EXSPEDISI</v>
      </c>
    </row>
    <row r="91">
      <c r="A91" s="3" t="str">
        <f>IFERROR(__xludf.DUMMYFUNCTION("""COMPUTED_VALUE"""),"2023-06-28")</f>
        <v>2023-06-28</v>
      </c>
      <c r="B91" s="3" t="str">
        <f>IFERROR(__xludf.DUMMYFUNCTION("""COMPUTED_VALUE"""),"BI-FAST DB")</f>
        <v>BI-FAST DB</v>
      </c>
      <c r="C91" s="3" t="str">
        <f>IFERROR(__xludf.DUMMYFUNCTION("""COMPUTED_VALUE"""),"BIF TRANSFER KE 2 FAJAR ANDREANZAH M-BCA")</f>
        <v>BIF TRANSFER KE 2 FAJAR ANDREANZAH M-BCA</v>
      </c>
      <c r="D91" s="3">
        <f>IFERROR(__xludf.DUMMYFUNCTION("""COMPUTED_VALUE"""),3213500.0)</f>
        <v>3213500</v>
      </c>
      <c r="E91" s="3"/>
      <c r="F91" s="3" t="str">
        <f>IFERROR(__xludf.DUMMYFUNCTION("""COMPUTED_VALUE"""),"DB")</f>
        <v>DB</v>
      </c>
      <c r="G91" s="3">
        <f>IFERROR(__xludf.DUMMYFUNCTION("""COMPUTED_VALUE"""),5.5916329576E8)</f>
        <v>559163295.8</v>
      </c>
      <c r="H91" s="3"/>
      <c r="I91" s="3" t="str">
        <f>IFERROR(__xludf.DUMMYFUNCTION("""COMPUTED_VALUE"""),"EXSPEDISI")</f>
        <v>EXSPEDISI</v>
      </c>
    </row>
    <row r="92">
      <c r="A92" s="3" t="str">
        <f>IFERROR(__xludf.DUMMYFUNCTION("""COMPUTED_VALUE"""),"2023-06-28")</f>
        <v>2023-06-28</v>
      </c>
      <c r="B92" s="3" t="str">
        <f>IFERROR(__xludf.DUMMYFUNCTION("""COMPUTED_VALUE"""),"BI-FAST DB")</f>
        <v>BI-FAST DB</v>
      </c>
      <c r="C92" s="3" t="str">
        <f>IFERROR(__xludf.DUMMYFUNCTION("""COMPUTED_VALUE"""),"BIF BIAYA TXN KE 2 FAJAR ANDREANZAH M-BCA")</f>
        <v>BIF BIAYA TXN KE 2 FAJAR ANDREANZAH M-BCA</v>
      </c>
      <c r="D92" s="3">
        <f>IFERROR(__xludf.DUMMYFUNCTION("""COMPUTED_VALUE"""),2500.0)</f>
        <v>2500</v>
      </c>
      <c r="E92" s="3"/>
      <c r="F92" s="3" t="str">
        <f>IFERROR(__xludf.DUMMYFUNCTION("""COMPUTED_VALUE"""),"DB")</f>
        <v>DB</v>
      </c>
      <c r="G92" s="3">
        <f>IFERROR(__xludf.DUMMYFUNCTION("""COMPUTED_VALUE"""),5.5916079576E8)</f>
        <v>559160795.8</v>
      </c>
      <c r="H92" s="3"/>
      <c r="I92" s="3" t="str">
        <f>IFERROR(__xludf.DUMMYFUNCTION("""COMPUTED_VALUE"""),"EXSPEDISI")</f>
        <v>EXSPEDISI</v>
      </c>
    </row>
    <row r="93">
      <c r="A93" s="3" t="str">
        <f>IFERROR(__xludf.DUMMYFUNCTION("""COMPUTED_VALUE"""),"2023-06-28")</f>
        <v>2023-06-28</v>
      </c>
      <c r="B93" s="3" t="str">
        <f>IFERROR(__xludf.DUMMYFUNCTION("""COMPUTED_VALUE"""),"TRSF E-BANKING DB")</f>
        <v>TRSF E-BANKING DB</v>
      </c>
      <c r="C93" s="3" t="str">
        <f>IFERROR(__xludf.DUMMYFUNCTION("""COMPUTED_VALUE"""),"2806/FTSCY/WS95031 4593500.00 lunas MUJIANTO")</f>
        <v>2806/FTSCY/WS95031 4593500.00 lunas MUJIANTO</v>
      </c>
      <c r="D93" s="3">
        <f>IFERROR(__xludf.DUMMYFUNCTION("""COMPUTED_VALUE"""),4593500.0)</f>
        <v>4593500</v>
      </c>
      <c r="E93" s="3"/>
      <c r="F93" s="3" t="str">
        <f>IFERROR(__xludf.DUMMYFUNCTION("""COMPUTED_VALUE"""),"DB")</f>
        <v>DB</v>
      </c>
      <c r="G93" s="3">
        <f>IFERROR(__xludf.DUMMYFUNCTION("""COMPUTED_VALUE"""),5.5456729576E8)</f>
        <v>554567295.8</v>
      </c>
      <c r="H93" s="3"/>
      <c r="I93" s="3" t="str">
        <f>IFERROR(__xludf.DUMMYFUNCTION("""COMPUTED_VALUE"""),"EXSPEDISI")</f>
        <v>EXSPEDISI</v>
      </c>
    </row>
    <row r="94">
      <c r="A94" s="3" t="str">
        <f>IFERROR(__xludf.DUMMYFUNCTION("""COMPUTED_VALUE"""),"2023-06-28")</f>
        <v>2023-06-28</v>
      </c>
      <c r="B94" s="3" t="str">
        <f>IFERROR(__xludf.DUMMYFUNCTION("""COMPUTED_VALUE"""),"TRSF E-BANKING DB")</f>
        <v>TRSF E-BANKING DB</v>
      </c>
      <c r="C94" s="3" t="str">
        <f>IFERROR(__xludf.DUMMYFUNCTION("""COMPUTED_VALUE"""),"2806/FTSCY/WS95031 4091960.00 HERMAWAN")</f>
        <v>2806/FTSCY/WS95031 4091960.00 HERMAWAN</v>
      </c>
      <c r="D94" s="3">
        <f>IFERROR(__xludf.DUMMYFUNCTION("""COMPUTED_VALUE"""),4091960.0)</f>
        <v>4091960</v>
      </c>
      <c r="E94" s="3"/>
      <c r="F94" s="3" t="str">
        <f>IFERROR(__xludf.DUMMYFUNCTION("""COMPUTED_VALUE"""),"DB")</f>
        <v>DB</v>
      </c>
      <c r="G94" s="3">
        <f>IFERROR(__xludf.DUMMYFUNCTION("""COMPUTED_VALUE"""),5.5047533576E8)</f>
        <v>550475335.8</v>
      </c>
      <c r="H94" s="3"/>
      <c r="I94" s="3" t="str">
        <f>IFERROR(__xludf.DUMMYFUNCTION("""COMPUTED_VALUE"""),"EXSPEDISI")</f>
        <v>EXSPEDISI</v>
      </c>
    </row>
    <row r="95">
      <c r="A95" s="3" t="str">
        <f>IFERROR(__xludf.DUMMYFUNCTION("""COMPUTED_VALUE"""),"2023-06-28")</f>
        <v>2023-06-28</v>
      </c>
      <c r="B95" s="3" t="str">
        <f>IFERROR(__xludf.DUMMYFUNCTION("""COMPUTED_VALUE"""),"TRSF E-BANKING DB")</f>
        <v>TRSF E-BANKING DB</v>
      </c>
      <c r="C95" s="3" t="str">
        <f>IFERROR(__xludf.DUMMYFUNCTION("""COMPUTED_VALUE"""),"2806/FTSCY/WS95031 1000000.00 DIANA NOVITA")</f>
        <v>2806/FTSCY/WS95031 1000000.00 DIANA NOVITA</v>
      </c>
      <c r="D95" s="3">
        <f>IFERROR(__xludf.DUMMYFUNCTION("""COMPUTED_VALUE"""),1000000.0)</f>
        <v>1000000</v>
      </c>
      <c r="E95" s="3"/>
      <c r="F95" s="3" t="str">
        <f>IFERROR(__xludf.DUMMYFUNCTION("""COMPUTED_VALUE"""),"DB")</f>
        <v>DB</v>
      </c>
      <c r="G95" s="3">
        <f>IFERROR(__xludf.DUMMYFUNCTION("""COMPUTED_VALUE"""),5.4947533576E8)</f>
        <v>549475335.8</v>
      </c>
      <c r="H95" s="3"/>
      <c r="I95" s="3" t="str">
        <f>IFERROR(__xludf.DUMMYFUNCTION("""COMPUTED_VALUE"""),"EXSPEDISI")</f>
        <v>EXSPEDISI</v>
      </c>
    </row>
    <row r="96">
      <c r="A96" s="3" t="str">
        <f>IFERROR(__xludf.DUMMYFUNCTION("""COMPUTED_VALUE"""),"2023-06-28")</f>
        <v>2023-06-28</v>
      </c>
      <c r="B96" s="3" t="str">
        <f>IFERROR(__xludf.DUMMYFUNCTION("""COMPUTED_VALUE"""),"BI-FAST DB")</f>
        <v>BI-FAST DB</v>
      </c>
      <c r="C96" s="3" t="str">
        <f>IFERROR(__xludf.DUMMYFUNCTION("""COMPUTED_VALUE"""),"BIF TRANSFER KE 2 FAJAR ANDREANZAH M-BCA")</f>
        <v>BIF TRANSFER KE 2 FAJAR ANDREANZAH M-BCA</v>
      </c>
      <c r="D96" s="3">
        <f>IFERROR(__xludf.DUMMYFUNCTION("""COMPUTED_VALUE"""),150000.0)</f>
        <v>150000</v>
      </c>
      <c r="E96" s="3"/>
      <c r="F96" s="3" t="str">
        <f>IFERROR(__xludf.DUMMYFUNCTION("""COMPUTED_VALUE"""),"DB")</f>
        <v>DB</v>
      </c>
      <c r="G96" s="3">
        <f>IFERROR(__xludf.DUMMYFUNCTION("""COMPUTED_VALUE"""),5.4932533576E8)</f>
        <v>549325335.8</v>
      </c>
      <c r="H96" s="3"/>
      <c r="I96" s="3" t="str">
        <f>IFERROR(__xludf.DUMMYFUNCTION("""COMPUTED_VALUE"""),"EXSPEDISI")</f>
        <v>EXSPEDISI</v>
      </c>
    </row>
    <row r="97">
      <c r="A97" s="3" t="str">
        <f>IFERROR(__xludf.DUMMYFUNCTION("""COMPUTED_VALUE"""),"2023-06-28")</f>
        <v>2023-06-28</v>
      </c>
      <c r="B97" s="3" t="str">
        <f>IFERROR(__xludf.DUMMYFUNCTION("""COMPUTED_VALUE"""),"BI-FAST DB")</f>
        <v>BI-FAST DB</v>
      </c>
      <c r="C97" s="3" t="str">
        <f>IFERROR(__xludf.DUMMYFUNCTION("""COMPUTED_VALUE"""),"BIF BIAYA TXN KE 2 FAJAR ANDREANZAH M-BCA")</f>
        <v>BIF BIAYA TXN KE 2 FAJAR ANDREANZAH M-BCA</v>
      </c>
      <c r="D97" s="3">
        <f>IFERROR(__xludf.DUMMYFUNCTION("""COMPUTED_VALUE"""),2500.0)</f>
        <v>2500</v>
      </c>
      <c r="E97" s="3"/>
      <c r="F97" s="3" t="str">
        <f>IFERROR(__xludf.DUMMYFUNCTION("""COMPUTED_VALUE"""),"DB")</f>
        <v>DB</v>
      </c>
      <c r="G97" s="3">
        <f>IFERROR(__xludf.DUMMYFUNCTION("""COMPUTED_VALUE"""),5.4932283576E8)</f>
        <v>549322835.8</v>
      </c>
      <c r="H97" s="3"/>
      <c r="I97" s="3" t="str">
        <f>IFERROR(__xludf.DUMMYFUNCTION("""COMPUTED_VALUE"""),"EXSPEDISI")</f>
        <v>EXSPEDISI</v>
      </c>
    </row>
    <row r="98">
      <c r="A98" s="3" t="str">
        <f>IFERROR(__xludf.DUMMYFUNCTION("""COMPUTED_VALUE"""),"2023-06-28")</f>
        <v>2023-06-28</v>
      </c>
      <c r="B98" s="3" t="str">
        <f>IFERROR(__xludf.DUMMYFUNCTION("""COMPUTED_VALUE"""),"TRSF E-BANKING DB")</f>
        <v>TRSF E-BANKING DB</v>
      </c>
      <c r="C98" s="3" t="str">
        <f>IFERROR(__xludf.DUMMYFUNCTION("""COMPUTED_VALUE"""),"2806/FTSCY/WS95031 1820400.00 SUPRIYADI")</f>
        <v>2806/FTSCY/WS95031 1820400.00 SUPRIYADI</v>
      </c>
      <c r="D98" s="3">
        <f>IFERROR(__xludf.DUMMYFUNCTION("""COMPUTED_VALUE"""),1820400.0)</f>
        <v>1820400</v>
      </c>
      <c r="E98" s="3"/>
      <c r="F98" s="3" t="str">
        <f>IFERROR(__xludf.DUMMYFUNCTION("""COMPUTED_VALUE"""),"DB")</f>
        <v>DB</v>
      </c>
      <c r="G98" s="3">
        <f>IFERROR(__xludf.DUMMYFUNCTION("""COMPUTED_VALUE"""),5.4750243576E8)</f>
        <v>547502435.8</v>
      </c>
      <c r="H98" s="3"/>
      <c r="I98" s="3" t="str">
        <f>IFERROR(__xludf.DUMMYFUNCTION("""COMPUTED_VALUE"""),"EXSPEDISI")</f>
        <v>EXSPEDISI</v>
      </c>
    </row>
    <row r="99">
      <c r="A99" s="3" t="str">
        <f>IFERROR(__xludf.DUMMYFUNCTION("""COMPUTED_VALUE"""),"2023-06-29")</f>
        <v>2023-06-29</v>
      </c>
      <c r="B99" s="3" t="str">
        <f>IFERROR(__xludf.DUMMYFUNCTION("""COMPUTED_VALUE"""),"TRSF E-BANKING DB")</f>
        <v>TRSF E-BANKING DB</v>
      </c>
      <c r="C99" s="3" t="str">
        <f>IFERROR(__xludf.DUMMYFUNCTION("""COMPUTED_VALUE"""),"2906/FTSCY/WS95031 1400000.00 bon 1 jt DIANA NOVITA")</f>
        <v>2906/FTSCY/WS95031 1400000.00 bon 1 jt DIANA NOVITA</v>
      </c>
      <c r="D99" s="3">
        <f>IFERROR(__xludf.DUMMYFUNCTION("""COMPUTED_VALUE"""),1400000.0)</f>
        <v>1400000</v>
      </c>
      <c r="E99" s="3"/>
      <c r="F99" s="3" t="str">
        <f>IFERROR(__xludf.DUMMYFUNCTION("""COMPUTED_VALUE"""),"DB")</f>
        <v>DB</v>
      </c>
      <c r="G99" s="3">
        <f>IFERROR(__xludf.DUMMYFUNCTION("""COMPUTED_VALUE"""),5.7630008576E8)</f>
        <v>576300085.8</v>
      </c>
      <c r="H99" s="3">
        <f>IFERROR(__xludf.DUMMYFUNCTION("""COMPUTED_VALUE"""),5.7630008576E8)</f>
        <v>576300085.8</v>
      </c>
      <c r="I99" s="3" t="str">
        <f>IFERROR(__xludf.DUMMYFUNCTION("""COMPUTED_VALUE"""),"EXSPEDISI")</f>
        <v>EXSPEDISI</v>
      </c>
    </row>
    <row r="100">
      <c r="A100" s="3" t="str">
        <f>IFERROR(__xludf.DUMMYFUNCTION("""COMPUTED_VALUE"""),"2023-06-29")</f>
        <v>2023-06-29</v>
      </c>
      <c r="B100" s="3" t="str">
        <f>IFERROR(__xludf.DUMMYFUNCTION("""COMPUTED_VALUE"""),"TRSF E-BANKING DB")</f>
        <v>TRSF E-BANKING DB</v>
      </c>
      <c r="C100" s="3" t="str">
        <f>IFERROR(__xludf.DUMMYFUNCTION("""COMPUTED_VALUE"""),"2906/FTSCY/WS95031 500000.00 SUPRIYADI")</f>
        <v>2906/FTSCY/WS95031 500000.00 SUPRIYADI</v>
      </c>
      <c r="D100" s="3">
        <f>IFERROR(__xludf.DUMMYFUNCTION("""COMPUTED_VALUE"""),500000.0)</f>
        <v>500000</v>
      </c>
      <c r="E100" s="3"/>
      <c r="F100" s="3" t="str">
        <f>IFERROR(__xludf.DUMMYFUNCTION("""COMPUTED_VALUE"""),"DB")</f>
        <v>DB</v>
      </c>
      <c r="G100" s="3">
        <f>IFERROR(__xludf.DUMMYFUNCTION("""COMPUTED_VALUE"""),5.7580008576E8)</f>
        <v>575800085.8</v>
      </c>
      <c r="H100" s="3"/>
      <c r="I100" s="3" t="str">
        <f>IFERROR(__xludf.DUMMYFUNCTION("""COMPUTED_VALUE"""),"EXSPEDISI")</f>
        <v>EXSPEDISI</v>
      </c>
    </row>
    <row r="101">
      <c r="A101" s="3" t="str">
        <f>IFERROR(__xludf.DUMMYFUNCTION("""COMPUTED_VALUE"""),"2023-06-29")</f>
        <v>2023-06-29</v>
      </c>
      <c r="B101" s="3" t="str">
        <f>IFERROR(__xludf.DUMMYFUNCTION("""COMPUTED_VALUE"""),"TRSF E-BANKING DB")</f>
        <v>TRSF E-BANKING DB</v>
      </c>
      <c r="C101" s="3" t="str">
        <f>IFERROR(__xludf.DUMMYFUNCTION("""COMPUTED_VALUE"""),"2906/FTSCY/WS95031 5000000.00 EKO SETIYAWAN")</f>
        <v>2906/FTSCY/WS95031 5000000.00 EKO SETIYAWAN</v>
      </c>
      <c r="D101" s="3">
        <f>IFERROR(__xludf.DUMMYFUNCTION("""COMPUTED_VALUE"""),5000000.0)</f>
        <v>5000000</v>
      </c>
      <c r="E101" s="3"/>
      <c r="F101" s="3" t="str">
        <f>IFERROR(__xludf.DUMMYFUNCTION("""COMPUTED_VALUE"""),"DB")</f>
        <v>DB</v>
      </c>
      <c r="G101" s="3">
        <f>IFERROR(__xludf.DUMMYFUNCTION("""COMPUTED_VALUE"""),5.7080008576E8)</f>
        <v>570800085.8</v>
      </c>
      <c r="H101" s="3"/>
      <c r="I101" s="3" t="str">
        <f>IFERROR(__xludf.DUMMYFUNCTION("""COMPUTED_VALUE"""),"EXSPEDISI")</f>
        <v>EXSPEDISI</v>
      </c>
    </row>
    <row r="102">
      <c r="A102" s="3" t="str">
        <f>IFERROR(__xludf.DUMMYFUNCTION("""COMPUTED_VALUE"""),"2023-06-30")</f>
        <v>2023-06-30</v>
      </c>
      <c r="B102" s="3" t="str">
        <f>IFERROR(__xludf.DUMMYFUNCTION("""COMPUTED_VALUE"""),"TRSF E-BANKING DB")</f>
        <v>TRSF E-BANKING DB</v>
      </c>
      <c r="C102" s="3" t="str">
        <f>IFERROR(__xludf.DUMMYFUNCTION("""COMPUTED_VALUE"""),"3006/FTSCY/WS95031 1800000.00 DIANA NOVITA")</f>
        <v>3006/FTSCY/WS95031 1800000.00 DIANA NOVITA</v>
      </c>
      <c r="D102" s="3">
        <f>IFERROR(__xludf.DUMMYFUNCTION("""COMPUTED_VALUE"""),1800000.0)</f>
        <v>1800000</v>
      </c>
      <c r="E102" s="3"/>
      <c r="F102" s="3" t="str">
        <f>IFERROR(__xludf.DUMMYFUNCTION("""COMPUTED_VALUE"""),"DB")</f>
        <v>DB</v>
      </c>
      <c r="G102" s="3">
        <f>IFERROR(__xludf.DUMMYFUNCTION("""COMPUTED_VALUE"""),5.4642394776E8)</f>
        <v>546423947.8</v>
      </c>
      <c r="H102" s="3"/>
      <c r="I102" s="3" t="str">
        <f>IFERROR(__xludf.DUMMYFUNCTION("""COMPUTED_VALUE"""),"EXSPEDISI")</f>
        <v>EXSPEDISI</v>
      </c>
    </row>
    <row r="103">
      <c r="A103" s="3" t="str">
        <f>IFERROR(__xludf.DUMMYFUNCTION("""COMPUTED_VALUE"""),"2023-06-30")</f>
        <v>2023-06-30</v>
      </c>
      <c r="B103" s="3" t="str">
        <f>IFERROR(__xludf.DUMMYFUNCTION("""COMPUTED_VALUE"""),"TRSF E-BANKING DB")</f>
        <v>TRSF E-BANKING DB</v>
      </c>
      <c r="C103" s="3" t="str">
        <f>IFERROR(__xludf.DUMMYFUNCTION("""COMPUTED_VALUE"""),"3006/FTSCY/WS95031 2594100.00 SUPRIYADI")</f>
        <v>3006/FTSCY/WS95031 2594100.00 SUPRIYADI</v>
      </c>
      <c r="D103" s="3">
        <f>IFERROR(__xludf.DUMMYFUNCTION("""COMPUTED_VALUE"""),2594100.0)</f>
        <v>2594100</v>
      </c>
      <c r="E103" s="3"/>
      <c r="F103" s="3" t="str">
        <f>IFERROR(__xludf.DUMMYFUNCTION("""COMPUTED_VALUE"""),"DB")</f>
        <v>DB</v>
      </c>
      <c r="G103" s="3">
        <f>IFERROR(__xludf.DUMMYFUNCTION("""COMPUTED_VALUE"""),5.4532984776E8)</f>
        <v>545329847.8</v>
      </c>
      <c r="H103" s="3"/>
      <c r="I103" s="3" t="str">
        <f>IFERROR(__xludf.DUMMYFUNCTION("""COMPUTED_VALUE"""),"EXSPEDISI")</f>
        <v>EXSPEDISI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tr">
        <f>IFERROR(__xludf.DUMMYFUNCTION("IFERROR(QUERY(JUN_2023!A:I, ""SELECT * WHERE D IS NOT NULL AND UPPER(I) = 'V_SALES'"", 1), ""Data V_SALES belum ditemukan"")"),"2023-06-06")</f>
        <v>2023-06-06</v>
      </c>
      <c r="B1" s="3" t="str">
        <f>IFERROR(__xludf.DUMMYFUNCTION("""COMPUTED_VALUE"""),"TRSF E-BANKING DB")</f>
        <v>TRSF E-BANKING DB</v>
      </c>
      <c r="C1" s="3" t="str">
        <f>IFERROR(__xludf.DUMMYFUNCTION("""COMPUTED_VALUE"""),"0306/FTSCY/WS95031 1000000.00 ANDE DOSO ANGGORO 1000000.00 ANDE DOSO ANGGORO")</f>
        <v>0306/FTSCY/WS95031 1000000.00 ANDE DOSO ANGGORO 1000000.00 ANDE DOSO ANGGORO</v>
      </c>
      <c r="D1" s="3">
        <f>IFERROR(__xludf.DUMMYFUNCTION("""COMPUTED_VALUE"""),1000000.0)</f>
        <v>1000000</v>
      </c>
      <c r="E1" s="3"/>
      <c r="F1" s="3" t="str">
        <f>IFERROR(__xludf.DUMMYFUNCTION("""COMPUTED_VALUE"""),"DB")</f>
        <v>DB</v>
      </c>
      <c r="G1" s="3">
        <f>IFERROR(__xludf.DUMMYFUNCTION("""COMPUTED_VALUE"""),9219613.75999999)</f>
        <v>9219613.76</v>
      </c>
      <c r="H1" s="3"/>
      <c r="I1" s="3" t="str">
        <f>IFERROR(__xludf.DUMMYFUNCTION("""COMPUTED_VALUE"""),"V_SALES")</f>
        <v>V_SALES</v>
      </c>
      <c r="J1" s="3">
        <f>SUM(D1:D1000)</f>
        <v>16949405</v>
      </c>
    </row>
    <row r="2">
      <c r="A2" s="3" t="str">
        <f>IFERROR(__xludf.DUMMYFUNCTION("""COMPUTED_VALUE"""),"2023-06-06")</f>
        <v>2023-06-06</v>
      </c>
      <c r="B2" s="3" t="str">
        <f>IFERROR(__xludf.DUMMYFUNCTION("""COMPUTED_VALUE"""),"TRSF E-BANKING DB")</f>
        <v>TRSF E-BANKING DB</v>
      </c>
      <c r="C2" s="3" t="str">
        <f>IFERROR(__xludf.DUMMYFUNCTION("""COMPUTED_VALUE"""),"0306/FTSCY/WS95031 290900.00 NURHAYATI 290900.00 NURHAYATI")</f>
        <v>0306/FTSCY/WS95031 290900.00 NURHAYATI 290900.00 NURHAYATI</v>
      </c>
      <c r="D2" s="3">
        <f>IFERROR(__xludf.DUMMYFUNCTION("""COMPUTED_VALUE"""),290900.0)</f>
        <v>290900</v>
      </c>
      <c r="E2" s="3"/>
      <c r="F2" s="3" t="str">
        <f>IFERROR(__xludf.DUMMYFUNCTION("""COMPUTED_VALUE"""),"DB")</f>
        <v>DB</v>
      </c>
      <c r="G2" s="3">
        <f>IFERROR(__xludf.DUMMYFUNCTION("""COMPUTED_VALUE"""),8928713.75999999)</f>
        <v>8928713.76</v>
      </c>
      <c r="H2" s="3"/>
      <c r="I2" s="3" t="str">
        <f>IFERROR(__xludf.DUMMYFUNCTION("""COMPUTED_VALUE"""),"V_SALES")</f>
        <v>V_SALES</v>
      </c>
    </row>
    <row r="3">
      <c r="A3" s="3" t="str">
        <f>IFERROR(__xludf.DUMMYFUNCTION("""COMPUTED_VALUE"""),"2023-06-06")</f>
        <v>2023-06-06</v>
      </c>
      <c r="B3" s="3" t="str">
        <f>IFERROR(__xludf.DUMMYFUNCTION("""COMPUTED_VALUE"""),"TRSF E-BANKING DB")</f>
        <v>TRSF E-BANKING DB</v>
      </c>
      <c r="C3" s="3" t="str">
        <f>IFERROR(__xludf.DUMMYFUNCTION("""COMPUTED_VALUE"""),"0706/FTSCY/WS95031 1420000.00 NURHAYATI 1420000.00 NURHAYATI")</f>
        <v>0706/FTSCY/WS95031 1420000.00 NURHAYATI 1420000.00 NURHAYATI</v>
      </c>
      <c r="D3" s="3">
        <f>IFERROR(__xludf.DUMMYFUNCTION("""COMPUTED_VALUE"""),1420000.0)</f>
        <v>1420000</v>
      </c>
      <c r="E3" s="3"/>
      <c r="F3" s="3" t="str">
        <f>IFERROR(__xludf.DUMMYFUNCTION("""COMPUTED_VALUE"""),"DB")</f>
        <v>DB</v>
      </c>
      <c r="G3" s="3">
        <f>IFERROR(__xludf.DUMMYFUNCTION("""COMPUTED_VALUE"""),9.590176775999999E7)</f>
        <v>95901767.76</v>
      </c>
      <c r="H3" s="3"/>
      <c r="I3" s="3" t="str">
        <f>IFERROR(__xludf.DUMMYFUNCTION("""COMPUTED_VALUE"""),"V_SALES")</f>
        <v>V_SALES</v>
      </c>
    </row>
    <row r="4">
      <c r="A4" s="3" t="str">
        <f>IFERROR(__xludf.DUMMYFUNCTION("""COMPUTED_VALUE"""),"2023-06-06")</f>
        <v>2023-06-06</v>
      </c>
      <c r="B4" s="3" t="str">
        <f>IFERROR(__xludf.DUMMYFUNCTION("""COMPUTED_VALUE"""),"TRSF E-BANKING DB TANGGAL :07/06")</f>
        <v>TRSF E-BANKING DB TANGGAL :07/06</v>
      </c>
      <c r="C4" s="3" t="str">
        <f>IFERROR(__xludf.DUMMYFUNCTION("""COMPUTED_VALUE"""),"0706/FTSCY/WS95031 ANDE DOSO ANGGORO")</f>
        <v>0706/FTSCY/WS95031 ANDE DOSO ANGGORO</v>
      </c>
      <c r="D4" s="3">
        <f>IFERROR(__xludf.DUMMYFUNCTION("""COMPUTED_VALUE"""),651440.0)</f>
        <v>651440</v>
      </c>
      <c r="E4" s="3"/>
      <c r="F4" s="3" t="str">
        <f>IFERROR(__xludf.DUMMYFUNCTION("""COMPUTED_VALUE"""),"DB")</f>
        <v>DB</v>
      </c>
      <c r="G4" s="3">
        <f>IFERROR(__xludf.DUMMYFUNCTION("""COMPUTED_VALUE"""),2.3944059776E8)</f>
        <v>239440597.8</v>
      </c>
      <c r="H4" s="3"/>
      <c r="I4" s="3" t="str">
        <f>IFERROR(__xludf.DUMMYFUNCTION("""COMPUTED_VALUE"""),"V_SALES")</f>
        <v>V_SALES</v>
      </c>
    </row>
    <row r="5">
      <c r="A5" s="3" t="str">
        <f>IFERROR(__xludf.DUMMYFUNCTION("""COMPUTED_VALUE"""),"2023-06-06")</f>
        <v>2023-06-06</v>
      </c>
      <c r="B5" s="3" t="str">
        <f>IFERROR(__xludf.DUMMYFUNCTION("""COMPUTED_VALUE"""),"BI-FAST DB TANGGAL :08/06")</f>
        <v>BI-FAST DB TANGGAL :08/06</v>
      </c>
      <c r="C5" s="3" t="str">
        <f>IFERROR(__xludf.DUMMYFUNCTION("""COMPUTED_VALUE"""),"BIF TRANSFER KE ERIK BASONI M-BCA")</f>
        <v>BIF TRANSFER KE ERIK BASONI M-BCA</v>
      </c>
      <c r="D5" s="3">
        <f>IFERROR(__xludf.DUMMYFUNCTION("""COMPUTED_VALUE"""),300000.0)</f>
        <v>300000</v>
      </c>
      <c r="E5" s="3"/>
      <c r="F5" s="3" t="str">
        <f>IFERROR(__xludf.DUMMYFUNCTION("""COMPUTED_VALUE"""),"DB")</f>
        <v>DB</v>
      </c>
      <c r="G5" s="3">
        <f>IFERROR(__xludf.DUMMYFUNCTION("""COMPUTED_VALUE"""),3.2157327276E8)</f>
        <v>321573272.8</v>
      </c>
      <c r="H5" s="3">
        <f>IFERROR(__xludf.DUMMYFUNCTION("""COMPUTED_VALUE"""),3.2157327276E8)</f>
        <v>321573272.8</v>
      </c>
      <c r="I5" s="3" t="str">
        <f>IFERROR(__xludf.DUMMYFUNCTION("""COMPUTED_VALUE"""),"V_SALES")</f>
        <v>V_SALES</v>
      </c>
    </row>
    <row r="6">
      <c r="A6" s="3" t="str">
        <f>IFERROR(__xludf.DUMMYFUNCTION("""COMPUTED_VALUE"""),"2023-06-06")</f>
        <v>2023-06-06</v>
      </c>
      <c r="B6" s="3" t="str">
        <f>IFERROR(__xludf.DUMMYFUNCTION("""COMPUTED_VALUE"""),"BI-FAST DB TANGGAL :08/06")</f>
        <v>BI-FAST DB TANGGAL :08/06</v>
      </c>
      <c r="C6" s="3" t="str">
        <f>IFERROR(__xludf.DUMMYFUNCTION("""COMPUTED_VALUE"""),"BIF BIAYA TXN KE ERIK BASONI M-BCA")</f>
        <v>BIF BIAYA TXN KE ERIK BASONI M-BCA</v>
      </c>
      <c r="D6" s="3">
        <f>IFERROR(__xludf.DUMMYFUNCTION("""COMPUTED_VALUE"""),2500.0)</f>
        <v>2500</v>
      </c>
      <c r="E6" s="3"/>
      <c r="F6" s="3" t="str">
        <f>IFERROR(__xludf.DUMMYFUNCTION("""COMPUTED_VALUE"""),"DB")</f>
        <v>DB</v>
      </c>
      <c r="G6" s="3">
        <f>IFERROR(__xludf.DUMMYFUNCTION("""COMPUTED_VALUE"""),3.2157077276E8)</f>
        <v>321570772.8</v>
      </c>
      <c r="H6" s="3">
        <f>IFERROR(__xludf.DUMMYFUNCTION("""COMPUTED_VALUE"""),3.2157077276E8)</f>
        <v>321570772.8</v>
      </c>
      <c r="I6" s="3" t="str">
        <f>IFERROR(__xludf.DUMMYFUNCTION("""COMPUTED_VALUE"""),"V_SALES")</f>
        <v>V_SALES</v>
      </c>
    </row>
    <row r="7">
      <c r="A7" s="3" t="str">
        <f>IFERROR(__xludf.DUMMYFUNCTION("""COMPUTED_VALUE"""),"2023-06-06")</f>
        <v>2023-06-06</v>
      </c>
      <c r="B7" s="3" t="str">
        <f>IFERROR(__xludf.DUMMYFUNCTION("""COMPUTED_VALUE"""),"TRSF E-BANKING DB TANGGAL :08/06")</f>
        <v>TRSF E-BANKING DB TANGGAL :08/06</v>
      </c>
      <c r="C7" s="3" t="str">
        <f>IFERROR(__xludf.DUMMYFUNCTION("""COMPUTED_VALUE"""),"0806/FTSCY/WS95031 ANDE DOSO ANGGORO")</f>
        <v>0806/FTSCY/WS95031 ANDE DOSO ANGGORO</v>
      </c>
      <c r="D7" s="3">
        <f>IFERROR(__xludf.DUMMYFUNCTION("""COMPUTED_VALUE"""),760000.0)</f>
        <v>760000</v>
      </c>
      <c r="E7" s="3"/>
      <c r="F7" s="3" t="str">
        <f>IFERROR(__xludf.DUMMYFUNCTION("""COMPUTED_VALUE"""),"DB")</f>
        <v>DB</v>
      </c>
      <c r="G7" s="3">
        <f>IFERROR(__xludf.DUMMYFUNCTION("""COMPUTED_VALUE"""),2701672.7599999905)</f>
        <v>2701672.76</v>
      </c>
      <c r="H7" s="3"/>
      <c r="I7" s="3" t="str">
        <f>IFERROR(__xludf.DUMMYFUNCTION("""COMPUTED_VALUE"""),"V_SALES")</f>
        <v>V_SALES</v>
      </c>
    </row>
    <row r="8">
      <c r="A8" s="3" t="str">
        <f>IFERROR(__xludf.DUMMYFUNCTION("""COMPUTED_VALUE"""),"2023-06-06")</f>
        <v>2023-06-06</v>
      </c>
      <c r="B8" s="3" t="str">
        <f>IFERROR(__xludf.DUMMYFUNCTION("""COMPUTED_VALUE"""),"TRSF E-BANKING DB TANGGAL :09/06")</f>
        <v>TRSF E-BANKING DB TANGGAL :09/06</v>
      </c>
      <c r="C8" s="3" t="str">
        <f>IFERROR(__xludf.DUMMYFUNCTION("""COMPUTED_VALUE"""),"0906/FTSCY/WS95031 NURHAYATI")</f>
        <v>0906/FTSCY/WS95031 NURHAYATI</v>
      </c>
      <c r="D8" s="3">
        <f>IFERROR(__xludf.DUMMYFUNCTION("""COMPUTED_VALUE"""),601250.0)</f>
        <v>601250</v>
      </c>
      <c r="E8" s="3"/>
      <c r="F8" s="3" t="str">
        <f>IFERROR(__xludf.DUMMYFUNCTION("""COMPUTED_VALUE"""),"DB")</f>
        <v>DB</v>
      </c>
      <c r="G8" s="3">
        <f>IFERROR(__xludf.DUMMYFUNCTION("""COMPUTED_VALUE"""),8.075206075999999E7)</f>
        <v>80752060.76</v>
      </c>
      <c r="H8" s="3"/>
      <c r="I8" s="3" t="str">
        <f>IFERROR(__xludf.DUMMYFUNCTION("""COMPUTED_VALUE"""),"V_SALES")</f>
        <v>V_SALES</v>
      </c>
    </row>
    <row r="9">
      <c r="A9" s="3" t="str">
        <f>IFERROR(__xludf.DUMMYFUNCTION("""COMPUTED_VALUE"""),"2023-13-13")</f>
        <v>2023-13-13</v>
      </c>
      <c r="B9" s="3" t="str">
        <f>IFERROR(__xludf.DUMMYFUNCTION("""COMPUTED_VALUE"""),"TRSF E-BANKING DB")</f>
        <v>TRSF E-BANKING DB</v>
      </c>
      <c r="C9" s="3" t="str">
        <f>IFERROR(__xludf.DUMMYFUNCTION("""COMPUTED_VALUE"""),"1306/FTSCY/WS95271 300000 SITI RAHMA IFTITAH")</f>
        <v>1306/FTSCY/WS95271 300000 SITI RAHMA IFTITAH</v>
      </c>
      <c r="D9" s="3">
        <f>IFERROR(__xludf.DUMMYFUNCTION("""COMPUTED_VALUE"""),300000.0)</f>
        <v>300000</v>
      </c>
      <c r="E9" s="3"/>
      <c r="F9" s="3" t="str">
        <f>IFERROR(__xludf.DUMMYFUNCTION("""COMPUTED_VALUE"""),"DB")</f>
        <v>DB</v>
      </c>
      <c r="G9" s="3">
        <f>IFERROR(__xludf.DUMMYFUNCTION("""COMPUTED_VALUE"""),2.0673354076E8)</f>
        <v>206733540.8</v>
      </c>
      <c r="H9" s="3"/>
      <c r="I9" s="3" t="str">
        <f>IFERROR(__xludf.DUMMYFUNCTION("""COMPUTED_VALUE"""),"V_SALES")</f>
        <v>V_SALES</v>
      </c>
    </row>
    <row r="10">
      <c r="A10" s="3" t="str">
        <f>IFERROR(__xludf.DUMMYFUNCTION("""COMPUTED_VALUE"""),"2023-06-18")</f>
        <v>2023-06-18</v>
      </c>
      <c r="B10" s="3" t="str">
        <f>IFERROR(__xludf.DUMMYFUNCTION("""COMPUTED_VALUE"""),"TRSF E-BANKING DB")</f>
        <v>TRSF E-BANKING DB</v>
      </c>
      <c r="C10" s="3" t="str">
        <f>IFERROR(__xludf.DUMMYFUNCTION("""COMPUTED_VALUE"""),"1806/FTSCY/WS95031 2500000.00 NURHAYATI")</f>
        <v>1806/FTSCY/WS95031 2500000.00 NURHAYATI</v>
      </c>
      <c r="D10" s="3">
        <f>IFERROR(__xludf.DUMMYFUNCTION("""COMPUTED_VALUE"""),2500000.0)</f>
        <v>2500000</v>
      </c>
      <c r="E10" s="3"/>
      <c r="F10" s="3" t="str">
        <f>IFERROR(__xludf.DUMMYFUNCTION("""COMPUTED_VALUE"""),"DB")</f>
        <v>DB</v>
      </c>
      <c r="G10" s="3">
        <f>IFERROR(__xludf.DUMMYFUNCTION("""COMPUTED_VALUE"""),3.114360075999999E7)</f>
        <v>31143600.76</v>
      </c>
      <c r="H10" s="3">
        <f>IFERROR(__xludf.DUMMYFUNCTION("""COMPUTED_VALUE"""),3.114360076E7)</f>
        <v>31143600.76</v>
      </c>
      <c r="I10" s="3" t="str">
        <f>IFERROR(__xludf.DUMMYFUNCTION("""COMPUTED_VALUE"""),"V_SALES")</f>
        <v>V_SALES</v>
      </c>
    </row>
    <row r="11">
      <c r="A11" s="3" t="str">
        <f>IFERROR(__xludf.DUMMYFUNCTION("""COMPUTED_VALUE"""),"2023-06-19")</f>
        <v>2023-06-19</v>
      </c>
      <c r="B11" s="3" t="str">
        <f>IFERROR(__xludf.DUMMYFUNCTION("""COMPUTED_VALUE"""),"TRSF E-BANKING DB")</f>
        <v>TRSF E-BANKING DB</v>
      </c>
      <c r="C11" s="3" t="str">
        <f>IFERROR(__xludf.DUMMYFUNCTION("""COMPUTED_VALUE"""),"1906/FTSCY/WS95031 350000.00 ANDE DOSO ANGGORO")</f>
        <v>1906/FTSCY/WS95031 350000.00 ANDE DOSO ANGGORO</v>
      </c>
      <c r="D11" s="3">
        <f>IFERROR(__xludf.DUMMYFUNCTION("""COMPUTED_VALUE"""),350000.0)</f>
        <v>350000</v>
      </c>
      <c r="E11" s="3"/>
      <c r="F11" s="3" t="str">
        <f>IFERROR(__xludf.DUMMYFUNCTION("""COMPUTED_VALUE"""),"DB")</f>
        <v>DB</v>
      </c>
      <c r="G11" s="3">
        <f>IFERROR(__xludf.DUMMYFUNCTION("""COMPUTED_VALUE"""),1.020028075999999E7)</f>
        <v>10200280.76</v>
      </c>
      <c r="H11" s="3"/>
      <c r="I11" s="3" t="str">
        <f>IFERROR(__xludf.DUMMYFUNCTION("""COMPUTED_VALUE"""),"V_SALES")</f>
        <v>V_SALES</v>
      </c>
    </row>
    <row r="12">
      <c r="A12" s="3" t="str">
        <f>IFERROR(__xludf.DUMMYFUNCTION("""COMPUTED_VALUE"""),"2023-06-19")</f>
        <v>2023-06-19</v>
      </c>
      <c r="B12" s="3" t="str">
        <f>IFERROR(__xludf.DUMMYFUNCTION("""COMPUTED_VALUE"""),"TRSF E-BANKING DB")</f>
        <v>TRSF E-BANKING DB</v>
      </c>
      <c r="C12" s="3" t="str">
        <f>IFERROR(__xludf.DUMMYFUNCTION("""COMPUTED_VALUE"""),"1906/FTSCY/WS95031 2010700.00 NURHAYATI")</f>
        <v>1906/FTSCY/WS95031 2010700.00 NURHAYATI</v>
      </c>
      <c r="D12" s="3">
        <f>IFERROR(__xludf.DUMMYFUNCTION("""COMPUTED_VALUE"""),2010700.0)</f>
        <v>2010700</v>
      </c>
      <c r="E12" s="3"/>
      <c r="F12" s="3" t="str">
        <f>IFERROR(__xludf.DUMMYFUNCTION("""COMPUTED_VALUE"""),"DB")</f>
        <v>DB</v>
      </c>
      <c r="G12" s="3">
        <f>IFERROR(__xludf.DUMMYFUNCTION("""COMPUTED_VALUE"""),5081180.75999999)</f>
        <v>5081180.76</v>
      </c>
      <c r="H12" s="3">
        <f>IFERROR(__xludf.DUMMYFUNCTION("""COMPUTED_VALUE"""),5081180.76)</f>
        <v>5081180.76</v>
      </c>
      <c r="I12" s="3" t="str">
        <f>IFERROR(__xludf.DUMMYFUNCTION("""COMPUTED_VALUE"""),"V_SALES")</f>
        <v>V_SALES</v>
      </c>
    </row>
    <row r="13">
      <c r="A13" s="3" t="str">
        <f>IFERROR(__xludf.DUMMYFUNCTION("""COMPUTED_VALUE"""),"2023-06-20")</f>
        <v>2023-06-20</v>
      </c>
      <c r="B13" s="3" t="str">
        <f>IFERROR(__xludf.DUMMYFUNCTION("""COMPUTED_VALUE"""),"TRSF E-BANKING DB")</f>
        <v>TRSF E-BANKING DB</v>
      </c>
      <c r="C13" s="3" t="str">
        <f>IFERROR(__xludf.DUMMYFUNCTION("""COMPUTED_VALUE"""),"2006/FTSCY/WS95031 1028240.00 NURHAYATI")</f>
        <v>2006/FTSCY/WS95031 1028240.00 NURHAYATI</v>
      </c>
      <c r="D13" s="3">
        <f>IFERROR(__xludf.DUMMYFUNCTION("""COMPUTED_VALUE"""),1028240.0)</f>
        <v>1028240</v>
      </c>
      <c r="E13" s="3"/>
      <c r="F13" s="3" t="str">
        <f>IFERROR(__xludf.DUMMYFUNCTION("""COMPUTED_VALUE"""),"DB")</f>
        <v>DB</v>
      </c>
      <c r="G13" s="3">
        <f>IFERROR(__xludf.DUMMYFUNCTION("""COMPUTED_VALUE"""),9.217248075999999E7)</f>
        <v>92172480.76</v>
      </c>
      <c r="H13" s="3">
        <f>IFERROR(__xludf.DUMMYFUNCTION("""COMPUTED_VALUE"""),9.217248076E7)</f>
        <v>92172480.76</v>
      </c>
      <c r="I13" s="3" t="str">
        <f>IFERROR(__xludf.DUMMYFUNCTION("""COMPUTED_VALUE"""),"V_SALES")</f>
        <v>V_SALES</v>
      </c>
    </row>
    <row r="14">
      <c r="A14" s="3" t="str">
        <f>IFERROR(__xludf.DUMMYFUNCTION("""COMPUTED_VALUE"""),"2023-06-22")</f>
        <v>2023-06-22</v>
      </c>
      <c r="B14" s="3" t="str">
        <f>IFERROR(__xludf.DUMMYFUNCTION("""COMPUTED_VALUE"""),"TRSF E-BANKING DB")</f>
        <v>TRSF E-BANKING DB</v>
      </c>
      <c r="C14" s="3" t="str">
        <f>IFERROR(__xludf.DUMMYFUNCTION("""COMPUTED_VALUE"""),"2206/FTSCY/WS95271 1078500.00 NURHAYATI")</f>
        <v>2206/FTSCY/WS95271 1078500.00 NURHAYATI</v>
      </c>
      <c r="D14" s="3">
        <f>IFERROR(__xludf.DUMMYFUNCTION("""COMPUTED_VALUE"""),1078500.0)</f>
        <v>1078500</v>
      </c>
      <c r="E14" s="3"/>
      <c r="F14" s="3" t="str">
        <f>IFERROR(__xludf.DUMMYFUNCTION("""COMPUTED_VALUE"""),"DB")</f>
        <v>DB</v>
      </c>
      <c r="G14" s="3">
        <f>IFERROR(__xludf.DUMMYFUNCTION("""COMPUTED_VALUE"""),4.218583775999999E7)</f>
        <v>42185837.76</v>
      </c>
      <c r="H14" s="3"/>
      <c r="I14" s="3" t="str">
        <f>IFERROR(__xludf.DUMMYFUNCTION("""COMPUTED_VALUE"""),"V_SALES")</f>
        <v>V_SALES</v>
      </c>
    </row>
    <row r="15">
      <c r="A15" s="3" t="str">
        <f>IFERROR(__xludf.DUMMYFUNCTION("""COMPUTED_VALUE"""),"2023-06-24")</f>
        <v>2023-06-24</v>
      </c>
      <c r="B15" s="3" t="str">
        <f>IFERROR(__xludf.DUMMYFUNCTION("""COMPUTED_VALUE"""),"TRSF E-BANKING DB")</f>
        <v>TRSF E-BANKING DB</v>
      </c>
      <c r="C15" s="3" t="str">
        <f>IFERROR(__xludf.DUMMYFUNCTION("""COMPUTED_VALUE"""),"2406/FTSCY/WS95031 1000000.00 NURHAYATI")</f>
        <v>2406/FTSCY/WS95031 1000000.00 NURHAYATI</v>
      </c>
      <c r="D15" s="3">
        <f>IFERROR(__xludf.DUMMYFUNCTION("""COMPUTED_VALUE"""),1000000.0)</f>
        <v>1000000</v>
      </c>
      <c r="E15" s="3"/>
      <c r="F15" s="3" t="str">
        <f>IFERROR(__xludf.DUMMYFUNCTION("""COMPUTED_VALUE"""),"DB")</f>
        <v>DB</v>
      </c>
      <c r="G15" s="3">
        <f>IFERROR(__xludf.DUMMYFUNCTION("""COMPUTED_VALUE"""),2.615782275999999E7)</f>
        <v>26157822.76</v>
      </c>
      <c r="H15" s="3"/>
      <c r="I15" s="3" t="str">
        <f>IFERROR(__xludf.DUMMYFUNCTION("""COMPUTED_VALUE"""),"V_SALES")</f>
        <v>V_SALES</v>
      </c>
    </row>
    <row r="16">
      <c r="A16" s="3" t="str">
        <f>IFERROR(__xludf.DUMMYFUNCTION("""COMPUTED_VALUE"""),"2023-06-25")</f>
        <v>2023-06-25</v>
      </c>
      <c r="B16" s="3" t="str">
        <f>IFERROR(__xludf.DUMMYFUNCTION("""COMPUTED_VALUE"""),"TRSF E-BANKING DB")</f>
        <v>TRSF E-BANKING DB</v>
      </c>
      <c r="C16" s="3" t="str">
        <f>IFERROR(__xludf.DUMMYFUNCTION("""COMPUTED_VALUE"""),"2506/FTSCY/WS95031 2355875.00 NURHAYATI")</f>
        <v>2506/FTSCY/WS95031 2355875.00 NURHAYATI</v>
      </c>
      <c r="D16" s="3">
        <f>IFERROR(__xludf.DUMMYFUNCTION("""COMPUTED_VALUE"""),2355875.0)</f>
        <v>2355875</v>
      </c>
      <c r="E16" s="3"/>
      <c r="F16" s="3" t="str">
        <f>IFERROR(__xludf.DUMMYFUNCTION("""COMPUTED_VALUE"""),"DB")</f>
        <v>DB</v>
      </c>
      <c r="G16" s="3">
        <f>IFERROR(__xludf.DUMMYFUNCTION("""COMPUTED_VALUE"""),3.1502503276E8)</f>
        <v>315025032.8</v>
      </c>
      <c r="H16" s="3"/>
      <c r="I16" s="3" t="str">
        <f>IFERROR(__xludf.DUMMYFUNCTION("""COMPUTED_VALUE"""),"V_SALES")</f>
        <v>V_SALES</v>
      </c>
    </row>
    <row r="17">
      <c r="A17" s="3" t="str">
        <f>IFERROR(__xludf.DUMMYFUNCTION("""COMPUTED_VALUE"""),"2023-06-28")</f>
        <v>2023-06-28</v>
      </c>
      <c r="B17" s="3" t="str">
        <f>IFERROR(__xludf.DUMMYFUNCTION("""COMPUTED_VALUE"""),"TRSF E-BANKING DB")</f>
        <v>TRSF E-BANKING DB</v>
      </c>
      <c r="C17" s="3" t="str">
        <f>IFERROR(__xludf.DUMMYFUNCTION("""COMPUTED_VALUE"""),"2806/FTSCY/WS95031 1300000.00 NURHAYATI")</f>
        <v>2806/FTSCY/WS95031 1300000.00 NURHAYATI</v>
      </c>
      <c r="D17" s="3">
        <f>IFERROR(__xludf.DUMMYFUNCTION("""COMPUTED_VALUE"""),1300000.0)</f>
        <v>1300000</v>
      </c>
      <c r="E17" s="3"/>
      <c r="F17" s="3" t="str">
        <f>IFERROR(__xludf.DUMMYFUNCTION("""COMPUTED_VALUE"""),"DB")</f>
        <v>DB</v>
      </c>
      <c r="G17" s="3">
        <f>IFERROR(__xludf.DUMMYFUNCTION("""COMPUTED_VALUE"""),5.4620243576E8)</f>
        <v>546202435.8</v>
      </c>
      <c r="H17" s="3"/>
      <c r="I17" s="3" t="str">
        <f>IFERROR(__xludf.DUMMYFUNCTION("""COMPUTED_VALUE"""),"V_SALES")</f>
        <v>V_SALES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tr">
        <f>IFERROR(__xludf.DUMMYFUNCTION("IFERROR(QUERY(JUN_2023!A:I, ""SELECT * WHERE D IS NOT NULL AND UPPER(I) = 'OPERASIONAL'"", 1), ""Data OPERASIONAL belum ditemukan"")"),"Data OPERASIONAL belum ditemukan")</f>
        <v>Data OPERASIONAL belum ditemukan</v>
      </c>
      <c r="J1" s="3">
        <f>SUM(D1:D1000)</f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tr">
        <f>IFERROR(__xludf.DUMMYFUNCTION("IFERROR(QUERY(JUN_2023!A:I, ""SELECT * WHERE D IS NOT NULL AND UPPER(I) = 'NURUL_AINI'"", 1), ""Data NURUL_AINI belum ditemukan"")"),"2023-01-01")</f>
        <v>2023-01-01</v>
      </c>
      <c r="B1" s="3" t="str">
        <f>IFERROR(__xludf.DUMMYFUNCTION("""COMPUTED_VALUE"""),"TRSF E-BANKING DB")</f>
        <v>TRSF E-BANKING DB</v>
      </c>
      <c r="C1" s="3" t="str">
        <f>IFERROR(__xludf.DUMMYFUNCTION("""COMPUTED_VALUE"""),"0106/FTSCY/WS95031 15000.00 NURUL AINI 15000.00 NURUL AINI")</f>
        <v>0106/FTSCY/WS95031 15000.00 NURUL AINI 15000.00 NURUL AINI</v>
      </c>
      <c r="D1" s="3">
        <f>IFERROR(__xludf.DUMMYFUNCTION("""COMPUTED_VALUE"""),15000.0)</f>
        <v>15000</v>
      </c>
      <c r="E1" s="3"/>
      <c r="F1" s="3" t="str">
        <f>IFERROR(__xludf.DUMMYFUNCTION("""COMPUTED_VALUE"""),"DB")</f>
        <v>DB</v>
      </c>
      <c r="G1" s="3">
        <f>IFERROR(__xludf.DUMMYFUNCTION("""COMPUTED_VALUE"""),1.3081534375999999E8)</f>
        <v>130815343.8</v>
      </c>
      <c r="H1" s="3"/>
      <c r="I1" s="3" t="str">
        <f>IFERROR(__xludf.DUMMYFUNCTION("""COMPUTED_VALUE"""),"NURUL_AINI")</f>
        <v>NURUL_AINI</v>
      </c>
      <c r="J1" s="3">
        <f>SUM(D1:D1000)</f>
        <v>4755000</v>
      </c>
    </row>
    <row r="2">
      <c r="A2" s="3" t="str">
        <f>IFERROR(__xludf.DUMMYFUNCTION("""COMPUTED_VALUE"""),"2023-13-13")</f>
        <v>2023-13-13</v>
      </c>
      <c r="B2" s="3" t="str">
        <f>IFERROR(__xludf.DUMMYFUNCTION("""COMPUTED_VALUE"""),"TRSF E-BANKING DB")</f>
        <v>TRSF E-BANKING DB</v>
      </c>
      <c r="C2" s="3" t="str">
        <f>IFERROR(__xludf.DUMMYFUNCTION("""COMPUTED_VALUE"""),"1306/FTSCY/WS95031 190000 NURUL AINI")</f>
        <v>1306/FTSCY/WS95031 190000 NURUL AINI</v>
      </c>
      <c r="D2" s="3">
        <f>IFERROR(__xludf.DUMMYFUNCTION("""COMPUTED_VALUE"""),190000.0)</f>
        <v>190000</v>
      </c>
      <c r="E2" s="3"/>
      <c r="F2" s="3" t="str">
        <f>IFERROR(__xludf.DUMMYFUNCTION("""COMPUTED_VALUE"""),"DB")</f>
        <v>DB</v>
      </c>
      <c r="G2" s="3">
        <f>IFERROR(__xludf.DUMMYFUNCTION("""COMPUTED_VALUE"""),2.0654354076E8)</f>
        <v>206543540.8</v>
      </c>
      <c r="H2" s="3"/>
      <c r="I2" s="3" t="str">
        <f>IFERROR(__xludf.DUMMYFUNCTION("""COMPUTED_VALUE"""),"NURUL_AINI")</f>
        <v>NURUL_AINI</v>
      </c>
    </row>
    <row r="3">
      <c r="A3" s="3" t="str">
        <f>IFERROR(__xludf.DUMMYFUNCTION("""COMPUTED_VALUE"""),"2023-14-14")</f>
        <v>2023-14-14</v>
      </c>
      <c r="B3" s="3" t="str">
        <f>IFERROR(__xludf.DUMMYFUNCTION("""COMPUTED_VALUE"""),"TRSF E-BANKING DB")</f>
        <v>TRSF E-BANKING DB</v>
      </c>
      <c r="C3" s="3" t="str">
        <f>IFERROR(__xludf.DUMMYFUNCTION("""COMPUTED_VALUE"""),"1406/FTSCY/WS95031 2750000 uang bulanan NURUL AINI")</f>
        <v>1406/FTSCY/WS95031 2750000 uang bulanan NURUL AINI</v>
      </c>
      <c r="D3" s="3">
        <f>IFERROR(__xludf.DUMMYFUNCTION("""COMPUTED_VALUE"""),2750000.0)</f>
        <v>2750000</v>
      </c>
      <c r="E3" s="3"/>
      <c r="F3" s="3" t="str">
        <f>IFERROR(__xludf.DUMMYFUNCTION("""COMPUTED_VALUE"""),"DB")</f>
        <v>DB</v>
      </c>
      <c r="G3" s="3">
        <f>IFERROR(__xludf.DUMMYFUNCTION("""COMPUTED_VALUE"""),9.952091075999999E7)</f>
        <v>99520910.76</v>
      </c>
      <c r="H3" s="3"/>
      <c r="I3" s="3" t="str">
        <f>IFERROR(__xludf.DUMMYFUNCTION("""COMPUTED_VALUE"""),"NURUL_AINI")</f>
        <v>NURUL_AINI</v>
      </c>
    </row>
    <row r="4">
      <c r="A4" s="3" t="str">
        <f>IFERROR(__xludf.DUMMYFUNCTION("""COMPUTED_VALUE"""),"2023-06-18")</f>
        <v>2023-06-18</v>
      </c>
      <c r="B4" s="3" t="str">
        <f>IFERROR(__xludf.DUMMYFUNCTION("""COMPUTED_VALUE"""),"TRSF E-BANKING DB")</f>
        <v>TRSF E-BANKING DB</v>
      </c>
      <c r="C4" s="3" t="str">
        <f>IFERROR(__xludf.DUMMYFUNCTION("""COMPUTED_VALUE"""),"1806/FTSCY/WS95031 400000.00 NURUL AINI")</f>
        <v>1806/FTSCY/WS95031 400000.00 NURUL AINI</v>
      </c>
      <c r="D4" s="3">
        <f>IFERROR(__xludf.DUMMYFUNCTION("""COMPUTED_VALUE"""),400000.0)</f>
        <v>400000</v>
      </c>
      <c r="E4" s="3"/>
      <c r="F4" s="3" t="str">
        <f>IFERROR(__xludf.DUMMYFUNCTION("""COMPUTED_VALUE"""),"DB")</f>
        <v>DB</v>
      </c>
      <c r="G4" s="3">
        <f>IFERROR(__xludf.DUMMYFUNCTION("""COMPUTED_VALUE"""),1.9556168076E8)</f>
        <v>195561680.8</v>
      </c>
      <c r="H4" s="3"/>
      <c r="I4" s="3" t="str">
        <f>IFERROR(__xludf.DUMMYFUNCTION("""COMPUTED_VALUE"""),"NURUL_AINI")</f>
        <v>NURUL_AINI</v>
      </c>
    </row>
    <row r="5">
      <c r="A5" s="3" t="str">
        <f>IFERROR(__xludf.DUMMYFUNCTION("""COMPUTED_VALUE"""),"2023-06-23")</f>
        <v>2023-06-23</v>
      </c>
      <c r="B5" s="3" t="str">
        <f>IFERROR(__xludf.DUMMYFUNCTION("""COMPUTED_VALUE"""),"TRSF E-BANKING DB")</f>
        <v>TRSF E-BANKING DB</v>
      </c>
      <c r="C5" s="3" t="str">
        <f>IFERROR(__xludf.DUMMYFUNCTION("""COMPUTED_VALUE"""),"2306/FTSCY/WS95271 200000.00 NURUL AINI")</f>
        <v>2306/FTSCY/WS95271 200000.00 NURUL AINI</v>
      </c>
      <c r="D5" s="3">
        <f>IFERROR(__xludf.DUMMYFUNCTION("""COMPUTED_VALUE"""),200000.0)</f>
        <v>200000</v>
      </c>
      <c r="E5" s="3"/>
      <c r="F5" s="3" t="str">
        <f>IFERROR(__xludf.DUMMYFUNCTION("""COMPUTED_VALUE"""),"DB")</f>
        <v>DB</v>
      </c>
      <c r="G5" s="3">
        <f>IFERROR(__xludf.DUMMYFUNCTION("""COMPUTED_VALUE"""),2.7591463276E8)</f>
        <v>275914632.8</v>
      </c>
      <c r="H5" s="3"/>
      <c r="I5" s="3" t="str">
        <f>IFERROR(__xludf.DUMMYFUNCTION("""COMPUTED_VALUE"""),"NURUL_AINI")</f>
        <v>NURUL_AINI</v>
      </c>
    </row>
    <row r="6">
      <c r="A6" s="3" t="str">
        <f>IFERROR(__xludf.DUMMYFUNCTION("""COMPUTED_VALUE"""),"2023-06-30")</f>
        <v>2023-06-30</v>
      </c>
      <c r="B6" s="3" t="str">
        <f>IFERROR(__xludf.DUMMYFUNCTION("""COMPUTED_VALUE"""),"TRSF E-BANKING DB")</f>
        <v>TRSF E-BANKING DB</v>
      </c>
      <c r="C6" s="3" t="str">
        <f>IFERROR(__xludf.DUMMYFUNCTION("""COMPUTED_VALUE"""),"3006/FTSCY/WS95031 1200000.00 NURUL AINI")</f>
        <v>3006/FTSCY/WS95031 1200000.00 NURUL AINI</v>
      </c>
      <c r="D6" s="3">
        <f>IFERROR(__xludf.DUMMYFUNCTION("""COMPUTED_VALUE"""),1200000.0)</f>
        <v>1200000</v>
      </c>
      <c r="E6" s="3"/>
      <c r="F6" s="3" t="str">
        <f>IFERROR(__xludf.DUMMYFUNCTION("""COMPUTED_VALUE"""),"DB")</f>
        <v>DB</v>
      </c>
      <c r="G6" s="3">
        <f>IFERROR(__xludf.DUMMYFUNCTION("""COMPUTED_VALUE"""),6.6612984776E8)</f>
        <v>666129847.8</v>
      </c>
      <c r="H6" s="3"/>
      <c r="I6" s="3" t="str">
        <f>IFERROR(__xludf.DUMMYFUNCTION("""COMPUTED_VALUE"""),"NURUL_AINI")</f>
        <v>NURUL_AINI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tr">
        <f>IFERROR(__xludf.DUMMYFUNCTION("IFERROR(QUERY(JUN_2023!A:I, ""SELECT * WHERE D IS NOT NULL AND UPPER(I) = ''"", 1), ""Data KOSONG belum ditemukan"")"),"Data KOSONG belum ditemukan")</f>
        <v>Data KOSONG belum ditemukan</v>
      </c>
      <c r="J1" s="3">
        <f>SUM(D1:D1000)</f>
        <v>0</v>
      </c>
    </row>
    <row r="2">
      <c r="A2" s="9"/>
    </row>
    <row r="3">
      <c r="A3" s="9"/>
    </row>
    <row r="4">
      <c r="A4" s="9"/>
    </row>
    <row r="5">
      <c r="A5" s="9"/>
    </row>
    <row r="6">
      <c r="A6" s="9"/>
    </row>
    <row r="7">
      <c r="A7" s="9"/>
    </row>
    <row r="8">
      <c r="A8" s="9"/>
    </row>
    <row r="9">
      <c r="A9" s="9"/>
    </row>
    <row r="10">
      <c r="A10" s="9"/>
    </row>
    <row r="11">
      <c r="A11" s="9"/>
    </row>
    <row r="12">
      <c r="A12" s="9"/>
    </row>
    <row r="13">
      <c r="A13" s="9"/>
    </row>
    <row r="14">
      <c r="A14" s="9"/>
    </row>
    <row r="15">
      <c r="A15" s="9"/>
    </row>
    <row r="16">
      <c r="A16" s="9"/>
    </row>
    <row r="17">
      <c r="A17" s="9"/>
    </row>
    <row r="18">
      <c r="A18" s="9"/>
    </row>
    <row r="19">
      <c r="A19" s="9"/>
    </row>
    <row r="20">
      <c r="A20" s="9"/>
    </row>
    <row r="21">
      <c r="A21" s="9"/>
    </row>
    <row r="22">
      <c r="A22" s="9"/>
    </row>
    <row r="23">
      <c r="A23" s="9"/>
    </row>
    <row r="24">
      <c r="A24" s="9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tr">
        <f>IFERROR(__xludf.DUMMYFUNCTION("IFERROR(QUERY(JUN_2023!A:I, ""SELECT * WHERE D IS NOT NULL AND UPPER(I) = 'PRIBADI'"", 1), ""Data PRIBADI belum ditemukan"")"),"2023-01-01")</f>
        <v>2023-01-01</v>
      </c>
      <c r="B1" s="3" t="str">
        <f>IFERROR(__xludf.DUMMYFUNCTION("""COMPUTED_VALUE"""),"TARIKAN ATM 01/06")</f>
        <v>TARIKAN ATM 01/06</v>
      </c>
      <c r="C1" s="3" t="str">
        <f>IFERROR(__xludf.DUMMYFUNCTION("""COMPUTED_VALUE"""),"TARIKAN ATM 01/06")</f>
        <v>TARIKAN ATM 01/06</v>
      </c>
      <c r="D1" s="3">
        <f>IFERROR(__xludf.DUMMYFUNCTION("""COMPUTED_VALUE"""),300000.0)</f>
        <v>300000</v>
      </c>
      <c r="E1" s="3"/>
      <c r="F1" s="3"/>
      <c r="G1" s="3">
        <f>IFERROR(__xludf.DUMMYFUNCTION("""COMPUTED_VALUE"""),1.3292184375999999E8)</f>
        <v>132921843.8</v>
      </c>
      <c r="H1" s="3"/>
      <c r="I1" s="3" t="str">
        <f>IFERROR(__xludf.DUMMYFUNCTION("""COMPUTED_VALUE"""),"PRIBADI")</f>
        <v>PRIBADI</v>
      </c>
      <c r="J1" s="3">
        <f>SUM(D1:D1000)</f>
        <v>26886826</v>
      </c>
    </row>
    <row r="2">
      <c r="A2" s="3" t="str">
        <f>IFERROR(__xludf.DUMMYFUNCTION("""COMPUTED_VALUE"""),"2023-01-01")</f>
        <v>2023-01-01</v>
      </c>
      <c r="B2" s="3" t="str">
        <f>IFERROR(__xludf.DUMMYFUNCTION("""COMPUTED_VALUE"""),"TARIKAN ATM 01/06")</f>
        <v>TARIKAN ATM 01/06</v>
      </c>
      <c r="C2" s="3" t="str">
        <f>IFERROR(__xludf.DUMMYFUNCTION("""COMPUTED_VALUE"""),"TARIKAN ATM 01/06")</f>
        <v>TARIKAN ATM 01/06</v>
      </c>
      <c r="D2" s="3">
        <f>IFERROR(__xludf.DUMMYFUNCTION("""COMPUTED_VALUE"""),150000.0)</f>
        <v>150000</v>
      </c>
      <c r="E2" s="3"/>
      <c r="F2" s="3"/>
      <c r="G2" s="3">
        <f>IFERROR(__xludf.DUMMYFUNCTION("""COMPUTED_VALUE"""),465343.75999999046)</f>
        <v>465343.76</v>
      </c>
      <c r="H2" s="3">
        <f>IFERROR(__xludf.DUMMYFUNCTION("""COMPUTED_VALUE"""),465343.76)</f>
        <v>465343.76</v>
      </c>
      <c r="I2" s="3" t="str">
        <f>IFERROR(__xludf.DUMMYFUNCTION("""COMPUTED_VALUE"""),"PRIBADI")</f>
        <v>PRIBADI</v>
      </c>
    </row>
    <row r="3">
      <c r="A3" s="3" t="str">
        <f>IFERROR(__xludf.DUMMYFUNCTION("""COMPUTED_VALUE"""),"2023-06-06")</f>
        <v>2023-06-06</v>
      </c>
      <c r="B3" s="3" t="str">
        <f>IFERROR(__xludf.DUMMYFUNCTION("""COMPUTED_VALUE"""),"TARIKAN ATM 02/06")</f>
        <v>TARIKAN ATM 02/06</v>
      </c>
      <c r="C3" s="3" t="str">
        <f>IFERROR(__xludf.DUMMYFUNCTION("""COMPUTED_VALUE"""),"TARIKAN ATM 02/06")</f>
        <v>TARIKAN ATM 02/06</v>
      </c>
      <c r="D3" s="3">
        <f>IFERROR(__xludf.DUMMYFUNCTION("""COMPUTED_VALUE"""),100000.0)</f>
        <v>100000</v>
      </c>
      <c r="E3" s="3"/>
      <c r="F3" s="3"/>
      <c r="G3" s="3">
        <f>IFERROR(__xludf.DUMMYFUNCTION("""COMPUTED_VALUE"""),1.4168011376E8)</f>
        <v>141680113.8</v>
      </c>
      <c r="H3" s="3"/>
      <c r="I3" s="3" t="str">
        <f>IFERROR(__xludf.DUMMYFUNCTION("""COMPUTED_VALUE"""),"PRIBADI")</f>
        <v>PRIBADI</v>
      </c>
    </row>
    <row r="4">
      <c r="A4" s="3" t="str">
        <f>IFERROR(__xludf.DUMMYFUNCTION("""COMPUTED_VALUE"""),"2023-06-06")</f>
        <v>2023-06-06</v>
      </c>
      <c r="B4" s="3" t="str">
        <f>IFERROR(__xludf.DUMMYFUNCTION("""COMPUTED_VALUE"""),"BYR VIA E-BANKING")</f>
        <v>BYR VIA E-BANKING</v>
      </c>
      <c r="C4" s="3" t="str">
        <f>IFERROR(__xludf.DUMMYFUNCTION("""COMPUTED_VALUE"""),"02/06  WSID9503100 0865 PLN PREPAID 32104859353 MUHAMMAD HAIRUL MA 0865 PLN PREPAID 32104859353 MUHAMMAD HAIRUL MA")</f>
        <v>02/06  WSID9503100 0865 PLN PREPAID 32104859353 MUHAMMAD HAIRUL MA 0865 PLN PREPAID 32104859353 MUHAMMAD HAIRUL MA</v>
      </c>
      <c r="D4" s="3">
        <f>IFERROR(__xludf.DUMMYFUNCTION("""COMPUTED_VALUE"""),202500.0)</f>
        <v>202500</v>
      </c>
      <c r="E4" s="3"/>
      <c r="F4" s="3"/>
      <c r="G4" s="3">
        <f>IFERROR(__xludf.DUMMYFUNCTION("""COMPUTED_VALUE"""),5.497361375999999E7)</f>
        <v>54973613.76</v>
      </c>
      <c r="H4" s="3">
        <f>IFERROR(__xludf.DUMMYFUNCTION("""COMPUTED_VALUE"""),5.497361376E7)</f>
        <v>54973613.76</v>
      </c>
      <c r="I4" s="3" t="str">
        <f>IFERROR(__xludf.DUMMYFUNCTION("""COMPUTED_VALUE"""),"PRIBADI")</f>
        <v>PRIBADI</v>
      </c>
    </row>
    <row r="5">
      <c r="A5" s="3" t="str">
        <f>IFERROR(__xludf.DUMMYFUNCTION("""COMPUTED_VALUE"""),"2023-06-06")</f>
        <v>2023-06-06</v>
      </c>
      <c r="B5" s="3" t="str">
        <f>IFERROR(__xludf.DUMMYFUNCTION("""COMPUTED_VALUE"""),"TRSF E-BANKING DB")</f>
        <v>TRSF E-BANKING DB</v>
      </c>
      <c r="C5" s="3" t="str">
        <f>IFERROR(__xludf.DUMMYFUNCTION("""COMPUTED_VALUE"""),"0206/FTSCY/WS95031 160000.00 byr power bank AHMAD FAUSI 160000.00 byr power bank AHMAD FAUSI")</f>
        <v>0206/FTSCY/WS95031 160000.00 byr power bank AHMAD FAUSI 160000.00 byr power bank AHMAD FAUSI</v>
      </c>
      <c r="D5" s="3">
        <f>IFERROR(__xludf.DUMMYFUNCTION("""COMPUTED_VALUE"""),160000.0)</f>
        <v>160000</v>
      </c>
      <c r="E5" s="3"/>
      <c r="F5" s="3" t="str">
        <f>IFERROR(__xludf.DUMMYFUNCTION("""COMPUTED_VALUE"""),"DB")</f>
        <v>DB</v>
      </c>
      <c r="G5" s="3">
        <f>IFERROR(__xludf.DUMMYFUNCTION("""COMPUTED_VALUE"""),1.5481361376E8)</f>
        <v>154813613.8</v>
      </c>
      <c r="H5" s="3"/>
      <c r="I5" s="3" t="str">
        <f>IFERROR(__xludf.DUMMYFUNCTION("""COMPUTED_VALUE"""),"PRIBADI")</f>
        <v>PRIBADI</v>
      </c>
    </row>
    <row r="6">
      <c r="A6" s="3" t="str">
        <f>IFERROR(__xludf.DUMMYFUNCTION("""COMPUTED_VALUE"""),"2023-06-06")</f>
        <v>2023-06-06</v>
      </c>
      <c r="B6" s="3" t="str">
        <f>IFERROR(__xludf.DUMMYFUNCTION("""COMPUTED_VALUE"""),"KARTU DEBIT")</f>
        <v>KARTU DEBIT</v>
      </c>
      <c r="C6" s="3" t="str">
        <f>IFERROR(__xludf.DUMMYFUNCTION("""COMPUTED_VALUE"""),"ALFAMRT Y207 BRTN 6019009510239343 6019009510239343")</f>
        <v>ALFAMRT Y207 BRTN 6019009510239343 6019009510239343</v>
      </c>
      <c r="D6" s="3">
        <f>IFERROR(__xludf.DUMMYFUNCTION("""COMPUTED_VALUE"""),64700.0)</f>
        <v>64700</v>
      </c>
      <c r="E6" s="3"/>
      <c r="F6" s="3"/>
      <c r="G6" s="3">
        <f>IFERROR(__xludf.DUMMYFUNCTION("""COMPUTED_VALUE"""),7.7914891376E8)</f>
        <v>779148913.8</v>
      </c>
      <c r="H6" s="3">
        <f>IFERROR(__xludf.DUMMYFUNCTION("""COMPUTED_VALUE"""),7.7914891376E8)</f>
        <v>779148913.8</v>
      </c>
      <c r="I6" s="3" t="str">
        <f>IFERROR(__xludf.DUMMYFUNCTION("""COMPUTED_VALUE"""),"PRIBADI")</f>
        <v>PRIBADI</v>
      </c>
    </row>
    <row r="7">
      <c r="A7" s="3" t="str">
        <f>IFERROR(__xludf.DUMMYFUNCTION("""COMPUTED_VALUE"""),"2023-06-06")</f>
        <v>2023-06-06</v>
      </c>
      <c r="B7" s="3" t="str">
        <f>IFERROR(__xludf.DUMMYFUNCTION("""COMPUTED_VALUE"""),"TRSF E-BANKING DB")</f>
        <v>TRSF E-BANKING DB</v>
      </c>
      <c r="C7" s="3" t="str">
        <f>IFERROR(__xludf.DUMMYFUNCTION("""COMPUTED_VALUE"""),"0306/FTFVA/WS95031 80777/TOKOPEDIA - - 82318368518 80777/TOKOPEDIA - - 82318368518")</f>
        <v>0306/FTFVA/WS95031 80777/TOKOPEDIA - - 82318368518 80777/TOKOPEDIA - - 82318368518</v>
      </c>
      <c r="D7" s="3">
        <f>IFERROR(__xludf.DUMMYFUNCTION("""COMPUTED_VALUE"""),127100.0)</f>
        <v>127100</v>
      </c>
      <c r="E7" s="3"/>
      <c r="F7" s="3" t="str">
        <f>IFERROR(__xludf.DUMMYFUNCTION("""COMPUTED_VALUE"""),"DB")</f>
        <v>DB</v>
      </c>
      <c r="G7" s="3">
        <f>IFERROR(__xludf.DUMMYFUNCTION("""COMPUTED_VALUE"""),3.937554375999999E7)</f>
        <v>39375543.76</v>
      </c>
      <c r="H7" s="3"/>
      <c r="I7" s="3" t="str">
        <f>IFERROR(__xludf.DUMMYFUNCTION("""COMPUTED_VALUE"""),"PRIBADI")</f>
        <v>PRIBADI</v>
      </c>
    </row>
    <row r="8">
      <c r="A8" s="3" t="str">
        <f>IFERROR(__xludf.DUMMYFUNCTION("""COMPUTED_VALUE"""),"2023-06-06")</f>
        <v>2023-06-06</v>
      </c>
      <c r="B8" s="3" t="str">
        <f>IFERROR(__xludf.DUMMYFUNCTION("""COMPUTED_VALUE"""),"BYR VIA E-BANKING")</f>
        <v>BYR VIA E-BANKING</v>
      </c>
      <c r="C8" s="3" t="str">
        <f>IFERROR(__xludf.DUMMYFUNCTION("""COMPUTED_VALUE"""),"03/06  WSID9503100 1220 TELKOMSEL 81326518324 MUHAMMAD HAIRUL MA 1220 TELKOMSEL 81326518324 MUHAMMAD HAIRUL MA")</f>
        <v>03/06  WSID9503100 1220 TELKOMSEL 81326518324 MUHAMMAD HAIRUL MA 1220 TELKOMSEL 81326518324 MUHAMMAD HAIRUL MA</v>
      </c>
      <c r="D8" s="3">
        <f>IFERROR(__xludf.DUMMYFUNCTION("""COMPUTED_VALUE"""),27000.0)</f>
        <v>27000</v>
      </c>
      <c r="E8" s="3"/>
      <c r="F8" s="3"/>
      <c r="G8" s="3">
        <f>IFERROR(__xludf.DUMMYFUNCTION("""COMPUTED_VALUE"""),1.7326639376E8)</f>
        <v>173266393.8</v>
      </c>
      <c r="H8" s="3"/>
      <c r="I8" s="3" t="str">
        <f>IFERROR(__xludf.DUMMYFUNCTION("""COMPUTED_VALUE"""),"PRIBADI")</f>
        <v>PRIBADI</v>
      </c>
    </row>
    <row r="9">
      <c r="A9" s="3" t="str">
        <f>IFERROR(__xludf.DUMMYFUNCTION("""COMPUTED_VALUE"""),"2023-06-06")</f>
        <v>2023-06-06</v>
      </c>
      <c r="B9" s="3" t="str">
        <f>IFERROR(__xludf.DUMMYFUNCTION("""COMPUTED_VALUE"""),"TRSF E-BANKING DB")</f>
        <v>TRSF E-BANKING DB</v>
      </c>
      <c r="C9" s="3" t="str">
        <f>IFERROR(__xludf.DUMMYFUNCTION("""COMPUTED_VALUE"""),"0306/FTFVA/WS95031 80777/TOKOPEDIA - - 82318368518 80777/TOKOPEDIA - - 82318368518")</f>
        <v>0306/FTFVA/WS95031 80777/TOKOPEDIA - - 82318368518 80777/TOKOPEDIA - - 82318368518</v>
      </c>
      <c r="D9" s="3">
        <f>IFERROR(__xludf.DUMMYFUNCTION("""COMPUTED_VALUE"""),107900.0)</f>
        <v>107900</v>
      </c>
      <c r="E9" s="3"/>
      <c r="F9" s="3" t="str">
        <f>IFERROR(__xludf.DUMMYFUNCTION("""COMPUTED_VALUE"""),"DB")</f>
        <v>DB</v>
      </c>
      <c r="G9" s="3">
        <f>IFERROR(__xludf.DUMMYFUNCTION("""COMPUTED_VALUE"""),1.0973793375999999E8)</f>
        <v>109737933.8</v>
      </c>
      <c r="H9" s="3"/>
      <c r="I9" s="3" t="str">
        <f>IFERROR(__xludf.DUMMYFUNCTION("""COMPUTED_VALUE"""),"PRIBADI")</f>
        <v>PRIBADI</v>
      </c>
    </row>
    <row r="10">
      <c r="A10" s="3" t="str">
        <f>IFERROR(__xludf.DUMMYFUNCTION("""COMPUTED_VALUE"""),"2023-06-06")</f>
        <v>2023-06-06</v>
      </c>
      <c r="B10" s="3" t="str">
        <f>IFERROR(__xludf.DUMMYFUNCTION("""COMPUTED_VALUE"""),"TARIKAN ATM 03/06")</f>
        <v>TARIKAN ATM 03/06</v>
      </c>
      <c r="C10" s="3" t="str">
        <f>IFERROR(__xludf.DUMMYFUNCTION("""COMPUTED_VALUE"""),"TARIKAN ATM 03/06")</f>
        <v>TARIKAN ATM 03/06</v>
      </c>
      <c r="D10" s="3">
        <f>IFERROR(__xludf.DUMMYFUNCTION("""COMPUTED_VALUE"""),1050000.0)</f>
        <v>1050000</v>
      </c>
      <c r="E10" s="3"/>
      <c r="F10" s="3"/>
      <c r="G10" s="3">
        <f>IFERROR(__xludf.DUMMYFUNCTION("""COMPUTED_VALUE"""),5.4463310376E8)</f>
        <v>544633103.8</v>
      </c>
      <c r="H10" s="3">
        <f>IFERROR(__xludf.DUMMYFUNCTION("""COMPUTED_VALUE"""),5.4463310376E8)</f>
        <v>544633103.8</v>
      </c>
      <c r="I10" s="3" t="str">
        <f>IFERROR(__xludf.DUMMYFUNCTION("""COMPUTED_VALUE"""),"PRIBADI")</f>
        <v>PRIBADI</v>
      </c>
    </row>
    <row r="11">
      <c r="A11" s="3" t="str">
        <f>IFERROR(__xludf.DUMMYFUNCTION("""COMPUTED_VALUE"""),"2023-06-06")</f>
        <v>2023-06-06</v>
      </c>
      <c r="B11" s="3" t="str">
        <f>IFERROR(__xludf.DUMMYFUNCTION("""COMPUTED_VALUE"""),"TRSF E-BANKING DB")</f>
        <v>TRSF E-BANKING DB</v>
      </c>
      <c r="C11" s="3" t="str">
        <f>IFERROR(__xludf.DUMMYFUNCTION("""COMPUTED_VALUE"""),"0306/FTSCY/WS95031 2313000.00 bayar stn WARDHY SHOMA 2313000.00 bayar stn WARDHY SHOMA")</f>
        <v>0306/FTSCY/WS95031 2313000.00 bayar stn WARDHY SHOMA 2313000.00 bayar stn WARDHY SHOMA</v>
      </c>
      <c r="D11" s="3">
        <f>IFERROR(__xludf.DUMMYFUNCTION("""COMPUTED_VALUE"""),2313000.0)</f>
        <v>2313000</v>
      </c>
      <c r="E11" s="3"/>
      <c r="F11" s="3" t="str">
        <f>IFERROR(__xludf.DUMMYFUNCTION("""COMPUTED_VALUE"""),"DB")</f>
        <v>DB</v>
      </c>
      <c r="G11" s="3">
        <f>IFERROR(__xludf.DUMMYFUNCTION("""COMPUTED_VALUE"""),5.4232010376E8)</f>
        <v>542320103.8</v>
      </c>
      <c r="H11" s="3">
        <f>IFERROR(__xludf.DUMMYFUNCTION("""COMPUTED_VALUE"""),5.4232010376E8)</f>
        <v>542320103.8</v>
      </c>
      <c r="I11" s="3" t="str">
        <f>IFERROR(__xludf.DUMMYFUNCTION("""COMPUTED_VALUE"""),"PRIBADI")</f>
        <v>PRIBADI</v>
      </c>
    </row>
    <row r="12">
      <c r="A12" s="3" t="str">
        <f>IFERROR(__xludf.DUMMYFUNCTION("""COMPUTED_VALUE"""),"2023-06-06")</f>
        <v>2023-06-06</v>
      </c>
      <c r="B12" s="3" t="str">
        <f>IFERROR(__xludf.DUMMYFUNCTION("""COMPUTED_VALUE"""),"KARTU DEBIT")</f>
        <v>KARTU DEBIT</v>
      </c>
      <c r="C12" s="3" t="str">
        <f>IFERROR(__xludf.DUMMYFUNCTION("""COMPUTED_VALUE"""),"IDM TDVX KEDONGANA 6019009510239343 6019009510239343")</f>
        <v>IDM TDVX KEDONGANA 6019009510239343 6019009510239343</v>
      </c>
      <c r="D12" s="3">
        <f>IFERROR(__xludf.DUMMYFUNCTION("""COMPUTED_VALUE"""),220100.0)</f>
        <v>220100</v>
      </c>
      <c r="E12" s="3"/>
      <c r="F12" s="3"/>
      <c r="G12" s="3">
        <f>IFERROR(__xludf.DUMMYFUNCTION("""COMPUTED_VALUE"""),3.1364652376E8)</f>
        <v>313646523.8</v>
      </c>
      <c r="H12" s="3"/>
      <c r="I12" s="3" t="str">
        <f>IFERROR(__xludf.DUMMYFUNCTION("""COMPUTED_VALUE"""),"PRIBADI")</f>
        <v>PRIBADI</v>
      </c>
    </row>
    <row r="13">
      <c r="A13" s="3" t="str">
        <f>IFERROR(__xludf.DUMMYFUNCTION("""COMPUTED_VALUE"""),"2023-06-06")</f>
        <v>2023-06-06</v>
      </c>
      <c r="B13" s="3" t="str">
        <f>IFERROR(__xludf.DUMMYFUNCTION("""COMPUTED_VALUE"""),"TRSF E-BANKING DB")</f>
        <v>TRSF E-BANKING DB</v>
      </c>
      <c r="C13" s="3" t="str">
        <f>IFERROR(__xludf.DUMMYFUNCTION("""COMPUTED_VALUE"""),"0506/FTFVA/WS95031 12608/SHOPEE - - 5335263590 12608/SHOPEE - - 5335263590")</f>
        <v>0506/FTFVA/WS95031 12608/SHOPEE - - 5335263590 12608/SHOPEE - - 5335263590</v>
      </c>
      <c r="D13" s="3">
        <f>IFERROR(__xludf.DUMMYFUNCTION("""COMPUTED_VALUE"""),50599.0)</f>
        <v>50599</v>
      </c>
      <c r="E13" s="3"/>
      <c r="F13" s="3" t="str">
        <f>IFERROR(__xludf.DUMMYFUNCTION("""COMPUTED_VALUE"""),"DB")</f>
        <v>DB</v>
      </c>
      <c r="G13" s="3">
        <f>IFERROR(__xludf.DUMMYFUNCTION("""COMPUTED_VALUE"""),1.4318354476E8)</f>
        <v>143183544.8</v>
      </c>
      <c r="H13" s="3"/>
      <c r="I13" s="3" t="str">
        <f>IFERROR(__xludf.DUMMYFUNCTION("""COMPUTED_VALUE"""),"PRIBADI")</f>
        <v>PRIBADI</v>
      </c>
    </row>
    <row r="14">
      <c r="A14" s="3" t="str">
        <f>IFERROR(__xludf.DUMMYFUNCTION("""COMPUTED_VALUE"""),"2023-06-06")</f>
        <v>2023-06-06</v>
      </c>
      <c r="B14" s="3" t="str">
        <f>IFERROR(__xludf.DUMMYFUNCTION("""COMPUTED_VALUE"""),"TRSF E-BANKING DB")</f>
        <v>TRSF E-BANKING DB</v>
      </c>
      <c r="C14" s="3" t="str">
        <f>IFERROR(__xludf.DUMMYFUNCTION("""COMPUTED_VALUE"""),"0506/FTFVA/WS95031 26689/TIKTOK SHOP - - 4272554798806 26689/TIKTOK SHOP - - 4272554798806")</f>
        <v>0506/FTFVA/WS95031 26689/TIKTOK SHOP - - 4272554798806 26689/TIKTOK SHOP - - 4272554798806</v>
      </c>
      <c r="D14" s="3">
        <f>IFERROR(__xludf.DUMMYFUNCTION("""COMPUTED_VALUE"""),130517.0)</f>
        <v>130517</v>
      </c>
      <c r="E14" s="3"/>
      <c r="F14" s="3" t="str">
        <f>IFERROR(__xludf.DUMMYFUNCTION("""COMPUTED_VALUE"""),"DB")</f>
        <v>DB</v>
      </c>
      <c r="G14" s="3">
        <f>IFERROR(__xludf.DUMMYFUNCTION("""COMPUTED_VALUE"""),4.0360504776E8)</f>
        <v>403605047.8</v>
      </c>
      <c r="H14" s="3"/>
      <c r="I14" s="3" t="str">
        <f>IFERROR(__xludf.DUMMYFUNCTION("""COMPUTED_VALUE"""),"PRIBADI")</f>
        <v>PRIBADI</v>
      </c>
    </row>
    <row r="15">
      <c r="A15" s="3" t="str">
        <f>IFERROR(__xludf.DUMMYFUNCTION("""COMPUTED_VALUE"""),"2023-06-06")</f>
        <v>2023-06-06</v>
      </c>
      <c r="B15" s="3" t="str">
        <f>IFERROR(__xludf.DUMMYFUNCTION("""COMPUTED_VALUE"""),"BI-FAST DB")</f>
        <v>BI-FAST DB</v>
      </c>
      <c r="C15" s="3" t="str">
        <f>IFERROR(__xludf.DUMMYFUNCTION("""COMPUTED_VALUE"""),"BIF TRANSFER KE 9 NOUVAL HOLQI RISKU M-BCA 9 NOUVAL HOLQI RISKU M-BCA")</f>
        <v>BIF TRANSFER KE 9 NOUVAL HOLQI RISKU M-BCA 9 NOUVAL HOLQI RISKU M-BCA</v>
      </c>
      <c r="D15" s="3">
        <f>IFERROR(__xludf.DUMMYFUNCTION("""COMPUTED_VALUE"""),105000.0)</f>
        <v>105000</v>
      </c>
      <c r="E15" s="3"/>
      <c r="F15" s="3" t="str">
        <f>IFERROR(__xludf.DUMMYFUNCTION("""COMPUTED_VALUE"""),"DB")</f>
        <v>DB</v>
      </c>
      <c r="G15" s="3">
        <f>IFERROR(__xludf.DUMMYFUNCTION("""COMPUTED_VALUE"""),1.8171674776E8)</f>
        <v>181716747.8</v>
      </c>
      <c r="H15" s="3"/>
      <c r="I15" s="3" t="str">
        <f>IFERROR(__xludf.DUMMYFUNCTION("""COMPUTED_VALUE"""),"PRIBADI")</f>
        <v>PRIBADI</v>
      </c>
    </row>
    <row r="16">
      <c r="A16" s="3" t="str">
        <f>IFERROR(__xludf.DUMMYFUNCTION("""COMPUTED_VALUE"""),"2023-06-06")</f>
        <v>2023-06-06</v>
      </c>
      <c r="B16" s="3" t="str">
        <f>IFERROR(__xludf.DUMMYFUNCTION("""COMPUTED_VALUE"""),"BI-FAST DB")</f>
        <v>BI-FAST DB</v>
      </c>
      <c r="C16" s="3" t="str">
        <f>IFERROR(__xludf.DUMMYFUNCTION("""COMPUTED_VALUE"""),"BIF BIAYA TXN KE 9 NOUVAL HOLQI RISKU M-BCA 9 NOUVAL HOLQI RISKU M-BCA")</f>
        <v>BIF BIAYA TXN KE 9 NOUVAL HOLQI RISKU M-BCA 9 NOUVAL HOLQI RISKU M-BCA</v>
      </c>
      <c r="D16" s="3">
        <f>IFERROR(__xludf.DUMMYFUNCTION("""COMPUTED_VALUE"""),2500.0)</f>
        <v>2500</v>
      </c>
      <c r="E16" s="3"/>
      <c r="F16" s="3" t="str">
        <f>IFERROR(__xludf.DUMMYFUNCTION("""COMPUTED_VALUE"""),"DB")</f>
        <v>DB</v>
      </c>
      <c r="G16" s="3">
        <f>IFERROR(__xludf.DUMMYFUNCTION("""COMPUTED_VALUE"""),1.8171424776E8)</f>
        <v>181714247.8</v>
      </c>
      <c r="H16" s="3"/>
      <c r="I16" s="3" t="str">
        <f>IFERROR(__xludf.DUMMYFUNCTION("""COMPUTED_VALUE"""),"PRIBADI")</f>
        <v>PRIBADI</v>
      </c>
    </row>
    <row r="17">
      <c r="A17" s="3" t="str">
        <f>IFERROR(__xludf.DUMMYFUNCTION("""COMPUTED_VALUE"""),"2023-06-06")</f>
        <v>2023-06-06</v>
      </c>
      <c r="B17" s="3" t="str">
        <f>IFERROR(__xludf.DUMMYFUNCTION("""COMPUTED_VALUE"""),"BI-FAST DB")</f>
        <v>BI-FAST DB</v>
      </c>
      <c r="C17" s="3" t="str">
        <f>IFERROR(__xludf.DUMMYFUNCTION("""COMPUTED_VALUE"""),"BIF TRANSFER KE 9 AHMAD LUTHFI FADHI M-BCA 9 AHMAD LUTHFI FADHI M-BCA")</f>
        <v>BIF TRANSFER KE 9 AHMAD LUTHFI FADHI M-BCA 9 AHMAD LUTHFI FADHI M-BCA</v>
      </c>
      <c r="D17" s="3">
        <f>IFERROR(__xludf.DUMMYFUNCTION("""COMPUTED_VALUE"""),80000.0)</f>
        <v>80000</v>
      </c>
      <c r="E17" s="3"/>
      <c r="F17" s="3" t="str">
        <f>IFERROR(__xludf.DUMMYFUNCTION("""COMPUTED_VALUE"""),"DB")</f>
        <v>DB</v>
      </c>
      <c r="G17" s="3">
        <f>IFERROR(__xludf.DUMMYFUNCTION("""COMPUTED_VALUE"""),9.432176775999999E7)</f>
        <v>94321767.76</v>
      </c>
      <c r="H17" s="3"/>
      <c r="I17" s="3" t="str">
        <f>IFERROR(__xludf.DUMMYFUNCTION("""COMPUTED_VALUE"""),"PRIBADI")</f>
        <v>PRIBADI</v>
      </c>
    </row>
    <row r="18">
      <c r="A18" s="3" t="str">
        <f>IFERROR(__xludf.DUMMYFUNCTION("""COMPUTED_VALUE"""),"2023-06-06")</f>
        <v>2023-06-06</v>
      </c>
      <c r="B18" s="3" t="str">
        <f>IFERROR(__xludf.DUMMYFUNCTION("""COMPUTED_VALUE"""),"BI-FAST DB")</f>
        <v>BI-FAST DB</v>
      </c>
      <c r="C18" s="3" t="str">
        <f>IFERROR(__xludf.DUMMYFUNCTION("""COMPUTED_VALUE"""),"BIF BIAYA TXN KE 9 AHMAD LUTHFI FADHI M-BCA 9 AHMAD LUTHFI FADHI M-BCA")</f>
        <v>BIF BIAYA TXN KE 9 AHMAD LUTHFI FADHI M-BCA 9 AHMAD LUTHFI FADHI M-BCA</v>
      </c>
      <c r="D18" s="3">
        <f>IFERROR(__xludf.DUMMYFUNCTION("""COMPUTED_VALUE"""),2500.0)</f>
        <v>2500</v>
      </c>
      <c r="E18" s="3"/>
      <c r="F18" s="3" t="str">
        <f>IFERROR(__xludf.DUMMYFUNCTION("""COMPUTED_VALUE"""),"DB")</f>
        <v>DB</v>
      </c>
      <c r="G18" s="3">
        <f>IFERROR(__xludf.DUMMYFUNCTION("""COMPUTED_VALUE"""),9.431926775999999E7)</f>
        <v>94319267.76</v>
      </c>
      <c r="H18" s="3"/>
      <c r="I18" s="3" t="str">
        <f>IFERROR(__xludf.DUMMYFUNCTION("""COMPUTED_VALUE"""),"PRIBADI")</f>
        <v>PRIBADI</v>
      </c>
    </row>
    <row r="19">
      <c r="A19" s="3" t="str">
        <f>IFERROR(__xludf.DUMMYFUNCTION("""COMPUTED_VALUE"""),"2023-06-06")</f>
        <v>2023-06-06</v>
      </c>
      <c r="B19" s="3" t="str">
        <f>IFERROR(__xludf.DUMMYFUNCTION("""COMPUTED_VALUE"""),"TRSF E-BANKING DB")</f>
        <v>TRSF E-BANKING DB</v>
      </c>
      <c r="C19" s="3" t="str">
        <f>IFERROR(__xludf.DUMMYFUNCTION("""COMPUTED_VALUE"""),"0706/FTSCY/WS95271 60000.00 byr paket YUDISTIRA ADI KUSU 60000.00 byr paket YUDISTIRA ADI KUSU")</f>
        <v>0706/FTSCY/WS95271 60000.00 byr paket YUDISTIRA ADI KUSU 60000.00 byr paket YUDISTIRA ADI KUSU</v>
      </c>
      <c r="D19" s="3">
        <f>IFERROR(__xludf.DUMMYFUNCTION("""COMPUTED_VALUE"""),60000.0)</f>
        <v>60000</v>
      </c>
      <c r="E19" s="3"/>
      <c r="F19" s="3" t="str">
        <f>IFERROR(__xludf.DUMMYFUNCTION("""COMPUTED_VALUE"""),"DB")</f>
        <v>DB</v>
      </c>
      <c r="G19" s="3">
        <f>IFERROR(__xludf.DUMMYFUNCTION("""COMPUTED_VALUE"""),5.175510775999999E7)</f>
        <v>51755107.76</v>
      </c>
      <c r="H19" s="3"/>
      <c r="I19" s="3" t="str">
        <f>IFERROR(__xludf.DUMMYFUNCTION("""COMPUTED_VALUE"""),"PRIBADI")</f>
        <v>PRIBADI</v>
      </c>
    </row>
    <row r="20">
      <c r="A20" s="3" t="str">
        <f>IFERROR(__xludf.DUMMYFUNCTION("""COMPUTED_VALUE"""),"2023-06-06")</f>
        <v>2023-06-06</v>
      </c>
      <c r="B20" s="3" t="str">
        <f>IFERROR(__xludf.DUMMYFUNCTION("""COMPUTED_VALUE"""),"BI-FAST DB")</f>
        <v>BI-FAST DB</v>
      </c>
      <c r="C20" s="3" t="str">
        <f>IFERROR(__xludf.DUMMYFUNCTION("""COMPUTED_VALUE"""),"BIF TRANSFER KE 2 SUNARJI M-BCA")</f>
        <v>BIF TRANSFER KE 2 SUNARJI M-BCA</v>
      </c>
      <c r="D20" s="3">
        <f>IFERROR(__xludf.DUMMYFUNCTION("""COMPUTED_VALUE"""),1000000.0)</f>
        <v>1000000</v>
      </c>
      <c r="E20" s="3"/>
      <c r="F20" s="3" t="str">
        <f>IFERROR(__xludf.DUMMYFUNCTION("""COMPUTED_VALUE"""),"DB")</f>
        <v>DB</v>
      </c>
      <c r="G20" s="3">
        <f>IFERROR(__xludf.DUMMYFUNCTION("""COMPUTED_VALUE"""),3.1006253776E8)</f>
        <v>310062537.8</v>
      </c>
      <c r="H20" s="3"/>
      <c r="I20" s="3" t="str">
        <f>IFERROR(__xludf.DUMMYFUNCTION("""COMPUTED_VALUE"""),"PRIBADI")</f>
        <v>PRIBADI</v>
      </c>
    </row>
    <row r="21">
      <c r="A21" s="3" t="str">
        <f>IFERROR(__xludf.DUMMYFUNCTION("""COMPUTED_VALUE"""),"2023-06-06")</f>
        <v>2023-06-06</v>
      </c>
      <c r="B21" s="3" t="str">
        <f>IFERROR(__xludf.DUMMYFUNCTION("""COMPUTED_VALUE"""),"BI-FAST DB")</f>
        <v>BI-FAST DB</v>
      </c>
      <c r="C21" s="3" t="str">
        <f>IFERROR(__xludf.DUMMYFUNCTION("""COMPUTED_VALUE"""),"BIF BIAYA TXN KE 2 SUNARJI M-BCA")</f>
        <v>BIF BIAYA TXN KE 2 SUNARJI M-BCA</v>
      </c>
      <c r="D21" s="3">
        <f>IFERROR(__xludf.DUMMYFUNCTION("""COMPUTED_VALUE"""),2500.0)</f>
        <v>2500</v>
      </c>
      <c r="E21" s="3"/>
      <c r="F21" s="3" t="str">
        <f>IFERROR(__xludf.DUMMYFUNCTION("""COMPUTED_VALUE"""),"DB")</f>
        <v>DB</v>
      </c>
      <c r="G21" s="3">
        <f>IFERROR(__xludf.DUMMYFUNCTION("""COMPUTED_VALUE"""),3.1006003776E8)</f>
        <v>310060037.8</v>
      </c>
      <c r="H21" s="3"/>
      <c r="I21" s="3" t="str">
        <f>IFERROR(__xludf.DUMMYFUNCTION("""COMPUTED_VALUE"""),"PRIBADI")</f>
        <v>PRIBADI</v>
      </c>
    </row>
    <row r="22">
      <c r="A22" s="3" t="str">
        <f>IFERROR(__xludf.DUMMYFUNCTION("""COMPUTED_VALUE"""),"2023-06-06")</f>
        <v>2023-06-06</v>
      </c>
      <c r="B22" s="3" t="str">
        <f>IFERROR(__xludf.DUMMYFUNCTION("""COMPUTED_VALUE"""),"KARTU DEBIT")</f>
        <v>KARTU DEBIT</v>
      </c>
      <c r="C22" s="3" t="str">
        <f>IFERROR(__xludf.DUMMYFUNCTION("""COMPUTED_VALUE"""),"IDM F78A BAJERA BA 6019009510239343")</f>
        <v>IDM F78A BAJERA BA 6019009510239343</v>
      </c>
      <c r="D22" s="3">
        <f>IFERROR(__xludf.DUMMYFUNCTION("""COMPUTED_VALUE"""),566800.0)</f>
        <v>566800</v>
      </c>
      <c r="E22" s="3"/>
      <c r="F22" s="3"/>
      <c r="G22" s="3">
        <f>IFERROR(__xludf.DUMMYFUNCTION("""COMPUTED_VALUE"""),3.0849323776E8)</f>
        <v>308493237.8</v>
      </c>
      <c r="H22" s="3">
        <f>IFERROR(__xludf.DUMMYFUNCTION("""COMPUTED_VALUE"""),3.0849323776E8)</f>
        <v>308493237.8</v>
      </c>
      <c r="I22" s="3" t="str">
        <f>IFERROR(__xludf.DUMMYFUNCTION("""COMPUTED_VALUE"""),"PRIBADI")</f>
        <v>PRIBADI</v>
      </c>
    </row>
    <row r="23">
      <c r="A23" s="3" t="str">
        <f>IFERROR(__xludf.DUMMYFUNCTION("""COMPUTED_VALUE"""),"2023-06-06")</f>
        <v>2023-06-06</v>
      </c>
      <c r="B23" s="3" t="str">
        <f>IFERROR(__xludf.DUMMYFUNCTION("""COMPUTED_VALUE"""),"TRSF E-BANKING DB")</f>
        <v>TRSF E-BANKING DB</v>
      </c>
      <c r="C23" s="3" t="str">
        <f>IFERROR(__xludf.DUMMYFUNCTION("""COMPUTED_VALUE"""),"0806/FTSCY/WS95271 65000.00 YUDISTIRA ADI KUSU")</f>
        <v>0806/FTSCY/WS95271 65000.00 YUDISTIRA ADI KUSU</v>
      </c>
      <c r="D23" s="3">
        <f>IFERROR(__xludf.DUMMYFUNCTION("""COMPUTED_VALUE"""),65000.0)</f>
        <v>65000</v>
      </c>
      <c r="E23" s="3"/>
      <c r="F23" s="3" t="str">
        <f>IFERROR(__xludf.DUMMYFUNCTION("""COMPUTED_VALUE"""),"DB")</f>
        <v>DB</v>
      </c>
      <c r="G23" s="3">
        <f>IFERROR(__xludf.DUMMYFUNCTION("""COMPUTED_VALUE"""),9.382559775999999E7)</f>
        <v>93825597.76</v>
      </c>
      <c r="H23" s="3"/>
      <c r="I23" s="3" t="str">
        <f>IFERROR(__xludf.DUMMYFUNCTION("""COMPUTED_VALUE"""),"PRIBADI")</f>
        <v>PRIBADI</v>
      </c>
    </row>
    <row r="24">
      <c r="A24" s="3" t="str">
        <f>IFERROR(__xludf.DUMMYFUNCTION("""COMPUTED_VALUE"""),"2023-06-06")</f>
        <v>2023-06-06</v>
      </c>
      <c r="B24" s="3" t="str">
        <f>IFERROR(__xludf.DUMMYFUNCTION("""COMPUTED_VALUE"""),"TRANSAKSI DEBIT")</f>
        <v>TRANSAKSI DEBIT</v>
      </c>
      <c r="C24" s="3" t="str">
        <f>IFERROR(__xludf.DUMMYFUNCTION("""COMPUTED_VALUE"""),"TGL: 08/06 QR 916 00000.00""JNE LM JA")</f>
        <v>TGL: 08/06 QR 916 00000.00"JNE LM JA</v>
      </c>
      <c r="D24" s="3">
        <f>IFERROR(__xludf.DUMMYFUNCTION("""COMPUTED_VALUE"""),162640.0)</f>
        <v>162640</v>
      </c>
      <c r="E24" s="3"/>
      <c r="F24" s="3"/>
      <c r="G24" s="3">
        <f>IFERROR(__xludf.DUMMYFUNCTION("""COMPUTED_VALUE"""),4.9806848276E8)</f>
        <v>498068482.8</v>
      </c>
      <c r="H24" s="3">
        <f>IFERROR(__xludf.DUMMYFUNCTION("""COMPUTED_VALUE"""),4.9806848276E8)</f>
        <v>498068482.8</v>
      </c>
      <c r="I24" s="3" t="str">
        <f>IFERROR(__xludf.DUMMYFUNCTION("""COMPUTED_VALUE"""),"PRIBADI")</f>
        <v>PRIBADI</v>
      </c>
    </row>
    <row r="25">
      <c r="A25" s="3" t="str">
        <f>IFERROR(__xludf.DUMMYFUNCTION("""COMPUTED_VALUE"""),"2023-06-06")</f>
        <v>2023-06-06</v>
      </c>
      <c r="B25" s="3" t="str">
        <f>IFERROR(__xludf.DUMMYFUNCTION("""COMPUTED_VALUE"""),"TRSF E-BANKING DB")</f>
        <v>TRSF E-BANKING DB</v>
      </c>
      <c r="C25" s="3" t="str">
        <f>IFERROR(__xludf.DUMMYFUNCTION("""COMPUTED_VALUE"""),"0906/FTFVA/WS95031 26689/TIKTOK SHOP - - 2663108583854")</f>
        <v>0906/FTFVA/WS95031 26689/TIKTOK SHOP - - 2663108583854</v>
      </c>
      <c r="D25" s="3">
        <f>IFERROR(__xludf.DUMMYFUNCTION("""COMPUTED_VALUE"""),65700.0)</f>
        <v>65700</v>
      </c>
      <c r="E25" s="3"/>
      <c r="F25" s="3" t="str">
        <f>IFERROR(__xludf.DUMMYFUNCTION("""COMPUTED_VALUE"""),"DB")</f>
        <v>DB</v>
      </c>
      <c r="G25" s="3">
        <f>IFERROR(__xludf.DUMMYFUNCTION("""COMPUTED_VALUE"""),2292460.7599999905)</f>
        <v>2292460.76</v>
      </c>
      <c r="H25" s="3">
        <f>IFERROR(__xludf.DUMMYFUNCTION("""COMPUTED_VALUE"""),2292460.76)</f>
        <v>2292460.76</v>
      </c>
      <c r="I25" s="3" t="str">
        <f>IFERROR(__xludf.DUMMYFUNCTION("""COMPUTED_VALUE"""),"PRIBADI")</f>
        <v>PRIBADI</v>
      </c>
    </row>
    <row r="26">
      <c r="A26" s="3" t="str">
        <f>IFERROR(__xludf.DUMMYFUNCTION("""COMPUTED_VALUE"""),"2023-06-06")</f>
        <v>2023-06-06</v>
      </c>
      <c r="B26" s="3" t="str">
        <f>IFERROR(__xludf.DUMMYFUNCTION("""COMPUTED_VALUE"""),"BYR VIA E-BANKING")</f>
        <v>BYR VIA E-BANKING</v>
      </c>
      <c r="C26" s="3" t="str">
        <f>IFERROR(__xludf.DUMMYFUNCTION("""COMPUTED_VALUE"""),"09/06  WSID9503100 1220 TELKOMSEL 82318368518 MUHAMMAD HAIRUL MA")</f>
        <v>09/06  WSID9503100 1220 TELKOMSEL 82318368518 MUHAMMAD HAIRUL MA</v>
      </c>
      <c r="D26" s="3">
        <f>IFERROR(__xludf.DUMMYFUNCTION("""COMPUTED_VALUE"""),102000.0)</f>
        <v>102000</v>
      </c>
      <c r="E26" s="3"/>
      <c r="F26" s="3"/>
      <c r="G26" s="3">
        <f>IFERROR(__xludf.DUMMYFUNCTION("""COMPUTED_VALUE"""),4.1073616076E8)</f>
        <v>410736160.8</v>
      </c>
      <c r="H26" s="3"/>
      <c r="I26" s="3" t="str">
        <f>IFERROR(__xludf.DUMMYFUNCTION("""COMPUTED_VALUE"""),"PRIBADI")</f>
        <v>PRIBADI</v>
      </c>
    </row>
    <row r="27">
      <c r="A27" s="3" t="str">
        <f>IFERROR(__xludf.DUMMYFUNCTION("""COMPUTED_VALUE"""),"2023-06-06")</f>
        <v>2023-06-06</v>
      </c>
      <c r="B27" s="3" t="str">
        <f>IFERROR(__xludf.DUMMYFUNCTION("""COMPUTED_VALUE"""),"KARTU DEBIT")</f>
        <v>KARTU DEBIT</v>
      </c>
      <c r="C27" s="3" t="str">
        <f>IFERROR(__xludf.DUMMYFUNCTION("""COMPUTED_VALUE"""),"ALFAMRT Y207 BRTN 6019009510239343")</f>
        <v>ALFAMRT Y207 BRTN 6019009510239343</v>
      </c>
      <c r="D27" s="3">
        <f>IFERROR(__xludf.DUMMYFUNCTION("""COMPUTED_VALUE"""),187100.0)</f>
        <v>187100</v>
      </c>
      <c r="E27" s="3"/>
      <c r="F27" s="3"/>
      <c r="G27" s="3">
        <f>IFERROR(__xludf.DUMMYFUNCTION("""COMPUTED_VALUE"""),2.1242581076E8)</f>
        <v>212425810.8</v>
      </c>
      <c r="H27" s="3">
        <f>IFERROR(__xludf.DUMMYFUNCTION("""COMPUTED_VALUE"""),2.1242581076E8)</f>
        <v>212425810.8</v>
      </c>
      <c r="I27" s="3" t="str">
        <f>IFERROR(__xludf.DUMMYFUNCTION("""COMPUTED_VALUE"""),"PRIBADI")</f>
        <v>PRIBADI</v>
      </c>
    </row>
    <row r="28">
      <c r="A28" s="3" t="str">
        <f>IFERROR(__xludf.DUMMYFUNCTION("""COMPUTED_VALUE"""),"2023-06-06")</f>
        <v>2023-06-06</v>
      </c>
      <c r="B28" s="3" t="str">
        <f>IFERROR(__xludf.DUMMYFUNCTION("""COMPUTED_VALUE"""),"KARTU DEBIT")</f>
        <v>KARTU DEBIT</v>
      </c>
      <c r="C28" s="3" t="str">
        <f>IFERROR(__xludf.DUMMYFUNCTION("""COMPUTED_VALUE"""),"ALFAMRT Y207 BRTN 6019009510239343")</f>
        <v>ALFAMRT Y207 BRTN 6019009510239343</v>
      </c>
      <c r="D28" s="3">
        <f>IFERROR(__xludf.DUMMYFUNCTION("""COMPUTED_VALUE"""),22000.0)</f>
        <v>22000</v>
      </c>
      <c r="E28" s="3"/>
      <c r="F28" s="3"/>
      <c r="G28" s="3">
        <f>IFERROR(__xludf.DUMMYFUNCTION("""COMPUTED_VALUE"""),5.1138796076E8)</f>
        <v>511387960.8</v>
      </c>
      <c r="H28" s="3"/>
      <c r="I28" s="3" t="str">
        <f>IFERROR(__xludf.DUMMYFUNCTION("""COMPUTED_VALUE"""),"PRIBADI")</f>
        <v>PRIBADI</v>
      </c>
    </row>
    <row r="29">
      <c r="A29" s="3" t="str">
        <f>IFERROR(__xludf.DUMMYFUNCTION("""COMPUTED_VALUE"""),"2023-06-06")</f>
        <v>2023-06-06</v>
      </c>
      <c r="B29" s="3" t="str">
        <f>IFERROR(__xludf.DUMMYFUNCTION("""COMPUTED_VALUE"""),"BI-FAST DB")</f>
        <v>BI-FAST DB</v>
      </c>
      <c r="C29" s="3" t="str">
        <f>IFERROR(__xludf.DUMMYFUNCTION("""COMPUTED_VALUE"""),"BIF TRANSFER KE 9 NOUVAL HOLQI RISKU M-BCA")</f>
        <v>BIF TRANSFER KE 9 NOUVAL HOLQI RISKU M-BCA</v>
      </c>
      <c r="D29" s="3">
        <f>IFERROR(__xludf.DUMMYFUNCTION("""COMPUTED_VALUE"""),75000.0)</f>
        <v>75000</v>
      </c>
      <c r="E29" s="3"/>
      <c r="F29" s="3" t="str">
        <f>IFERROR(__xludf.DUMMYFUNCTION("""COMPUTED_VALUE"""),"DB")</f>
        <v>DB</v>
      </c>
      <c r="G29" s="3">
        <f>IFERROR(__xludf.DUMMYFUNCTION("""COMPUTED_VALUE"""),5.1131296076E8)</f>
        <v>511312960.8</v>
      </c>
      <c r="H29" s="3"/>
      <c r="I29" s="3" t="str">
        <f>IFERROR(__xludf.DUMMYFUNCTION("""COMPUTED_VALUE"""),"PRIBADI")</f>
        <v>PRIBADI</v>
      </c>
    </row>
    <row r="30">
      <c r="A30" s="3" t="str">
        <f>IFERROR(__xludf.DUMMYFUNCTION("""COMPUTED_VALUE"""),"2023-06-06")</f>
        <v>2023-06-06</v>
      </c>
      <c r="B30" s="3" t="str">
        <f>IFERROR(__xludf.DUMMYFUNCTION("""COMPUTED_VALUE"""),"BI-FAST DB")</f>
        <v>BI-FAST DB</v>
      </c>
      <c r="C30" s="3" t="str">
        <f>IFERROR(__xludf.DUMMYFUNCTION("""COMPUTED_VALUE"""),"BIF BIAYA TXN KE 9 NOUVAL HOLQI RISKU M-BCA")</f>
        <v>BIF BIAYA TXN KE 9 NOUVAL HOLQI RISKU M-BCA</v>
      </c>
      <c r="D30" s="3">
        <f>IFERROR(__xludf.DUMMYFUNCTION("""COMPUTED_VALUE"""),2500.0)</f>
        <v>2500</v>
      </c>
      <c r="E30" s="3"/>
      <c r="F30" s="3" t="str">
        <f>IFERROR(__xludf.DUMMYFUNCTION("""COMPUTED_VALUE"""),"DB")</f>
        <v>DB</v>
      </c>
      <c r="G30" s="3">
        <f>IFERROR(__xludf.DUMMYFUNCTION("""COMPUTED_VALUE"""),5.1131046076E8)</f>
        <v>511310460.8</v>
      </c>
      <c r="H30" s="3"/>
      <c r="I30" s="3" t="str">
        <f>IFERROR(__xludf.DUMMYFUNCTION("""COMPUTED_VALUE"""),"PRIBADI")</f>
        <v>PRIBADI</v>
      </c>
    </row>
    <row r="31">
      <c r="A31" s="3" t="str">
        <f>IFERROR(__xludf.DUMMYFUNCTION("""COMPUTED_VALUE"""),"2023-06-06")</f>
        <v>2023-06-06</v>
      </c>
      <c r="B31" s="3" t="str">
        <f>IFERROR(__xludf.DUMMYFUNCTION("""COMPUTED_VALUE"""),"KARTU DEBIT")</f>
        <v>KARTU DEBIT</v>
      </c>
      <c r="C31" s="3" t="str">
        <f>IFERROR(__xludf.DUMMYFUNCTION("""COMPUTED_VALUE"""),"ALFAMRT Y207 BRTN 6019009510239343")</f>
        <v>ALFAMRT Y207 BRTN 6019009510239343</v>
      </c>
      <c r="D31" s="3">
        <f>IFERROR(__xludf.DUMMYFUNCTION("""COMPUTED_VALUE"""),68200.0)</f>
        <v>68200</v>
      </c>
      <c r="E31" s="3"/>
      <c r="F31" s="3"/>
      <c r="G31" s="3">
        <f>IFERROR(__xludf.DUMMYFUNCTION("""COMPUTED_VALUE"""),1.8770534076E8)</f>
        <v>187705340.8</v>
      </c>
      <c r="H31" s="3">
        <f>IFERROR(__xludf.DUMMYFUNCTION("""COMPUTED_VALUE"""),1.8770534076E8)</f>
        <v>187705340.8</v>
      </c>
      <c r="I31" s="3" t="str">
        <f>IFERROR(__xludf.DUMMYFUNCTION("""COMPUTED_VALUE"""),"PRIBADI")</f>
        <v>PRIBADI</v>
      </c>
    </row>
    <row r="32">
      <c r="A32" s="3" t="str">
        <f>IFERROR(__xludf.DUMMYFUNCTION("""COMPUTED_VALUE"""),"2023-06-06")</f>
        <v>2023-06-06</v>
      </c>
      <c r="B32" s="3" t="str">
        <f>IFERROR(__xludf.DUMMYFUNCTION("""COMPUTED_VALUE"""),"TARIKAN ATM 10/06")</f>
        <v>TARIKAN ATM 10/06</v>
      </c>
      <c r="C32" s="3" t="str">
        <f>IFERROR(__xludf.DUMMYFUNCTION("""COMPUTED_VALUE"""),"TARIKAN ATM 10/06")</f>
        <v>TARIKAN ATM 10/06</v>
      </c>
      <c r="D32" s="3">
        <f>IFERROR(__xludf.DUMMYFUNCTION("""COMPUTED_VALUE"""),500000.0)</f>
        <v>500000</v>
      </c>
      <c r="E32" s="3"/>
      <c r="F32" s="3"/>
      <c r="G32" s="3">
        <f>IFERROR(__xludf.DUMMYFUNCTION("""COMPUTED_VALUE"""),3.762229075999999E7)</f>
        <v>37622290.76</v>
      </c>
      <c r="H32" s="3">
        <f>IFERROR(__xludf.DUMMYFUNCTION("""COMPUTED_VALUE"""),3.762229076E7)</f>
        <v>37622290.76</v>
      </c>
      <c r="I32" s="3" t="str">
        <f>IFERROR(__xludf.DUMMYFUNCTION("""COMPUTED_VALUE"""),"PRIBADI")</f>
        <v>PRIBADI</v>
      </c>
    </row>
    <row r="33">
      <c r="A33" s="3" t="str">
        <f>IFERROR(__xludf.DUMMYFUNCTION("""COMPUTED_VALUE"""),"2023-06-06")</f>
        <v>2023-06-06</v>
      </c>
      <c r="B33" s="3" t="str">
        <f>IFERROR(__xludf.DUMMYFUNCTION("""COMPUTED_VALUE"""),"KARTU DEBIT")</f>
        <v>KARTU DEBIT</v>
      </c>
      <c r="C33" s="3" t="str">
        <f>IFERROR(__xludf.DUMMYFUNCTION("""COMPUTED_VALUE"""),"ALFAMRT Y207 BRTN 6019009510239343")</f>
        <v>ALFAMRT Y207 BRTN 6019009510239343</v>
      </c>
      <c r="D33" s="3">
        <f>IFERROR(__xludf.DUMMYFUNCTION("""COMPUTED_VALUE"""),395300.0)</f>
        <v>395300</v>
      </c>
      <c r="E33" s="3"/>
      <c r="F33" s="3"/>
      <c r="G33" s="3">
        <f>IFERROR(__xludf.DUMMYFUNCTION("""COMPUTED_VALUE"""),2.8554839076E8)</f>
        <v>285548390.8</v>
      </c>
      <c r="H33" s="3">
        <f>IFERROR(__xludf.DUMMYFUNCTION("""COMPUTED_VALUE"""),2.8554839076E8)</f>
        <v>285548390.8</v>
      </c>
      <c r="I33" s="3" t="str">
        <f>IFERROR(__xludf.DUMMYFUNCTION("""COMPUTED_VALUE"""),"PRIBADI")</f>
        <v>PRIBADI</v>
      </c>
    </row>
    <row r="34">
      <c r="A34" s="3" t="str">
        <f>IFERROR(__xludf.DUMMYFUNCTION("""COMPUTED_VALUE"""),"2023-13-13")</f>
        <v>2023-13-13</v>
      </c>
      <c r="B34" s="3" t="str">
        <f>IFERROR(__xludf.DUMMYFUNCTION("""COMPUTED_VALUE"""),"BI-FAST DB")</f>
        <v>BI-FAST DB</v>
      </c>
      <c r="C34" s="3" t="str">
        <f>IFERROR(__xludf.DUMMYFUNCTION("""COMPUTED_VALUE"""),"BIF TRANSFER KE 8 MISWATI M-BCA")</f>
        <v>BIF TRANSFER KE 8 MISWATI M-BCA</v>
      </c>
      <c r="D34" s="3">
        <f>IFERROR(__xludf.DUMMYFUNCTION("""COMPUTED_VALUE"""),300000.0)</f>
        <v>300000</v>
      </c>
      <c r="E34" s="3"/>
      <c r="F34" s="3" t="str">
        <f>IFERROR(__xludf.DUMMYFUNCTION("""COMPUTED_VALUE"""),"DB")</f>
        <v>DB</v>
      </c>
      <c r="G34" s="3">
        <f>IFERROR(__xludf.DUMMYFUNCTION("""COMPUTED_VALUE"""),4.225382075999999E7)</f>
        <v>42253820.76</v>
      </c>
      <c r="H34" s="3"/>
      <c r="I34" s="3" t="str">
        <f>IFERROR(__xludf.DUMMYFUNCTION("""COMPUTED_VALUE"""),"PRIBADI")</f>
        <v>PRIBADI</v>
      </c>
    </row>
    <row r="35">
      <c r="A35" s="3" t="str">
        <f>IFERROR(__xludf.DUMMYFUNCTION("""COMPUTED_VALUE"""),"2023-13-13")</f>
        <v>2023-13-13</v>
      </c>
      <c r="B35" s="3" t="str">
        <f>IFERROR(__xludf.DUMMYFUNCTION("""COMPUTED_VALUE"""),"BI-FAST DB")</f>
        <v>BI-FAST DB</v>
      </c>
      <c r="C35" s="3" t="str">
        <f>IFERROR(__xludf.DUMMYFUNCTION("""COMPUTED_VALUE"""),"BIF BIAYA TXN KE 8 MISWATI M-BCA")</f>
        <v>BIF BIAYA TXN KE 8 MISWATI M-BCA</v>
      </c>
      <c r="D35" s="3">
        <f>IFERROR(__xludf.DUMMYFUNCTION("""COMPUTED_VALUE"""),2500.0)</f>
        <v>2500</v>
      </c>
      <c r="E35" s="3"/>
      <c r="F35" s="3" t="str">
        <f>IFERROR(__xludf.DUMMYFUNCTION("""COMPUTED_VALUE"""),"DB")</f>
        <v>DB</v>
      </c>
      <c r="G35" s="3">
        <f>IFERROR(__xludf.DUMMYFUNCTION("""COMPUTED_VALUE"""),4.225132075999999E7)</f>
        <v>42251320.76</v>
      </c>
      <c r="H35" s="3">
        <f>IFERROR(__xludf.DUMMYFUNCTION("""COMPUTED_VALUE"""),4.225132076E7)</f>
        <v>42251320.76</v>
      </c>
      <c r="I35" s="3" t="str">
        <f>IFERROR(__xludf.DUMMYFUNCTION("""COMPUTED_VALUE"""),"PRIBADI")</f>
        <v>PRIBADI</v>
      </c>
    </row>
    <row r="36">
      <c r="A36" s="3" t="str">
        <f>IFERROR(__xludf.DUMMYFUNCTION("""COMPUTED_VALUE"""),"2023-13-13")</f>
        <v>2023-13-13</v>
      </c>
      <c r="B36" s="3" t="str">
        <f>IFERROR(__xludf.DUMMYFUNCTION("""COMPUTED_VALUE"""),"BYR VIA E-BANKING")</f>
        <v>BYR VIA E-BANKING</v>
      </c>
      <c r="C36" s="3" t="str">
        <f>IFERROR(__xludf.DUMMYFUNCTION("""COMPUTED_VALUE"""),"13/06 WSID9503101 0507 FIF 803001249921 MUHAMMAD HAIRUL MA")</f>
        <v>13/06 WSID9503101 0507 FIF 803001249921 MUHAMMAD HAIRUL MA</v>
      </c>
      <c r="D36" s="3">
        <f>IFERROR(__xludf.DUMMYFUNCTION("""COMPUTED_VALUE"""),750000.0)</f>
        <v>750000</v>
      </c>
      <c r="E36" s="3"/>
      <c r="F36" s="3"/>
      <c r="G36" s="3">
        <f>IFERROR(__xludf.DUMMYFUNCTION("""COMPUTED_VALUE"""),1.9554104076E8)</f>
        <v>195541040.8</v>
      </c>
      <c r="H36" s="3"/>
      <c r="I36" s="3" t="str">
        <f>IFERROR(__xludf.DUMMYFUNCTION("""COMPUTED_VALUE"""),"PRIBADI")</f>
        <v>PRIBADI</v>
      </c>
    </row>
    <row r="37">
      <c r="A37" s="3" t="str">
        <f>IFERROR(__xludf.DUMMYFUNCTION("""COMPUTED_VALUE"""),"2023-13-13")</f>
        <v>2023-13-13</v>
      </c>
      <c r="B37" s="3" t="str">
        <f>IFERROR(__xludf.DUMMYFUNCTION("""COMPUTED_VALUE"""),"BI-FAST DB")</f>
        <v>BI-FAST DB</v>
      </c>
      <c r="C37" s="3" t="str">
        <f>IFERROR(__xludf.DUMMYFUNCTION("""COMPUTED_VALUE"""),"BIF BIAYA TXN KE 2 TURYADI M-BCA")</f>
        <v>BIF BIAYA TXN KE 2 TURYADI M-BCA</v>
      </c>
      <c r="D37" s="3">
        <f>IFERROR(__xludf.DUMMYFUNCTION("""COMPUTED_VALUE"""),2500.0)</f>
        <v>2500</v>
      </c>
      <c r="E37" s="3"/>
      <c r="F37" s="3" t="str">
        <f>IFERROR(__xludf.DUMMYFUNCTION("""COMPUTED_VALUE"""),"DB")</f>
        <v>DB</v>
      </c>
      <c r="G37" s="3">
        <f>IFERROR(__xludf.DUMMYFUNCTION("""COMPUTED_VALUE"""),1.9401354076E8)</f>
        <v>194013540.8</v>
      </c>
      <c r="H37" s="3"/>
      <c r="I37" s="3" t="str">
        <f>IFERROR(__xludf.DUMMYFUNCTION("""COMPUTED_VALUE"""),"PRIBADI")</f>
        <v>PRIBADI</v>
      </c>
    </row>
    <row r="38">
      <c r="A38" s="3" t="str">
        <f>IFERROR(__xludf.DUMMYFUNCTION("""COMPUTED_VALUE"""),"2023-13-13")</f>
        <v>2023-13-13</v>
      </c>
      <c r="B38" s="3" t="str">
        <f>IFERROR(__xludf.DUMMYFUNCTION("""COMPUTED_VALUE"""),"TARIKAN ATM 13/06")</f>
        <v>TARIKAN ATM 13/06</v>
      </c>
      <c r="C38" s="3" t="str">
        <f>IFERROR(__xludf.DUMMYFUNCTION("""COMPUTED_VALUE"""),"TARIKAN ATM 13/06")</f>
        <v>TARIKAN ATM 13/06</v>
      </c>
      <c r="D38" s="3">
        <f>IFERROR(__xludf.DUMMYFUNCTION("""COMPUTED_VALUE"""),200000.0)</f>
        <v>200000</v>
      </c>
      <c r="E38" s="3"/>
      <c r="F38" s="3"/>
      <c r="G38" s="3">
        <f>IFERROR(__xludf.DUMMYFUNCTION("""COMPUTED_VALUE"""),4.5529259076E8)</f>
        <v>455292590.8</v>
      </c>
      <c r="H38" s="3"/>
      <c r="I38" s="3" t="str">
        <f>IFERROR(__xludf.DUMMYFUNCTION("""COMPUTED_VALUE"""),"PRIBADI")</f>
        <v>PRIBADI</v>
      </c>
    </row>
    <row r="39">
      <c r="A39" s="3" t="str">
        <f>IFERROR(__xludf.DUMMYFUNCTION("""COMPUTED_VALUE"""),"2023-06-15")</f>
        <v>2023-06-15</v>
      </c>
      <c r="B39" s="3" t="str">
        <f>IFERROR(__xludf.DUMMYFUNCTION("""COMPUTED_VALUE"""),"KARTU DEBIT")</f>
        <v>KARTU DEBIT</v>
      </c>
      <c r="C39" s="3" t="str">
        <f>IFERROR(__xludf.DUMMYFUNCTION("""COMPUTED_VALUE"""),"ALFAMRT Y283 SAT G 6019009510239343")</f>
        <v>ALFAMRT Y283 SAT G 6019009510239343</v>
      </c>
      <c r="D39" s="3">
        <f>IFERROR(__xludf.DUMMYFUNCTION("""COMPUTED_VALUE"""),53400.0)</f>
        <v>53400</v>
      </c>
      <c r="E39" s="3"/>
      <c r="F39" s="3"/>
      <c r="G39" s="3">
        <f>IFERROR(__xludf.DUMMYFUNCTION("""COMPUTED_VALUE"""),2.810755075999999E7)</f>
        <v>28107550.76</v>
      </c>
      <c r="H39" s="3"/>
      <c r="I39" s="3" t="str">
        <f>IFERROR(__xludf.DUMMYFUNCTION("""COMPUTED_VALUE"""),"PRIBADI")</f>
        <v>PRIBADI</v>
      </c>
    </row>
    <row r="40">
      <c r="A40" s="3" t="str">
        <f>IFERROR(__xludf.DUMMYFUNCTION("""COMPUTED_VALUE"""),"2023-06-15")</f>
        <v>2023-06-15</v>
      </c>
      <c r="B40" s="3" t="str">
        <f>IFERROR(__xludf.DUMMYFUNCTION("""COMPUTED_VALUE"""),"FLAZZ BCA")</f>
        <v>FLAZZ BCA</v>
      </c>
      <c r="C40" s="3" t="str">
        <f>IFERROR(__xludf.DUMMYFUNCTION("""COMPUTED_VALUE"""),"TOPUP ALFAMRT Y283 145200010531681")</f>
        <v>TOPUP ALFAMRT Y283 145200010531681</v>
      </c>
      <c r="D40" s="3">
        <f>IFERROR(__xludf.DUMMYFUNCTION("""COMPUTED_VALUE"""),250000.0)</f>
        <v>250000</v>
      </c>
      <c r="E40" s="3"/>
      <c r="F40" s="3"/>
      <c r="G40" s="3">
        <f>IFERROR(__xludf.DUMMYFUNCTION("""COMPUTED_VALUE"""),2.785755075999999E7)</f>
        <v>27857550.76</v>
      </c>
      <c r="H40" s="3"/>
      <c r="I40" s="3" t="str">
        <f>IFERROR(__xludf.DUMMYFUNCTION("""COMPUTED_VALUE"""),"PRIBADI")</f>
        <v>PRIBADI</v>
      </c>
    </row>
    <row r="41">
      <c r="A41" s="3" t="str">
        <f>IFERROR(__xludf.DUMMYFUNCTION("""COMPUTED_VALUE"""),"2023-06-15")</f>
        <v>2023-06-15</v>
      </c>
      <c r="B41" s="3" t="str">
        <f>IFERROR(__xludf.DUMMYFUNCTION("""COMPUTED_VALUE"""),"TARIKAN ATM 15/06")</f>
        <v>TARIKAN ATM 15/06</v>
      </c>
      <c r="C41" s="3" t="str">
        <f>IFERROR(__xludf.DUMMYFUNCTION("""COMPUTED_VALUE"""),"TARIKAN ATM 15/06")</f>
        <v>TARIKAN ATM 15/06</v>
      </c>
      <c r="D41" s="3">
        <f>IFERROR(__xludf.DUMMYFUNCTION("""COMPUTED_VALUE"""),700000.0)</f>
        <v>700000</v>
      </c>
      <c r="E41" s="3"/>
      <c r="F41" s="3"/>
      <c r="G41" s="3">
        <f>IFERROR(__xludf.DUMMYFUNCTION("""COMPUTED_VALUE"""),2.715755075999999E7)</f>
        <v>27157550.76</v>
      </c>
      <c r="H41" s="3"/>
      <c r="I41" s="3" t="str">
        <f>IFERROR(__xludf.DUMMYFUNCTION("""COMPUTED_VALUE"""),"PRIBADI")</f>
        <v>PRIBADI</v>
      </c>
    </row>
    <row r="42">
      <c r="A42" s="3" t="str">
        <f>IFERROR(__xludf.DUMMYFUNCTION("""COMPUTED_VALUE"""),"2023-06-16")</f>
        <v>2023-06-16</v>
      </c>
      <c r="B42" s="3" t="str">
        <f>IFERROR(__xludf.DUMMYFUNCTION("""COMPUTED_VALUE"""),"TRSF E-BANKING DB")</f>
        <v>TRSF E-BANKING DB</v>
      </c>
      <c r="C42" s="3" t="str">
        <f>IFERROR(__xludf.DUMMYFUNCTION("""COMPUTED_VALUE"""),"1606/FTSCY/WS95271 1500000.00 MUHAMMAD HAIRUL MA")</f>
        <v>1606/FTSCY/WS95271 1500000.00 MUHAMMAD HAIRUL MA</v>
      </c>
      <c r="D42" s="3">
        <f>IFERROR(__xludf.DUMMYFUNCTION("""COMPUTED_VALUE"""),1500000.0)</f>
        <v>1500000</v>
      </c>
      <c r="E42" s="3"/>
      <c r="F42" s="3" t="str">
        <f>IFERROR(__xludf.DUMMYFUNCTION("""COMPUTED_VALUE"""),"DB")</f>
        <v>DB</v>
      </c>
      <c r="G42" s="3">
        <f>IFERROR(__xludf.DUMMYFUNCTION("""COMPUTED_VALUE"""),5.7915558076E8)</f>
        <v>579155580.8</v>
      </c>
      <c r="H42" s="3"/>
      <c r="I42" s="3" t="str">
        <f>IFERROR(__xludf.DUMMYFUNCTION("""COMPUTED_VALUE"""),"PRIBADI")</f>
        <v>PRIBADI</v>
      </c>
    </row>
    <row r="43">
      <c r="A43" s="3" t="str">
        <f>IFERROR(__xludf.DUMMYFUNCTION("""COMPUTED_VALUE"""),"2023-06-16")</f>
        <v>2023-06-16</v>
      </c>
      <c r="B43" s="3" t="str">
        <f>IFERROR(__xludf.DUMMYFUNCTION("""COMPUTED_VALUE"""),"TRSF E-BANKING DB")</f>
        <v>TRSF E-BANKING DB</v>
      </c>
      <c r="C43" s="3" t="str">
        <f>IFERROR(__xludf.DUMMYFUNCTION("""COMPUTED_VALUE"""),"1606/FTSCY/WS95031 100000.00 SAIFUL BAHRI")</f>
        <v>1606/FTSCY/WS95031 100000.00 SAIFUL BAHRI</v>
      </c>
      <c r="D43" s="3">
        <f>IFERROR(__xludf.DUMMYFUNCTION("""COMPUTED_VALUE"""),100000.0)</f>
        <v>100000</v>
      </c>
      <c r="E43" s="3"/>
      <c r="F43" s="3" t="str">
        <f>IFERROR(__xludf.DUMMYFUNCTION("""COMPUTED_VALUE"""),"DB")</f>
        <v>DB</v>
      </c>
      <c r="G43" s="3">
        <f>IFERROR(__xludf.DUMMYFUNCTION("""COMPUTED_VALUE"""),3.5379616076E8)</f>
        <v>353796160.8</v>
      </c>
      <c r="H43" s="3">
        <f>IFERROR(__xludf.DUMMYFUNCTION("""COMPUTED_VALUE"""),3.5379616076E8)</f>
        <v>353796160.8</v>
      </c>
      <c r="I43" s="3" t="str">
        <f>IFERROR(__xludf.DUMMYFUNCTION("""COMPUTED_VALUE"""),"PRIBADI")</f>
        <v>PRIBADI</v>
      </c>
    </row>
    <row r="44">
      <c r="A44" s="3" t="str">
        <f>IFERROR(__xludf.DUMMYFUNCTION("""COMPUTED_VALUE"""),"2023-06-17")</f>
        <v>2023-06-17</v>
      </c>
      <c r="B44" s="3" t="str">
        <f>IFERROR(__xludf.DUMMYFUNCTION("""COMPUTED_VALUE"""),"TRSF E-BANKING DB")</f>
        <v>TRSF E-BANKING DB</v>
      </c>
      <c r="C44" s="3" t="str">
        <f>IFERROR(__xludf.DUMMYFUNCTION("""COMPUTED_VALUE"""),"1706/FTSCY/WS95271 400000.00 MUHAMMAD HAIRUL MA")</f>
        <v>1706/FTSCY/WS95271 400000.00 MUHAMMAD HAIRUL MA</v>
      </c>
      <c r="D44" s="3">
        <f>IFERROR(__xludf.DUMMYFUNCTION("""COMPUTED_VALUE"""),400000.0)</f>
        <v>400000</v>
      </c>
      <c r="E44" s="3"/>
      <c r="F44" s="3" t="str">
        <f>IFERROR(__xludf.DUMMYFUNCTION("""COMPUTED_VALUE"""),"DB")</f>
        <v>DB</v>
      </c>
      <c r="G44" s="3">
        <f>IFERROR(__xludf.DUMMYFUNCTION("""COMPUTED_VALUE"""),3.6275809076E8)</f>
        <v>362758090.8</v>
      </c>
      <c r="H44" s="3"/>
      <c r="I44" s="3" t="str">
        <f>IFERROR(__xludf.DUMMYFUNCTION("""COMPUTED_VALUE"""),"PRIBADI")</f>
        <v>PRIBADI</v>
      </c>
    </row>
    <row r="45">
      <c r="A45" s="3" t="str">
        <f>IFERROR(__xludf.DUMMYFUNCTION("""COMPUTED_VALUE"""),"2023-06-17")</f>
        <v>2023-06-17</v>
      </c>
      <c r="B45" s="3" t="str">
        <f>IFERROR(__xludf.DUMMYFUNCTION("""COMPUTED_VALUE"""),"TRSF E-BANKING DB")</f>
        <v>TRSF E-BANKING DB</v>
      </c>
      <c r="C45" s="3" t="str">
        <f>IFERROR(__xludf.DUMMYFUNCTION("""COMPUTED_VALUE"""),"1706/FTSCY/WS95271 10000.00 MUHAMMAD HAIRUL MA")</f>
        <v>1706/FTSCY/WS95271 10000.00 MUHAMMAD HAIRUL MA</v>
      </c>
      <c r="D45" s="3">
        <f>IFERROR(__xludf.DUMMYFUNCTION("""COMPUTED_VALUE"""),10000.0)</f>
        <v>10000</v>
      </c>
      <c r="E45" s="3"/>
      <c r="F45" s="3" t="str">
        <f>IFERROR(__xludf.DUMMYFUNCTION("""COMPUTED_VALUE"""),"DB")</f>
        <v>DB</v>
      </c>
      <c r="G45" s="3">
        <f>IFERROR(__xludf.DUMMYFUNCTION("""COMPUTED_VALUE"""),3.6274809076E8)</f>
        <v>362748090.8</v>
      </c>
      <c r="H45" s="3">
        <f>IFERROR(__xludf.DUMMYFUNCTION("""COMPUTED_VALUE"""),3.6274809076E8)</f>
        <v>362748090.8</v>
      </c>
      <c r="I45" s="3" t="str">
        <f>IFERROR(__xludf.DUMMYFUNCTION("""COMPUTED_VALUE"""),"PRIBADI")</f>
        <v>PRIBADI</v>
      </c>
    </row>
    <row r="46">
      <c r="A46" s="3" t="str">
        <f>IFERROR(__xludf.DUMMYFUNCTION("""COMPUTED_VALUE"""),"2023-06-20")</f>
        <v>2023-06-20</v>
      </c>
      <c r="B46" s="3" t="str">
        <f>IFERROR(__xludf.DUMMYFUNCTION("""COMPUTED_VALUE"""),"KARTU DEBIT")</f>
        <v>KARTU DEBIT</v>
      </c>
      <c r="C46" s="3" t="str">
        <f>IFERROR(__xludf.DUMMYFUNCTION("""COMPUTED_VALUE"""),"ALFAMRT Y073 SUDI 6019009510239343")</f>
        <v>ALFAMRT Y073 SUDI 6019009510239343</v>
      </c>
      <c r="D46" s="3">
        <f>IFERROR(__xludf.DUMMYFUNCTION("""COMPUTED_VALUE"""),152500.0)</f>
        <v>152500</v>
      </c>
      <c r="E46" s="3"/>
      <c r="F46" s="3"/>
      <c r="G46" s="3">
        <f>IFERROR(__xludf.DUMMYFUNCTION("""COMPUTED_VALUE"""),2.5782772076E8)</f>
        <v>257827720.8</v>
      </c>
      <c r="H46" s="3">
        <f>IFERROR(__xludf.DUMMYFUNCTION("""COMPUTED_VALUE"""),2.5782772076E8)</f>
        <v>257827720.8</v>
      </c>
      <c r="I46" s="3" t="str">
        <f>IFERROR(__xludf.DUMMYFUNCTION("""COMPUTED_VALUE"""),"PRIBADI")</f>
        <v>PRIBADI</v>
      </c>
    </row>
    <row r="47">
      <c r="A47" s="3" t="str">
        <f>IFERROR(__xludf.DUMMYFUNCTION("""COMPUTED_VALUE"""),"2023-06-22")</f>
        <v>2023-06-22</v>
      </c>
      <c r="B47" s="3" t="str">
        <f>IFERROR(__xludf.DUMMYFUNCTION("""COMPUTED_VALUE"""),"BYR VIA E-BANKING")</f>
        <v>BYR VIA E-BANKING</v>
      </c>
      <c r="C47" s="3" t="str">
        <f>IFERROR(__xludf.DUMMYFUNCTION("""COMPUTED_VALUE"""),"22/06  WSID9503102 1220 TELKOMSEL 82318368518 MUHAMMAD HAIRUL MA")</f>
        <v>22/06  WSID9503102 1220 TELKOMSEL 82318368518 MUHAMMAD HAIRUL MA</v>
      </c>
      <c r="D47" s="3">
        <f>IFERROR(__xludf.DUMMYFUNCTION("""COMPUTED_VALUE"""),27000.0)</f>
        <v>27000</v>
      </c>
      <c r="E47" s="3"/>
      <c r="F47" s="3"/>
      <c r="G47" s="3">
        <f>IFERROR(__xludf.DUMMYFUNCTION("""COMPUTED_VALUE"""),1.3425237776E8)</f>
        <v>134252377.8</v>
      </c>
      <c r="H47" s="3"/>
      <c r="I47" s="3" t="str">
        <f>IFERROR(__xludf.DUMMYFUNCTION("""COMPUTED_VALUE"""),"PRIBADI")</f>
        <v>PRIBADI</v>
      </c>
    </row>
    <row r="48">
      <c r="A48" s="3" t="str">
        <f>IFERROR(__xludf.DUMMYFUNCTION("""COMPUTED_VALUE"""),"2023-06-22")</f>
        <v>2023-06-22</v>
      </c>
      <c r="B48" s="3" t="str">
        <f>IFERROR(__xludf.DUMMYFUNCTION("""COMPUTED_VALUE"""),"BYR VIA E-BANKING")</f>
        <v>BYR VIA E-BANKING</v>
      </c>
      <c r="C48" s="3" t="str">
        <f>IFERROR(__xludf.DUMMYFUNCTION("""COMPUTED_VALUE"""),"22/06  WSID9503102 1220 TELKOMSEL 82318368518 MUHAMMAD HAIRUL MA")</f>
        <v>22/06  WSID9503102 1220 TELKOMSEL 82318368518 MUHAMMAD HAIRUL MA</v>
      </c>
      <c r="D48" s="3">
        <f>IFERROR(__xludf.DUMMYFUNCTION("""COMPUTED_VALUE"""),52000.0)</f>
        <v>52000</v>
      </c>
      <c r="E48" s="3"/>
      <c r="F48" s="3"/>
      <c r="G48" s="3">
        <f>IFERROR(__xludf.DUMMYFUNCTION("""COMPUTED_VALUE"""),1.3420037775999999E8)</f>
        <v>134200377.8</v>
      </c>
      <c r="H48" s="3"/>
      <c r="I48" s="3" t="str">
        <f>IFERROR(__xludf.DUMMYFUNCTION("""COMPUTED_VALUE"""),"PRIBADI")</f>
        <v>PRIBADI</v>
      </c>
    </row>
    <row r="49">
      <c r="A49" s="3" t="str">
        <f>IFERROR(__xludf.DUMMYFUNCTION("""COMPUTED_VALUE"""),"2023-06-24")</f>
        <v>2023-06-24</v>
      </c>
      <c r="B49" s="3" t="str">
        <f>IFERROR(__xludf.DUMMYFUNCTION("""COMPUTED_VALUE"""),"BI-FAST DB")</f>
        <v>BI-FAST DB</v>
      </c>
      <c r="C49" s="3" t="str">
        <f>IFERROR(__xludf.DUMMYFUNCTION("""COMPUTED_VALUE"""),"BIF TRANSFER KE 9 NOUVAL HOLQI RISKU M-BCA")</f>
        <v>BIF TRANSFER KE 9 NOUVAL HOLQI RISKU M-BCA</v>
      </c>
      <c r="D49" s="3">
        <f>IFERROR(__xludf.DUMMYFUNCTION("""COMPUTED_VALUE"""),86000.0)</f>
        <v>86000</v>
      </c>
      <c r="E49" s="3"/>
      <c r="F49" s="3" t="str">
        <f>IFERROR(__xludf.DUMMYFUNCTION("""COMPUTED_VALUE"""),"DB")</f>
        <v>DB</v>
      </c>
      <c r="G49" s="3">
        <f>IFERROR(__xludf.DUMMYFUNCTION("""COMPUTED_VALUE"""),6.4601283776E8)</f>
        <v>646012837.8</v>
      </c>
      <c r="H49" s="3"/>
      <c r="I49" s="3" t="str">
        <f>IFERROR(__xludf.DUMMYFUNCTION("""COMPUTED_VALUE"""),"PRIBADI")</f>
        <v>PRIBADI</v>
      </c>
    </row>
    <row r="50">
      <c r="A50" s="3" t="str">
        <f>IFERROR(__xludf.DUMMYFUNCTION("""COMPUTED_VALUE"""),"2023-06-24")</f>
        <v>2023-06-24</v>
      </c>
      <c r="B50" s="3" t="str">
        <f>IFERROR(__xludf.DUMMYFUNCTION("""COMPUTED_VALUE"""),"BI-FAST DB")</f>
        <v>BI-FAST DB</v>
      </c>
      <c r="C50" s="3" t="str">
        <f>IFERROR(__xludf.DUMMYFUNCTION("""COMPUTED_VALUE"""),"BIF BIAYA TXN KE 9 NOUVAL HOLQI RISKU M-BCA")</f>
        <v>BIF BIAYA TXN KE 9 NOUVAL HOLQI RISKU M-BCA</v>
      </c>
      <c r="D50" s="3">
        <f>IFERROR(__xludf.DUMMYFUNCTION("""COMPUTED_VALUE"""),2500.0)</f>
        <v>2500</v>
      </c>
      <c r="E50" s="3"/>
      <c r="F50" s="3" t="str">
        <f>IFERROR(__xludf.DUMMYFUNCTION("""COMPUTED_VALUE"""),"DB")</f>
        <v>DB</v>
      </c>
      <c r="G50" s="3">
        <f>IFERROR(__xludf.DUMMYFUNCTION("""COMPUTED_VALUE"""),6.4601033776E8)</f>
        <v>646010337.8</v>
      </c>
      <c r="H50" s="3"/>
      <c r="I50" s="3" t="str">
        <f>IFERROR(__xludf.DUMMYFUNCTION("""COMPUTED_VALUE"""),"PRIBADI")</f>
        <v>PRIBADI</v>
      </c>
    </row>
    <row r="51">
      <c r="A51" s="3" t="str">
        <f>IFERROR(__xludf.DUMMYFUNCTION("""COMPUTED_VALUE"""),"2023-06-24")</f>
        <v>2023-06-24</v>
      </c>
      <c r="B51" s="3" t="str">
        <f>IFERROR(__xludf.DUMMYFUNCTION("""COMPUTED_VALUE"""),"TRANSAKSI DEBIT")</f>
        <v>TRANSAKSI DEBIT</v>
      </c>
      <c r="C51" s="3" t="str">
        <f>IFERROR(__xludf.DUMMYFUNCTION("""COMPUTED_VALUE"""),"TGL: 24/06 QR 918 00000.00Toko Media")</f>
        <v>TGL: 24/06 QR 918 00000.00Toko Media</v>
      </c>
      <c r="D51" s="3">
        <f>IFERROR(__xludf.DUMMYFUNCTION("""COMPUTED_VALUE"""),113000.0)</f>
        <v>113000</v>
      </c>
      <c r="E51" s="3"/>
      <c r="F51" s="3"/>
      <c r="G51" s="3">
        <f>IFERROR(__xludf.DUMMYFUNCTION("""COMPUTED_VALUE"""),4.7406892776E8)</f>
        <v>474068927.8</v>
      </c>
      <c r="H51" s="3">
        <f>IFERROR(__xludf.DUMMYFUNCTION("""COMPUTED_VALUE"""),4.7406892776E8)</f>
        <v>474068927.8</v>
      </c>
      <c r="I51" s="3" t="str">
        <f>IFERROR(__xludf.DUMMYFUNCTION("""COMPUTED_VALUE"""),"PRIBADI")</f>
        <v>PRIBADI</v>
      </c>
    </row>
    <row r="52">
      <c r="A52" s="3" t="str">
        <f>IFERROR(__xludf.DUMMYFUNCTION("""COMPUTED_VALUE"""),"2023-06-24")</f>
        <v>2023-06-24</v>
      </c>
      <c r="B52" s="3" t="str">
        <f>IFERROR(__xludf.DUMMYFUNCTION("""COMPUTED_VALUE"""),"KARTU DEBIT")</f>
        <v>KARTU DEBIT</v>
      </c>
      <c r="C52" s="3" t="str">
        <f>IFERROR(__xludf.DUMMYFUNCTION("""COMPUTED_VALUE"""),"GOLDEN MARKET-HO 6019009510239343")</f>
        <v>GOLDEN MARKET-HO 6019009510239343</v>
      </c>
      <c r="D52" s="3">
        <f>IFERROR(__xludf.DUMMYFUNCTION("""COMPUTED_VALUE"""),183970.0)</f>
        <v>183970</v>
      </c>
      <c r="E52" s="3"/>
      <c r="F52" s="3"/>
      <c r="G52" s="3">
        <f>IFERROR(__xludf.DUMMYFUNCTION("""COMPUTED_VALUE"""),4.7388495776E8)</f>
        <v>473884957.8</v>
      </c>
      <c r="H52" s="3">
        <f>IFERROR(__xludf.DUMMYFUNCTION("""COMPUTED_VALUE"""),4.7388495776E8)</f>
        <v>473884957.8</v>
      </c>
      <c r="I52" s="3" t="str">
        <f>IFERROR(__xludf.DUMMYFUNCTION("""COMPUTED_VALUE"""),"PRIBADI")</f>
        <v>PRIBADI</v>
      </c>
    </row>
    <row r="53">
      <c r="A53" s="3" t="str">
        <f>IFERROR(__xludf.DUMMYFUNCTION("""COMPUTED_VALUE"""),"2023-06-25")</f>
        <v>2023-06-25</v>
      </c>
      <c r="B53" s="3" t="str">
        <f>IFERROR(__xludf.DUMMYFUNCTION("""COMPUTED_VALUE"""),"TARIKAN ATM 25/06")</f>
        <v>TARIKAN ATM 25/06</v>
      </c>
      <c r="C53" s="3" t="str">
        <f>IFERROR(__xludf.DUMMYFUNCTION("""COMPUTED_VALUE"""),"TARIKAN ATM 25/06")</f>
        <v>TARIKAN ATM 25/06</v>
      </c>
      <c r="D53" s="3">
        <f>IFERROR(__xludf.DUMMYFUNCTION("""COMPUTED_VALUE"""),300000.0)</f>
        <v>300000</v>
      </c>
      <c r="E53" s="3"/>
      <c r="F53" s="3"/>
      <c r="G53" s="3">
        <f>IFERROR(__xludf.DUMMYFUNCTION("""COMPUTED_VALUE"""),3.1507503276E8)</f>
        <v>315075032.8</v>
      </c>
      <c r="H53" s="3"/>
      <c r="I53" s="3" t="str">
        <f>IFERROR(__xludf.DUMMYFUNCTION("""COMPUTED_VALUE"""),"PRIBADI")</f>
        <v>PRIBADI</v>
      </c>
    </row>
    <row r="54">
      <c r="A54" s="3" t="str">
        <f>IFERROR(__xludf.DUMMYFUNCTION("""COMPUTED_VALUE"""),"2023-06-25")</f>
        <v>2023-06-25</v>
      </c>
      <c r="B54" s="3" t="str">
        <f>IFERROR(__xludf.DUMMYFUNCTION("""COMPUTED_VALUE"""),"BI-FAST DB")</f>
        <v>BI-FAST DB</v>
      </c>
      <c r="C54" s="3" t="str">
        <f>IFERROR(__xludf.DUMMYFUNCTION("""COMPUTED_VALUE"""),"BIF TRANSFER KE 2 M RIFAI MyBCA")</f>
        <v>BIF TRANSFER KE 2 M RIFAI MyBCA</v>
      </c>
      <c r="D54" s="3">
        <f>IFERROR(__xludf.DUMMYFUNCTION("""COMPUTED_VALUE"""),200000.0)</f>
        <v>200000</v>
      </c>
      <c r="E54" s="3"/>
      <c r="F54" s="3" t="str">
        <f>IFERROR(__xludf.DUMMYFUNCTION("""COMPUTED_VALUE"""),"DB")</f>
        <v>DB</v>
      </c>
      <c r="G54" s="3">
        <f>IFERROR(__xludf.DUMMYFUNCTION("""COMPUTED_VALUE"""),3.0582583276E8)</f>
        <v>305825832.8</v>
      </c>
      <c r="H54" s="3"/>
      <c r="I54" s="3" t="str">
        <f>IFERROR(__xludf.DUMMYFUNCTION("""COMPUTED_VALUE"""),"PRIBADI")</f>
        <v>PRIBADI</v>
      </c>
    </row>
    <row r="55">
      <c r="A55" s="3" t="str">
        <f>IFERROR(__xludf.DUMMYFUNCTION("""COMPUTED_VALUE"""),"2023-06-25")</f>
        <v>2023-06-25</v>
      </c>
      <c r="B55" s="3" t="str">
        <f>IFERROR(__xludf.DUMMYFUNCTION("""COMPUTED_VALUE"""),"BI-FAST DB")</f>
        <v>BI-FAST DB</v>
      </c>
      <c r="C55" s="3" t="str">
        <f>IFERROR(__xludf.DUMMYFUNCTION("""COMPUTED_VALUE"""),"BIF BIAYA TXN KE 2 M RIFAI MyBCA")</f>
        <v>BIF BIAYA TXN KE 2 M RIFAI MyBCA</v>
      </c>
      <c r="D55" s="3">
        <f>IFERROR(__xludf.DUMMYFUNCTION("""COMPUTED_VALUE"""),2500.0)</f>
        <v>2500</v>
      </c>
      <c r="E55" s="3"/>
      <c r="F55" s="3" t="str">
        <f>IFERROR(__xludf.DUMMYFUNCTION("""COMPUTED_VALUE"""),"DB")</f>
        <v>DB</v>
      </c>
      <c r="G55" s="3">
        <f>IFERROR(__xludf.DUMMYFUNCTION("""COMPUTED_VALUE"""),3.0582333276E8)</f>
        <v>305823332.8</v>
      </c>
      <c r="H55" s="3">
        <f>IFERROR(__xludf.DUMMYFUNCTION("""COMPUTED_VALUE"""),3.0582333276E8)</f>
        <v>305823332.8</v>
      </c>
      <c r="I55" s="3" t="str">
        <f>IFERROR(__xludf.DUMMYFUNCTION("""COMPUTED_VALUE"""),"PRIBADI")</f>
        <v>PRIBADI</v>
      </c>
    </row>
    <row r="56">
      <c r="A56" s="3" t="str">
        <f>IFERROR(__xludf.DUMMYFUNCTION("""COMPUTED_VALUE"""),"2023-06-26")</f>
        <v>2023-06-26</v>
      </c>
      <c r="B56" s="3" t="str">
        <f>IFERROR(__xludf.DUMMYFUNCTION("""COMPUTED_VALUE"""),"KARTU DEBIT")</f>
        <v>KARTU DEBIT</v>
      </c>
      <c r="C56" s="3" t="str">
        <f>IFERROR(__xludf.DUMMYFUNCTION("""COMPUTED_VALUE"""),"ALFAMRT Y207 BRTN 6019009510239343")</f>
        <v>ALFAMRT Y207 BRTN 6019009510239343</v>
      </c>
      <c r="D56" s="3">
        <f>IFERROR(__xludf.DUMMYFUNCTION("""COMPUTED_VALUE"""),331300.0)</f>
        <v>331300</v>
      </c>
      <c r="E56" s="3"/>
      <c r="F56" s="3"/>
      <c r="G56" s="3">
        <f>IFERROR(__xludf.DUMMYFUNCTION("""COMPUTED_VALUE"""),4.5456347276E8)</f>
        <v>454563472.8</v>
      </c>
      <c r="H56" s="3"/>
      <c r="I56" s="3" t="str">
        <f>IFERROR(__xludf.DUMMYFUNCTION("""COMPUTED_VALUE"""),"PRIBADI")</f>
        <v>PRIBADI</v>
      </c>
    </row>
    <row r="57">
      <c r="A57" s="3" t="str">
        <f>IFERROR(__xludf.DUMMYFUNCTION("""COMPUTED_VALUE"""),"2023-06-27")</f>
        <v>2023-06-27</v>
      </c>
      <c r="B57" s="3" t="str">
        <f>IFERROR(__xludf.DUMMYFUNCTION("""COMPUTED_VALUE"""),"TARIKAN ATM 27/06")</f>
        <v>TARIKAN ATM 27/06</v>
      </c>
      <c r="C57" s="3" t="str">
        <f>IFERROR(__xludf.DUMMYFUNCTION("""COMPUTED_VALUE"""),"TARIKAN ATM 27/06")</f>
        <v>TARIKAN ATM 27/06</v>
      </c>
      <c r="D57" s="3">
        <f>IFERROR(__xludf.DUMMYFUNCTION("""COMPUTED_VALUE"""),2500000.0)</f>
        <v>2500000</v>
      </c>
      <c r="E57" s="3"/>
      <c r="F57" s="3"/>
      <c r="G57" s="3">
        <f>IFERROR(__xludf.DUMMYFUNCTION("""COMPUTED_VALUE"""),5.3646867976E8)</f>
        <v>536468679.8</v>
      </c>
      <c r="H57" s="3"/>
      <c r="I57" s="3" t="str">
        <f>IFERROR(__xludf.DUMMYFUNCTION("""COMPUTED_VALUE"""),"PRIBADI")</f>
        <v>PRIBADI</v>
      </c>
    </row>
    <row r="58">
      <c r="A58" s="3" t="str">
        <f>IFERROR(__xludf.DUMMYFUNCTION("""COMPUTED_VALUE"""),"2023-06-27")</f>
        <v>2023-06-27</v>
      </c>
      <c r="B58" s="3" t="str">
        <f>IFERROR(__xludf.DUMMYFUNCTION("""COMPUTED_VALUE"""),"TARIKAN ATM 27/06")</f>
        <v>TARIKAN ATM 27/06</v>
      </c>
      <c r="C58" s="3" t="str">
        <f>IFERROR(__xludf.DUMMYFUNCTION("""COMPUTED_VALUE"""),"TARIKAN ATM 27/06")</f>
        <v>TARIKAN ATM 27/06</v>
      </c>
      <c r="D58" s="3">
        <f>IFERROR(__xludf.DUMMYFUNCTION("""COMPUTED_VALUE"""),2500000.0)</f>
        <v>2500000</v>
      </c>
      <c r="E58" s="3"/>
      <c r="F58" s="3"/>
      <c r="G58" s="3">
        <f>IFERROR(__xludf.DUMMYFUNCTION("""COMPUTED_VALUE"""),5.3396867976E8)</f>
        <v>533968679.8</v>
      </c>
      <c r="H58" s="3"/>
      <c r="I58" s="3" t="str">
        <f>IFERROR(__xludf.DUMMYFUNCTION("""COMPUTED_VALUE"""),"PRIBADI")</f>
        <v>PRIBADI</v>
      </c>
    </row>
    <row r="59">
      <c r="A59" s="3" t="str">
        <f>IFERROR(__xludf.DUMMYFUNCTION("""COMPUTED_VALUE"""),"2023-06-27")</f>
        <v>2023-06-27</v>
      </c>
      <c r="B59" s="3" t="str">
        <f>IFERROR(__xludf.DUMMYFUNCTION("""COMPUTED_VALUE"""),"TARIKAN ATM 27/06")</f>
        <v>TARIKAN ATM 27/06</v>
      </c>
      <c r="C59" s="3" t="str">
        <f>IFERROR(__xludf.DUMMYFUNCTION("""COMPUTED_VALUE"""),"TARIKAN ATM 27/06")</f>
        <v>TARIKAN ATM 27/06</v>
      </c>
      <c r="D59" s="3">
        <f>IFERROR(__xludf.DUMMYFUNCTION("""COMPUTED_VALUE"""),2500000.0)</f>
        <v>2500000</v>
      </c>
      <c r="E59" s="3"/>
      <c r="F59" s="3"/>
      <c r="G59" s="3">
        <f>IFERROR(__xludf.DUMMYFUNCTION("""COMPUTED_VALUE"""),5.3146867976E8)</f>
        <v>531468679.8</v>
      </c>
      <c r="H59" s="3"/>
      <c r="I59" s="3" t="str">
        <f>IFERROR(__xludf.DUMMYFUNCTION("""COMPUTED_VALUE"""),"PRIBADI")</f>
        <v>PRIBADI</v>
      </c>
    </row>
    <row r="60">
      <c r="A60" s="3" t="str">
        <f>IFERROR(__xludf.DUMMYFUNCTION("""COMPUTED_VALUE"""),"2023-06-27")</f>
        <v>2023-06-27</v>
      </c>
      <c r="B60" s="3" t="str">
        <f>IFERROR(__xludf.DUMMYFUNCTION("""COMPUTED_VALUE"""),"TARIKAN ATM 27/06")</f>
        <v>TARIKAN ATM 27/06</v>
      </c>
      <c r="C60" s="3" t="str">
        <f>IFERROR(__xludf.DUMMYFUNCTION("""COMPUTED_VALUE"""),"TARIKAN ATM 27/06")</f>
        <v>TARIKAN ATM 27/06</v>
      </c>
      <c r="D60" s="3">
        <f>IFERROR(__xludf.DUMMYFUNCTION("""COMPUTED_VALUE"""),1000000.0)</f>
        <v>1000000</v>
      </c>
      <c r="E60" s="3"/>
      <c r="F60" s="3"/>
      <c r="G60" s="3">
        <f>IFERROR(__xludf.DUMMYFUNCTION("""COMPUTED_VALUE"""),5.3046867976E8)</f>
        <v>530468679.8</v>
      </c>
      <c r="H60" s="3"/>
      <c r="I60" s="3" t="str">
        <f>IFERROR(__xludf.DUMMYFUNCTION("""COMPUTED_VALUE"""),"PRIBADI")</f>
        <v>PRIBADI</v>
      </c>
    </row>
    <row r="61">
      <c r="A61" s="3" t="str">
        <f>IFERROR(__xludf.DUMMYFUNCTION("""COMPUTED_VALUE"""),"2023-06-28")</f>
        <v>2023-06-28</v>
      </c>
      <c r="B61" s="3" t="str">
        <f>IFERROR(__xludf.DUMMYFUNCTION("""COMPUTED_VALUE"""),"TRSF E-BANKING DB")</f>
        <v>TRSF E-BANKING DB</v>
      </c>
      <c r="C61" s="3" t="str">
        <f>IFERROR(__xludf.DUMMYFUNCTION("""COMPUTED_VALUE"""),"2806/FTSCY/WS95271 1050000.00 MUHAMMAD HAIRUL MA")</f>
        <v>2806/FTSCY/WS95271 1050000.00 MUHAMMAD HAIRUL MA</v>
      </c>
      <c r="D61" s="3">
        <f>IFERROR(__xludf.DUMMYFUNCTION("""COMPUTED_VALUE"""),1050000.0)</f>
        <v>1050000</v>
      </c>
      <c r="E61" s="3"/>
      <c r="F61" s="3" t="str">
        <f>IFERROR(__xludf.DUMMYFUNCTION("""COMPUTED_VALUE"""),"DB")</f>
        <v>DB</v>
      </c>
      <c r="G61" s="3">
        <f>IFERROR(__xludf.DUMMYFUNCTION("""COMPUTED_VALUE"""),5.5219785576E8)</f>
        <v>552197855.8</v>
      </c>
      <c r="H61" s="3"/>
      <c r="I61" s="3" t="str">
        <f>IFERROR(__xludf.DUMMYFUNCTION("""COMPUTED_VALUE"""),"PRIBADI")</f>
        <v>PRIBADI</v>
      </c>
    </row>
    <row r="62">
      <c r="A62" s="3" t="str">
        <f>IFERROR(__xludf.DUMMYFUNCTION("""COMPUTED_VALUE"""),"2023-06-28")</f>
        <v>2023-06-28</v>
      </c>
      <c r="B62" s="3" t="str">
        <f>IFERROR(__xludf.DUMMYFUNCTION("""COMPUTED_VALUE"""),"BYR VIA E-BANKING")</f>
        <v>BYR VIA E-BANKING</v>
      </c>
      <c r="C62" s="3" t="str">
        <f>IFERROR(__xludf.DUMMYFUNCTION("""COMPUTED_VALUE"""),"28/06  WSID9503102 1220 TELKOMSEL 81326518324 MUHAMMAD HAIRUL MA")</f>
        <v>28/06  WSID9503102 1220 TELKOMSEL 81326518324 MUHAMMAD HAIRUL MA</v>
      </c>
      <c r="D62" s="3">
        <f>IFERROR(__xludf.DUMMYFUNCTION("""COMPUTED_VALUE"""),27000.0)</f>
        <v>27000</v>
      </c>
      <c r="E62" s="3"/>
      <c r="F62" s="3"/>
      <c r="G62" s="3">
        <f>IFERROR(__xludf.DUMMYFUNCTION("""COMPUTED_VALUE"""),7.8220764576E8)</f>
        <v>782207645.8</v>
      </c>
      <c r="H62" s="3">
        <f>IFERROR(__xludf.DUMMYFUNCTION("""COMPUTED_VALUE"""),7.8220764576E8)</f>
        <v>782207645.8</v>
      </c>
      <c r="I62" s="3" t="str">
        <f>IFERROR(__xludf.DUMMYFUNCTION("""COMPUTED_VALUE"""),"PRIBADI")</f>
        <v>PRIBADI</v>
      </c>
    </row>
    <row r="63">
      <c r="A63" s="3" t="str">
        <f>IFERROR(__xludf.DUMMYFUNCTION("""COMPUTED_VALUE"""),"2023-06-30")</f>
        <v>2023-06-30</v>
      </c>
      <c r="B63" s="3" t="str">
        <f>IFERROR(__xludf.DUMMYFUNCTION("""COMPUTED_VALUE"""),"TRSF E-BANKING DB")</f>
        <v>TRSF E-BANKING DB</v>
      </c>
      <c r="C63" s="3" t="str">
        <f>IFERROR(__xludf.DUMMYFUNCTION("""COMPUTED_VALUE"""),"3006/FTSCY/WS95271 2620000.00 MUHAMMAD HAIRUL MA")</f>
        <v>3006/FTSCY/WS95271 2620000.00 MUHAMMAD HAIRUL MA</v>
      </c>
      <c r="D63" s="3">
        <f>IFERROR(__xludf.DUMMYFUNCTION("""COMPUTED_VALUE"""),2620000.0)</f>
        <v>2620000</v>
      </c>
      <c r="E63" s="3"/>
      <c r="F63" s="3" t="str">
        <f>IFERROR(__xludf.DUMMYFUNCTION("""COMPUTED_VALUE"""),"DB")</f>
        <v>DB</v>
      </c>
      <c r="G63" s="3">
        <f>IFERROR(__xludf.DUMMYFUNCTION("""COMPUTED_VALUE"""),87125.75999999046)</f>
        <v>87125.76</v>
      </c>
      <c r="H63" s="3"/>
      <c r="I63" s="3" t="str">
        <f>IFERROR(__xludf.DUMMYFUNCTION("""COMPUTED_VALUE"""),"PRIBADI")</f>
        <v>PRIBADI</v>
      </c>
    </row>
    <row r="64">
      <c r="A64" s="3" t="str">
        <f>IFERROR(__xludf.DUMMYFUNCTION("""COMPUTED_VALUE"""),"2023-06-30")</f>
        <v>2023-06-30</v>
      </c>
      <c r="B64" s="3" t="str">
        <f>IFERROR(__xludf.DUMMYFUNCTION("""COMPUTED_VALUE"""),"BI-FAST DB")</f>
        <v>BI-FAST DB</v>
      </c>
      <c r="C64" s="3" t="str">
        <f>IFERROR(__xludf.DUMMYFUNCTION("""COMPUTED_VALUE"""),"BIF TRANSFER KE 2 ANIS SULIATI MyBCA")</f>
        <v>BIF TRANSFER KE 2 ANIS SULIATI MyBCA</v>
      </c>
      <c r="D64" s="3">
        <f>IFERROR(__xludf.DUMMYFUNCTION("""COMPUTED_VALUE"""),500000.0)</f>
        <v>500000</v>
      </c>
      <c r="E64" s="3"/>
      <c r="F64" s="3" t="str">
        <f>IFERROR(__xludf.DUMMYFUNCTION("""COMPUTED_VALUE"""),"DB")</f>
        <v>DB</v>
      </c>
      <c r="G64" s="3">
        <f>IFERROR(__xludf.DUMMYFUNCTION("""COMPUTED_VALUE"""),3.7047959776E8)</f>
        <v>370479597.8</v>
      </c>
      <c r="H64" s="3"/>
      <c r="I64" s="3" t="str">
        <f>IFERROR(__xludf.DUMMYFUNCTION("""COMPUTED_VALUE"""),"PRIBADI")</f>
        <v>PRIBADI</v>
      </c>
    </row>
    <row r="65">
      <c r="A65" s="3" t="str">
        <f>IFERROR(__xludf.DUMMYFUNCTION("""COMPUTED_VALUE"""),"2023-06-30")</f>
        <v>2023-06-30</v>
      </c>
      <c r="B65" s="3" t="str">
        <f>IFERROR(__xludf.DUMMYFUNCTION("""COMPUTED_VALUE"""),"BI-FAST DB")</f>
        <v>BI-FAST DB</v>
      </c>
      <c r="C65" s="3" t="str">
        <f>IFERROR(__xludf.DUMMYFUNCTION("""COMPUTED_VALUE"""),"BIF BIAYA TXN KE 2 ANIS SULIATI MyBCA")</f>
        <v>BIF BIAYA TXN KE 2 ANIS SULIATI MyBCA</v>
      </c>
      <c r="D65" s="3">
        <f>IFERROR(__xludf.DUMMYFUNCTION("""COMPUTED_VALUE"""),2500.0)</f>
        <v>2500</v>
      </c>
      <c r="E65" s="3"/>
      <c r="F65" s="3" t="str">
        <f>IFERROR(__xludf.DUMMYFUNCTION("""COMPUTED_VALUE"""),"DB")</f>
        <v>DB</v>
      </c>
      <c r="G65" s="3">
        <f>IFERROR(__xludf.DUMMYFUNCTION("""COMPUTED_VALUE"""),3.7047709776E8)</f>
        <v>370477097.8</v>
      </c>
      <c r="H65" s="3">
        <f>IFERROR(__xludf.DUMMYFUNCTION("""COMPUTED_VALUE"""),3.7047709776E8)</f>
        <v>370477097.8</v>
      </c>
      <c r="I65" s="3" t="str">
        <f>IFERROR(__xludf.DUMMYFUNCTION("""COMPUTED_VALUE"""),"PRIBADI")</f>
        <v>PRIBADI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tr">
        <f>IFERROR(__xludf.DUMMYFUNCTION("IFERROR(QUERY(JUN_2023!A:I, ""SELECT * WHERE D IS NOT NULL AND UPPER(I) = 'PRODUKSI'"", 1), ""Data PRODUKSI belum ditemukan"")"),"2023-01-01")</f>
        <v>2023-01-01</v>
      </c>
      <c r="B1" s="3" t="str">
        <f>IFERROR(__xludf.DUMMYFUNCTION("""COMPUTED_VALUE"""),"TRSF E-BANKING DB")</f>
        <v>TRSF E-BANKING DB</v>
      </c>
      <c r="C1" s="3" t="str">
        <f>IFERROR(__xludf.DUMMYFUNCTION("""COMPUTED_VALUE"""),"0106/FTSCY/WS95271 85709000.00 Sat May 30 2023 14:00:00 GMT+0700 (Western Indonesia Time) LAJU SATWA WISESA 85709000.00 Sat May 30 2023 14:00:00 GMT+0700 (Western Indonesia Time) LAJU SATWA WISESA")</f>
        <v>0106/FTSCY/WS95271 85709000.00 Sat May 30 2023 14:00:00 GMT+0700 (Western Indonesia Time) LAJU SATWA WISESA 85709000.00 Sat May 30 2023 14:00:00 GMT+0700 (Western Indonesia Time) LAJU SATWA WISESA</v>
      </c>
      <c r="D1" s="3">
        <f>IFERROR(__xludf.DUMMYFUNCTION("""COMPUTED_VALUE"""),8.5709E7)</f>
        <v>85709000</v>
      </c>
      <c r="E1" s="3"/>
      <c r="F1" s="3" t="str">
        <f>IFERROR(__xludf.DUMMYFUNCTION("""COMPUTED_VALUE"""),"DB")</f>
        <v>DB</v>
      </c>
      <c r="G1" s="3">
        <f>IFERROR(__xludf.DUMMYFUNCTION("""COMPUTED_VALUE"""),1.3322184375999999E8)</f>
        <v>133221843.8</v>
      </c>
      <c r="H1" s="3"/>
      <c r="I1" s="3" t="str">
        <f>IFERROR(__xludf.DUMMYFUNCTION("""COMPUTED_VALUE"""),"PRODUKSI")</f>
        <v>PRODUKSI</v>
      </c>
      <c r="J1" s="3">
        <f>SUM(D1:D1000)</f>
        <v>22892303050</v>
      </c>
    </row>
    <row r="2">
      <c r="A2" s="3" t="str">
        <f>IFERROR(__xludf.DUMMYFUNCTION("""COMPUTED_VALUE"""),"2023-01-01")</f>
        <v>2023-01-01</v>
      </c>
      <c r="B2" s="3" t="str">
        <f>IFERROR(__xludf.DUMMYFUNCTION("""COMPUTED_VALUE"""),"TRSF E-BANKING DB")</f>
        <v>TRSF E-BANKING DB</v>
      </c>
      <c r="C2" s="3" t="str">
        <f>IFERROR(__xludf.DUMMYFUNCTION("""COMPUTED_VALUE"""),"0106/FTSCY/WS95031 66200000.00 tuban 3 ton GUNA MITRA SEHAT P 66200000.00 tuban 3 ton GUNA MITRA SEHAT P")</f>
        <v>0106/FTSCY/WS95031 66200000.00 tuban 3 ton GUNA MITRA SEHAT P 66200000.00 tuban 3 ton GUNA MITRA SEHAT P</v>
      </c>
      <c r="D2" s="3">
        <f>IFERROR(__xludf.DUMMYFUNCTION("""COMPUTED_VALUE"""),6.62E7)</f>
        <v>66200000</v>
      </c>
      <c r="E2" s="3"/>
      <c r="F2" s="3" t="str">
        <f>IFERROR(__xludf.DUMMYFUNCTION("""COMPUTED_VALUE"""),"DB")</f>
        <v>DB</v>
      </c>
      <c r="G2" s="3">
        <f>IFERROR(__xludf.DUMMYFUNCTION("""COMPUTED_VALUE"""),6.461534375999999E7)</f>
        <v>64615343.76</v>
      </c>
      <c r="H2" s="3"/>
      <c r="I2" s="3" t="str">
        <f>IFERROR(__xludf.DUMMYFUNCTION("""COMPUTED_VALUE"""),"PRODUKSI")</f>
        <v>PRODUKSI</v>
      </c>
      <c r="J2" s="6"/>
    </row>
    <row r="3">
      <c r="A3" s="3" t="str">
        <f>IFERROR(__xludf.DUMMYFUNCTION("""COMPUTED_VALUE"""),"2023-01-01")</f>
        <v>2023-01-01</v>
      </c>
      <c r="B3" s="3" t="str">
        <f>IFERROR(__xludf.DUMMYFUNCTION("""COMPUTED_VALUE"""),"TRSF E-BANKING DB")</f>
        <v>TRSF E-BANKING DB</v>
      </c>
      <c r="C3" s="3" t="str">
        <f>IFERROR(__xludf.DUMMYFUNCTION("""COMPUTED_VALUE"""),"0106/FTFVA/WS95031 55569/PT PRIMA FAJ titip - 40190 55569/PT PRIMA FAJ titip - 40190")</f>
        <v>0106/FTFVA/WS95031 55569/PT PRIMA FAJ titip - 40190 55569/PT PRIMA FAJ titip - 40190</v>
      </c>
      <c r="D3" s="3">
        <f>IFERROR(__xludf.DUMMYFUNCTION("""COMPUTED_VALUE"""),6.4E7)</f>
        <v>64000000</v>
      </c>
      <c r="E3" s="3"/>
      <c r="F3" s="3" t="str">
        <f>IFERROR(__xludf.DUMMYFUNCTION("""COMPUTED_VALUE"""),"DB")</f>
        <v>DB</v>
      </c>
      <c r="G3" s="3">
        <f>IFERROR(__xludf.DUMMYFUNCTION("""COMPUTED_VALUE"""),615343.7599999905)</f>
        <v>615343.76</v>
      </c>
      <c r="H3" s="3"/>
      <c r="I3" s="3" t="str">
        <f>IFERROR(__xludf.DUMMYFUNCTION("""COMPUTED_VALUE"""),"PRODUKSI")</f>
        <v>PRODUKSI</v>
      </c>
    </row>
    <row r="4">
      <c r="A4" s="3" t="str">
        <f>IFERROR(__xludf.DUMMYFUNCTION("""COMPUTED_VALUE"""),"2023-06-06")</f>
        <v>2023-06-06</v>
      </c>
      <c r="B4" s="3" t="str">
        <f>IFERROR(__xludf.DUMMYFUNCTION("""COMPUTED_VALUE"""),"TRSF E-BANKING DB")</f>
        <v>TRSF E-BANKING DB</v>
      </c>
      <c r="C4" s="3" t="str">
        <f>IFERROR(__xludf.DUMMYFUNCTION("""COMPUTED_VALUE"""),"0206/FTSCY/WS95271 11150000.00 pelunasan tuban GUNA MITRA SEHAT P 11150000.00 pelunasan tuban GUNA MITRA SEHAT P")</f>
        <v>0206/FTSCY/WS95271 11150000.00 pelunasan tuban GUNA MITRA SEHAT P 11150000.00 pelunasan tuban GUNA MITRA SEHAT P</v>
      </c>
      <c r="D4" s="3">
        <f>IFERROR(__xludf.DUMMYFUNCTION("""COMPUTED_VALUE"""),1.115E7)</f>
        <v>11150000</v>
      </c>
      <c r="E4" s="3"/>
      <c r="F4" s="3" t="str">
        <f>IFERROR(__xludf.DUMMYFUNCTION("""COMPUTED_VALUE"""),"DB")</f>
        <v>DB</v>
      </c>
      <c r="G4" s="3">
        <f>IFERROR(__xludf.DUMMYFUNCTION("""COMPUTED_VALUE"""),1.3053011375999999E8)</f>
        <v>130530113.8</v>
      </c>
      <c r="H4" s="3"/>
      <c r="I4" s="3" t="str">
        <f>IFERROR(__xludf.DUMMYFUNCTION("""COMPUTED_VALUE"""),"PRODUKSI")</f>
        <v>PRODUKSI</v>
      </c>
    </row>
    <row r="5">
      <c r="A5" s="3" t="str">
        <f>IFERROR(__xludf.DUMMYFUNCTION("""COMPUTED_VALUE"""),"2023-06-06")</f>
        <v>2023-06-06</v>
      </c>
      <c r="B5" s="3" t="str">
        <f>IFERROR(__xludf.DUMMYFUNCTION("""COMPUTED_VALUE"""),"TRSF E-BANKING DB")</f>
        <v>TRSF E-BANKING DB</v>
      </c>
      <c r="C5" s="3" t="str">
        <f>IFERROR(__xludf.DUMMYFUNCTION("""COMPUTED_VALUE"""),"0206/FTFVA/WS95031 55569/PT PRIMA FAJ pelunasan mlg - 40190 55569/PT PRIMA FAJ pelunasan mlg - 40190")</f>
        <v>0206/FTFVA/WS95031 55569/PT PRIMA FAJ pelunasan mlg - 40190 55569/PT PRIMA FAJ pelunasan mlg - 40190</v>
      </c>
      <c r="D5" s="3">
        <f>IFERROR(__xludf.DUMMYFUNCTION("""COMPUTED_VALUE"""),1.475E7)</f>
        <v>14750000</v>
      </c>
      <c r="E5" s="3"/>
      <c r="F5" s="3" t="str">
        <f>IFERROR(__xludf.DUMMYFUNCTION("""COMPUTED_VALUE"""),"DB")</f>
        <v>DB</v>
      </c>
      <c r="G5" s="3">
        <f>IFERROR(__xludf.DUMMYFUNCTION("""COMPUTED_VALUE"""),1.1578011375999999E8)</f>
        <v>115780113.8</v>
      </c>
      <c r="H5" s="3"/>
      <c r="I5" s="3" t="str">
        <f>IFERROR(__xludf.DUMMYFUNCTION("""COMPUTED_VALUE"""),"PRODUKSI")</f>
        <v>PRODUKSI</v>
      </c>
    </row>
    <row r="6">
      <c r="A6" s="3" t="str">
        <f>IFERROR(__xludf.DUMMYFUNCTION("""COMPUTED_VALUE"""),"2023-06-06")</f>
        <v>2023-06-06</v>
      </c>
      <c r="B6" s="3" t="str">
        <f>IFERROR(__xludf.DUMMYFUNCTION("""COMPUTED_VALUE"""),"TRSF E-BANKING DB")</f>
        <v>TRSF E-BANKING DB</v>
      </c>
      <c r="C6" s="3" t="str">
        <f>IFERROR(__xludf.DUMMYFUNCTION("""COMPUTED_VALUE"""),"0206/FTSCY/WS95031 60604000.00 bjn lunas BINTANG TAMA SANTO 60604000.00 bjn lunas BINTANG TAMA SANTO")</f>
        <v>0206/FTSCY/WS95031 60604000.00 bjn lunas BINTANG TAMA SANTO 60604000.00 bjn lunas BINTANG TAMA SANTO</v>
      </c>
      <c r="D6" s="3">
        <f>IFERROR(__xludf.DUMMYFUNCTION("""COMPUTED_VALUE"""),6.0604E7)</f>
        <v>60604000</v>
      </c>
      <c r="E6" s="3"/>
      <c r="F6" s="3" t="str">
        <f>IFERROR(__xludf.DUMMYFUNCTION("""COMPUTED_VALUE"""),"DB")</f>
        <v>DB</v>
      </c>
      <c r="G6" s="3">
        <f>IFERROR(__xludf.DUMMYFUNCTION("""COMPUTED_VALUE"""),5.517611375999999E7)</f>
        <v>55176113.76</v>
      </c>
      <c r="H6" s="3"/>
      <c r="I6" s="3" t="str">
        <f>IFERROR(__xludf.DUMMYFUNCTION("""COMPUTED_VALUE"""),"PRODUKSI")</f>
        <v>PRODUKSI</v>
      </c>
    </row>
    <row r="7">
      <c r="A7" s="3" t="str">
        <f>IFERROR(__xludf.DUMMYFUNCTION("""COMPUTED_VALUE"""),"2023-06-06")</f>
        <v>2023-06-06</v>
      </c>
      <c r="B7" s="3" t="str">
        <f>IFERROR(__xludf.DUMMYFUNCTION("""COMPUTED_VALUE"""),"TRSF E-BANKING DB")</f>
        <v>TRSF E-BANKING DB</v>
      </c>
      <c r="C7" s="3" t="str">
        <f>IFERROR(__xludf.DUMMYFUNCTION("""COMPUTED_VALUE"""),"0206/FTSCY/WS95271 69926600.00 kd siswanto ANUGERAH KARTIKA A 69926600.00 kd siswanto ANUGERAH KARTIKA A")</f>
        <v>0206/FTSCY/WS95271 69926600.00 kd siswanto ANUGERAH KARTIKA A 69926600.00 kd siswanto ANUGERAH KARTIKA A</v>
      </c>
      <c r="D7" s="3">
        <f>IFERROR(__xludf.DUMMYFUNCTION("""COMPUTED_VALUE"""),6.99266E7)</f>
        <v>69926600</v>
      </c>
      <c r="E7" s="3"/>
      <c r="F7" s="3" t="str">
        <f>IFERROR(__xludf.DUMMYFUNCTION("""COMPUTED_VALUE"""),"DB")</f>
        <v>DB</v>
      </c>
      <c r="G7" s="3">
        <f>IFERROR(__xludf.DUMMYFUNCTION("""COMPUTED_VALUE"""),8.488701375999999E7)</f>
        <v>84887013.76</v>
      </c>
      <c r="H7" s="3"/>
      <c r="I7" s="3" t="str">
        <f>IFERROR(__xludf.DUMMYFUNCTION("""COMPUTED_VALUE"""),"PRODUKSI")</f>
        <v>PRODUKSI</v>
      </c>
    </row>
    <row r="8">
      <c r="A8" s="3" t="str">
        <f>IFERROR(__xludf.DUMMYFUNCTION("""COMPUTED_VALUE"""),"2023-06-06")</f>
        <v>2023-06-06</v>
      </c>
      <c r="B8" s="3" t="str">
        <f>IFERROR(__xludf.DUMMYFUNCTION("""COMPUTED_VALUE"""),"TRSF E-BANKING DB")</f>
        <v>TRSF E-BANKING DB</v>
      </c>
      <c r="C8" s="3" t="str">
        <f>IFERROR(__xludf.DUMMYFUNCTION("""COMPUTED_VALUE"""),"0206/FTSCY/WS95271 75443500.00 Mon Jun 01 2023 14:00:00 GMT+0700 (Western Indonesia Time) LAWU ABADI NUSA PT 75443500.00 Mon Jun 01 2023 14:00:00 GMT+0700 (Western Indonesia Time) LAWU ABADI NUSA PT")</f>
        <v>0206/FTSCY/WS95271 75443500.00 Mon Jun 01 2023 14:00:00 GMT+0700 (Western Indonesia Time) LAWU ABADI NUSA PT 75443500.00 Mon Jun 01 2023 14:00:00 GMT+0700 (Western Indonesia Time) LAWU ABADI NUSA PT</v>
      </c>
      <c r="D8" s="3">
        <f>IFERROR(__xludf.DUMMYFUNCTION("""COMPUTED_VALUE"""),7.54435E7)</f>
        <v>75443500</v>
      </c>
      <c r="E8" s="3"/>
      <c r="F8" s="3" t="str">
        <f>IFERROR(__xludf.DUMMYFUNCTION("""COMPUTED_VALUE"""),"DB")</f>
        <v>DB</v>
      </c>
      <c r="G8" s="3">
        <f>IFERROR(__xludf.DUMMYFUNCTION("""COMPUTED_VALUE"""),1.4609941376E8)</f>
        <v>146099413.8</v>
      </c>
      <c r="H8" s="3"/>
      <c r="I8" s="3" t="str">
        <f>IFERROR(__xludf.DUMMYFUNCTION("""COMPUTED_VALUE"""),"PRODUKSI")</f>
        <v>PRODUKSI</v>
      </c>
    </row>
    <row r="9">
      <c r="A9" s="3" t="str">
        <f>IFERROR(__xludf.DUMMYFUNCTION("""COMPUTED_VALUE"""),"2023-06-06")</f>
        <v>2023-06-06</v>
      </c>
      <c r="B9" s="3" t="str">
        <f>IFERROR(__xludf.DUMMYFUNCTION("""COMPUTED_VALUE"""),"TRSF E-BANKING DB")</f>
        <v>TRSF E-BANKING DB</v>
      </c>
      <c r="C9" s="3" t="str">
        <f>IFERROR(__xludf.DUMMYFUNCTION("""COMPUTED_VALUE"""),"0206/FTSCY/WS95271 58492900.00 Mon Jun 01 2023 14:00:00 GMT+0700 (Western Indonesia Time) BINTANG TAMA SANTO 58492900.00 Mon Jun 01 2023 14:00:00 GMT+0700 (Western Indonesia Time) BINTANG TAMA SANTO")</f>
        <v>0206/FTSCY/WS95271 58492900.00 Mon Jun 01 2023 14:00:00 GMT+0700 (Western Indonesia Time) BINTANG TAMA SANTO 58492900.00 Mon Jun 01 2023 14:00:00 GMT+0700 (Western Indonesia Time) BINTANG TAMA SANTO</v>
      </c>
      <c r="D9" s="3">
        <f>IFERROR(__xludf.DUMMYFUNCTION("""COMPUTED_VALUE"""),5.84929E7)</f>
        <v>58492900</v>
      </c>
      <c r="E9" s="3"/>
      <c r="F9" s="3" t="str">
        <f>IFERROR(__xludf.DUMMYFUNCTION("""COMPUTED_VALUE"""),"DB")</f>
        <v>DB</v>
      </c>
      <c r="G9" s="3">
        <f>IFERROR(__xludf.DUMMYFUNCTION("""COMPUTED_VALUE"""),8.760651375999999E7)</f>
        <v>87606513.76</v>
      </c>
      <c r="H9" s="3"/>
      <c r="I9" s="3" t="str">
        <f>IFERROR(__xludf.DUMMYFUNCTION("""COMPUTED_VALUE"""),"PRODUKSI")</f>
        <v>PRODUKSI</v>
      </c>
    </row>
    <row r="10">
      <c r="A10" s="3" t="str">
        <f>IFERROR(__xludf.DUMMYFUNCTION("""COMPUTED_VALUE"""),"2023-06-06")</f>
        <v>2023-06-06</v>
      </c>
      <c r="B10" s="3" t="str">
        <f>IFERROR(__xludf.DUMMYFUNCTION("""COMPUTED_VALUE"""),"TRSF E-BANKING DB")</f>
        <v>TRSF E-BANKING DB</v>
      </c>
      <c r="C10" s="3" t="str">
        <f>IFERROR(__xludf.DUMMYFUNCTION("""COMPUTED_VALUE"""),"0206/FTSCY/WS95271 75886900.00 Fri May 01 2023 14:00:00 GMT+0700 (Western Indonesia Time) BINTANG TAMA SANTO 75886900.00 Fri May 01 2023 14:00:00 GMT+0700 (Western Indonesia Time) BINTANG TAMA SANTO")</f>
        <v>0206/FTSCY/WS95271 75886900.00 Fri May 01 2023 14:00:00 GMT+0700 (Western Indonesia Time) BINTANG TAMA SANTO 75886900.00 Fri May 01 2023 14:00:00 GMT+0700 (Western Indonesia Time) BINTANG TAMA SANTO</v>
      </c>
      <c r="D10" s="3">
        <f>IFERROR(__xludf.DUMMYFUNCTION("""COMPUTED_VALUE"""),7.58869E7)</f>
        <v>75886900</v>
      </c>
      <c r="E10" s="3"/>
      <c r="F10" s="3" t="str">
        <f>IFERROR(__xludf.DUMMYFUNCTION("""COMPUTED_VALUE"""),"DB")</f>
        <v>DB</v>
      </c>
      <c r="G10" s="3">
        <f>IFERROR(__xludf.DUMMYFUNCTION("""COMPUTED_VALUE"""),1.171961375999999E7)</f>
        <v>11719613.76</v>
      </c>
      <c r="H10" s="3">
        <f>IFERROR(__xludf.DUMMYFUNCTION("""COMPUTED_VALUE"""),1.171961376E7)</f>
        <v>11719613.76</v>
      </c>
      <c r="I10" s="3" t="str">
        <f>IFERROR(__xludf.DUMMYFUNCTION("""COMPUTED_VALUE"""),"PRODUKSI")</f>
        <v>PRODUKSI</v>
      </c>
    </row>
    <row r="11">
      <c r="A11" s="3" t="str">
        <f>IFERROR(__xludf.DUMMYFUNCTION("""COMPUTED_VALUE"""),"2023-06-06")</f>
        <v>2023-06-06</v>
      </c>
      <c r="B11" s="3" t="str">
        <f>IFERROR(__xludf.DUMMYFUNCTION("""COMPUTED_VALUE"""),"TRSF E-BANKING DB")</f>
        <v>TRSF E-BANKING DB</v>
      </c>
      <c r="C11" s="3" t="str">
        <f>IFERROR(__xludf.DUMMYFUNCTION("""COMPUTED_VALUE"""),"0306/FTSCY/WS95011 395670800.00 30/05 dan 01/06 lunas BROILER MAKMUR TAN 395670800.00 30/05 dan 01/06 lunas BROILER MAKMUR TAN")</f>
        <v>0306/FTSCY/WS95011 395670800.00 30/05 dan 01/06 lunas BROILER MAKMUR TAN 395670800.00 30/05 dan 01/06 lunas BROILER MAKMUR TAN</v>
      </c>
      <c r="D11" s="3">
        <f>IFERROR(__xludf.DUMMYFUNCTION("""COMPUTED_VALUE"""),3.956708E8)</f>
        <v>395670800</v>
      </c>
      <c r="E11" s="3"/>
      <c r="F11" s="3" t="str">
        <f>IFERROR(__xludf.DUMMYFUNCTION("""COMPUTED_VALUE"""),"DB")</f>
        <v>DB</v>
      </c>
      <c r="G11" s="3">
        <f>IFERROR(__xludf.DUMMYFUNCTION("""COMPUTED_VALUE"""),3.8347811376E8)</f>
        <v>383478113.8</v>
      </c>
      <c r="H11" s="3"/>
      <c r="I11" s="3" t="str">
        <f>IFERROR(__xludf.DUMMYFUNCTION("""COMPUTED_VALUE"""),"PRODUKSI")</f>
        <v>PRODUKSI</v>
      </c>
    </row>
    <row r="12">
      <c r="A12" s="3" t="str">
        <f>IFERROR(__xludf.DUMMYFUNCTION("""COMPUTED_VALUE"""),"2023-06-06")</f>
        <v>2023-06-06</v>
      </c>
      <c r="B12" s="3" t="str">
        <f>IFERROR(__xludf.DUMMYFUNCTION("""COMPUTED_VALUE"""),"TRSF E-BANKING DB")</f>
        <v>TRSF E-BANKING DB</v>
      </c>
      <c r="C12" s="3" t="str">
        <f>IFERROR(__xludf.DUMMYFUNCTION("""COMPUTED_VALUE"""),"0306/FTSCY/WS95011 71539100.00 Mon Jun 01 2023 14:00:00 GMT+0700 (Western Indonesia Time) TUMBUH OPTIMAL PRI 71539100.00 Mon Jun 01 2023 14:00:00 GMT+0700 (Western Indonesia Time) TUMBUH OPTIMAL PRI")</f>
        <v>0306/FTSCY/WS95011 71539100.00 Mon Jun 01 2023 14:00:00 GMT+0700 (Western Indonesia Time) TUMBUH OPTIMAL PRI 71539100.00 Mon Jun 01 2023 14:00:00 GMT+0700 (Western Indonesia Time) TUMBUH OPTIMAL PRI</v>
      </c>
      <c r="D12" s="3">
        <f>IFERROR(__xludf.DUMMYFUNCTION("""COMPUTED_VALUE"""),7.15391E7)</f>
        <v>71539100</v>
      </c>
      <c r="E12" s="3"/>
      <c r="F12" s="3" t="str">
        <f>IFERROR(__xludf.DUMMYFUNCTION("""COMPUTED_VALUE"""),"DB")</f>
        <v>DB</v>
      </c>
      <c r="G12" s="3">
        <f>IFERROR(__xludf.DUMMYFUNCTION("""COMPUTED_VALUE"""),3.1193901376E8)</f>
        <v>311939013.8</v>
      </c>
      <c r="H12" s="3"/>
      <c r="I12" s="3" t="str">
        <f>IFERROR(__xludf.DUMMYFUNCTION("""COMPUTED_VALUE"""),"PRODUKSI")</f>
        <v>PRODUKSI</v>
      </c>
    </row>
    <row r="13">
      <c r="A13" s="3" t="str">
        <f>IFERROR(__xludf.DUMMYFUNCTION("""COMPUTED_VALUE"""),"2023-06-06")</f>
        <v>2023-06-06</v>
      </c>
      <c r="B13" s="3" t="str">
        <f>IFERROR(__xludf.DUMMYFUNCTION("""COMPUTED_VALUE"""),"TRSF E-BANKING DB")</f>
        <v>TRSF E-BANKING DB</v>
      </c>
      <c r="C13" s="3" t="str">
        <f>IFERROR(__xludf.DUMMYFUNCTION("""COMPUTED_VALUE"""),"0306/FTSCY/WS95271 138515950.00 Mon Jun 01 2023 14:00:00 GMT+0700 (Western Indonesia Time) BINTANG TAMA SANTO 138515950.00 Mon Jun 01 2023 14:00:00 GMT+0700 (Western Indonesia Time) BINTANG TAMA SANTO")</f>
        <v>0306/FTSCY/WS95271 138515950.00 Mon Jun 01 2023 14:00:00 GMT+0700 (Western Indonesia Time) BINTANG TAMA SANTO 138515950.00 Mon Jun 01 2023 14:00:00 GMT+0700 (Western Indonesia Time) BINTANG TAMA SANTO</v>
      </c>
      <c r="D13" s="3">
        <f>IFERROR(__xludf.DUMMYFUNCTION("""COMPUTED_VALUE"""),1.3851595E8)</f>
        <v>138515950</v>
      </c>
      <c r="E13" s="3"/>
      <c r="F13" s="3" t="str">
        <f>IFERROR(__xludf.DUMMYFUNCTION("""COMPUTED_VALUE"""),"DB")</f>
        <v>DB</v>
      </c>
      <c r="G13" s="3">
        <f>IFERROR(__xludf.DUMMYFUNCTION("""COMPUTED_VALUE"""),1.7342306376E8)</f>
        <v>173423063.8</v>
      </c>
      <c r="H13" s="3"/>
      <c r="I13" s="3" t="str">
        <f>IFERROR(__xludf.DUMMYFUNCTION("""COMPUTED_VALUE"""),"PRODUKSI")</f>
        <v>PRODUKSI</v>
      </c>
    </row>
    <row r="14">
      <c r="A14" s="3" t="str">
        <f>IFERROR(__xludf.DUMMYFUNCTION("""COMPUTED_VALUE"""),"2023-06-06")</f>
        <v>2023-06-06</v>
      </c>
      <c r="B14" s="3" t="str">
        <f>IFERROR(__xludf.DUMMYFUNCTION("""COMPUTED_VALUE"""),"TRSF E-BANKING DB")</f>
        <v>TRSF E-BANKING DB</v>
      </c>
      <c r="C14" s="3" t="str">
        <f>IFERROR(__xludf.DUMMYFUNCTION("""COMPUTED_VALUE"""),"0306/FTSCY/WS95271 133920420.00 Mon Jun 01 2023 14:00:00 GMT+0700 (Western Indonesia Time) ANDALAN YASA MITRA 133920420.00 Mon Jun 01 2023 14:00:00 GMT+0700 (Western Indonesia Time) ANDALAN YASA MITRA")</f>
        <v>0306/FTSCY/WS95271 133920420.00 Mon Jun 01 2023 14:00:00 GMT+0700 (Western Indonesia Time) ANDALAN YASA MITRA 133920420.00 Mon Jun 01 2023 14:00:00 GMT+0700 (Western Indonesia Time) ANDALAN YASA MITRA</v>
      </c>
      <c r="D14" s="3">
        <f>IFERROR(__xludf.DUMMYFUNCTION("""COMPUTED_VALUE"""),1.3392042E8)</f>
        <v>133920420</v>
      </c>
      <c r="E14" s="3"/>
      <c r="F14" s="3" t="str">
        <f>IFERROR(__xludf.DUMMYFUNCTION("""COMPUTED_VALUE"""),"DB")</f>
        <v>DB</v>
      </c>
      <c r="G14" s="3">
        <f>IFERROR(__xludf.DUMMYFUNCTION("""COMPUTED_VALUE"""),3.950264375999999E7)</f>
        <v>39502643.76</v>
      </c>
      <c r="H14" s="3"/>
      <c r="I14" s="3" t="str">
        <f>IFERROR(__xludf.DUMMYFUNCTION("""COMPUTED_VALUE"""),"PRODUKSI")</f>
        <v>PRODUKSI</v>
      </c>
    </row>
    <row r="15">
      <c r="A15" s="3" t="str">
        <f>IFERROR(__xludf.DUMMYFUNCTION("""COMPUTED_VALUE"""),"2023-06-06")</f>
        <v>2023-06-06</v>
      </c>
      <c r="B15" s="3" t="str">
        <f>IFERROR(__xludf.DUMMYFUNCTION("""COMPUTED_VALUE"""),"TRSF E-BANKING DB")</f>
        <v>TRSF E-BANKING DB</v>
      </c>
      <c r="C15" s="3" t="str">
        <f>IFERROR(__xludf.DUMMYFUNCTION("""COMPUTED_VALUE"""),"0306/FTSCY/WS95031 63420560.00 Mon Jun 01 2023 14:00:00 GMT+0700 (Western Indonesia Time) SUPER UNGGAS JAYA 63420560.00 Mon Jun 01 2023 14:00:00 GMT+0700 (Western Indonesia Time) SUPER UNGGAS JAYA")</f>
        <v>0306/FTSCY/WS95031 63420560.00 Mon Jun 01 2023 14:00:00 GMT+0700 (Western Indonesia Time) SUPER UNGGAS JAYA 63420560.00 Mon Jun 01 2023 14:00:00 GMT+0700 (Western Indonesia Time) SUPER UNGGAS JAYA</v>
      </c>
      <c r="D15" s="3">
        <f>IFERROR(__xludf.DUMMYFUNCTION("""COMPUTED_VALUE"""),6.342056E7)</f>
        <v>63420560</v>
      </c>
      <c r="E15" s="3"/>
      <c r="F15" s="3" t="str">
        <f>IFERROR(__xludf.DUMMYFUNCTION("""COMPUTED_VALUE"""),"DB")</f>
        <v>DB</v>
      </c>
      <c r="G15" s="3">
        <f>IFERROR(__xludf.DUMMYFUNCTION("""COMPUTED_VALUE"""),1.0984583375999999E8)</f>
        <v>109845833.8</v>
      </c>
      <c r="H15" s="3"/>
      <c r="I15" s="3" t="str">
        <f>IFERROR(__xludf.DUMMYFUNCTION("""COMPUTED_VALUE"""),"PRODUKSI")</f>
        <v>PRODUKSI</v>
      </c>
    </row>
    <row r="16">
      <c r="A16" s="3" t="str">
        <f>IFERROR(__xludf.DUMMYFUNCTION("""COMPUTED_VALUE"""),"2023-06-06")</f>
        <v>2023-06-06</v>
      </c>
      <c r="B16" s="3" t="str">
        <f>IFERROR(__xludf.DUMMYFUNCTION("""COMPUTED_VALUE"""),"TRSF E-BANKING DB")</f>
        <v>TRSF E-BANKING DB</v>
      </c>
      <c r="C16" s="3" t="str">
        <f>IFERROR(__xludf.DUMMYFUNCTION("""COMPUTED_VALUE"""),"0406/FTSCY/WS95271 131751920.00 Mon Jun 01 2023 14:00:00 GMT+0700 (Western Indonesia Time) ANDALAN YASA MITRA 131751920.00 Mon Jun 01 2023 14:00:00 GMT+0700 (Western Indonesia Time) ANDALAN YASA MITRA")</f>
        <v>0406/FTSCY/WS95271 131751920.00 Mon Jun 01 2023 14:00:00 GMT+0700 (Western Indonesia Time) ANDALAN YASA MITRA 131751920.00 Mon Jun 01 2023 14:00:00 GMT+0700 (Western Indonesia Time) ANDALAN YASA MITRA</v>
      </c>
      <c r="D16" s="3">
        <f>IFERROR(__xludf.DUMMYFUNCTION("""COMPUTED_VALUE"""),1.3175192E8)</f>
        <v>131751920</v>
      </c>
      <c r="E16" s="3"/>
      <c r="F16" s="3" t="str">
        <f>IFERROR(__xludf.DUMMYFUNCTION("""COMPUTED_VALUE"""),"DB")</f>
        <v>DB</v>
      </c>
      <c r="G16" s="3">
        <f>IFERROR(__xludf.DUMMYFUNCTION("""COMPUTED_VALUE"""),4.0763767376E8)</f>
        <v>407637673.8</v>
      </c>
      <c r="H16" s="3"/>
      <c r="I16" s="3" t="str">
        <f>IFERROR(__xludf.DUMMYFUNCTION("""COMPUTED_VALUE"""),"PRODUKSI")</f>
        <v>PRODUKSI</v>
      </c>
    </row>
    <row r="17">
      <c r="A17" s="3" t="str">
        <f>IFERROR(__xludf.DUMMYFUNCTION("""COMPUTED_VALUE"""),"2023-06-06")</f>
        <v>2023-06-06</v>
      </c>
      <c r="B17" s="3" t="str">
        <f>IFERROR(__xludf.DUMMYFUNCTION("""COMPUTED_VALUE"""),"TRSF E-BANKING DB")</f>
        <v>TRSF E-BANKING DB</v>
      </c>
      <c r="C17" s="3" t="str">
        <f>IFERROR(__xludf.DUMMYFUNCTION("""COMPUTED_VALUE"""),"0406/FTSCY/WS95271 72771050.00 Sat May 02 2023 14:00:00 GMT+0700 (Western Indonesia Time) PT BERLIAN INDOMIT 72771050.00 Sat May 02 2023 14:00:00 GMT+0700 (Western Indonesia Time) PT BERLIAN INDOMIT")</f>
        <v>0406/FTSCY/WS95271 72771050.00 Sat May 02 2023 14:00:00 GMT+0700 (Western Indonesia Time) PT BERLIAN INDOMIT 72771050.00 Sat May 02 2023 14:00:00 GMT+0700 (Western Indonesia Time) PT BERLIAN INDOMIT</v>
      </c>
      <c r="D17" s="3">
        <f>IFERROR(__xludf.DUMMYFUNCTION("""COMPUTED_VALUE"""),7.277105E7)</f>
        <v>72771050</v>
      </c>
      <c r="E17" s="3"/>
      <c r="F17" s="3" t="str">
        <f>IFERROR(__xludf.DUMMYFUNCTION("""COMPUTED_VALUE"""),"DB")</f>
        <v>DB</v>
      </c>
      <c r="G17" s="3">
        <f>IFERROR(__xludf.DUMMYFUNCTION("""COMPUTED_VALUE"""),3.3486662376E8)</f>
        <v>334866623.8</v>
      </c>
      <c r="H17" s="3"/>
      <c r="I17" s="3" t="str">
        <f>IFERROR(__xludf.DUMMYFUNCTION("""COMPUTED_VALUE"""),"PRODUKSI")</f>
        <v>PRODUKSI</v>
      </c>
    </row>
    <row r="18">
      <c r="A18" s="3" t="str">
        <f>IFERROR(__xludf.DUMMYFUNCTION("""COMPUTED_VALUE"""),"2023-06-06")</f>
        <v>2023-06-06</v>
      </c>
      <c r="B18" s="3" t="str">
        <f>IFERROR(__xludf.DUMMYFUNCTION("""COMPUTED_VALUE"""),"TRSF E-BANKING DB")</f>
        <v>TRSF E-BANKING DB</v>
      </c>
      <c r="C18" s="3" t="str">
        <f>IFERROR(__xludf.DUMMYFUNCTION("""COMPUTED_VALUE"""),"0406/FTSCY/WS95031 84104450.00 Tue Jun 02 2023 14:00:00 GMT+0700 (Western Indonesia Time) ANUGERAH KARTIKA A 84104450.00 Tue Jun 02 2023 14:00:00 GMT+0700 (Western Indonesia Time) ANUGERAH KARTIKA A")</f>
        <v>0406/FTSCY/WS95031 84104450.00 Tue Jun 02 2023 14:00:00 GMT+0700 (Western Indonesia Time) ANUGERAH KARTIKA A 84104450.00 Tue Jun 02 2023 14:00:00 GMT+0700 (Western Indonesia Time) ANUGERAH KARTIKA A</v>
      </c>
      <c r="D18" s="3">
        <f>IFERROR(__xludf.DUMMYFUNCTION("""COMPUTED_VALUE"""),8.410445E7)</f>
        <v>84104450</v>
      </c>
      <c r="E18" s="3"/>
      <c r="F18" s="3" t="str">
        <f>IFERROR(__xludf.DUMMYFUNCTION("""COMPUTED_VALUE"""),"DB")</f>
        <v>DB</v>
      </c>
      <c r="G18" s="3">
        <f>IFERROR(__xludf.DUMMYFUNCTION("""COMPUTED_VALUE"""),2.2954207376E8)</f>
        <v>229542073.8</v>
      </c>
      <c r="H18" s="3"/>
      <c r="I18" s="3" t="str">
        <f>IFERROR(__xludf.DUMMYFUNCTION("""COMPUTED_VALUE"""),"PRODUKSI")</f>
        <v>PRODUKSI</v>
      </c>
    </row>
    <row r="19">
      <c r="A19" s="3" t="str">
        <f>IFERROR(__xludf.DUMMYFUNCTION("""COMPUTED_VALUE"""),"2023-06-06")</f>
        <v>2023-06-06</v>
      </c>
      <c r="B19" s="3" t="str">
        <f>IFERROR(__xludf.DUMMYFUNCTION("""COMPUTED_VALUE"""),"TRSF E-BANKING DB")</f>
        <v>TRSF E-BANKING DB</v>
      </c>
      <c r="C19" s="3" t="str">
        <f>IFERROR(__xludf.DUMMYFUNCTION("""COMPUTED_VALUE"""),"0406/FTFVA/WS95031 55569/PT PRIMA FAJ mlg 3 ton - 40190 55569/PT PRIMA FAJ mlg 3 ton - 40190")</f>
        <v>0406/FTFVA/WS95031 55569/PT PRIMA FAJ mlg 3 ton - 40190 55569/PT PRIMA FAJ mlg 3 ton - 40190</v>
      </c>
      <c r="D19" s="3">
        <f>IFERROR(__xludf.DUMMYFUNCTION("""COMPUTED_VALUE"""),6.451E7)</f>
        <v>64510000</v>
      </c>
      <c r="E19" s="3"/>
      <c r="F19" s="3" t="str">
        <f>IFERROR(__xludf.DUMMYFUNCTION("""COMPUTED_VALUE"""),"DB")</f>
        <v>DB</v>
      </c>
      <c r="G19" s="3">
        <f>IFERROR(__xludf.DUMMYFUNCTION("""COMPUTED_VALUE"""),1.6403207376E8)</f>
        <v>164032073.8</v>
      </c>
      <c r="H19" s="3"/>
      <c r="I19" s="3" t="str">
        <f>IFERROR(__xludf.DUMMYFUNCTION("""COMPUTED_VALUE"""),"PRODUKSI")</f>
        <v>PRODUKSI</v>
      </c>
    </row>
    <row r="20">
      <c r="A20" s="3" t="str">
        <f>IFERROR(__xludf.DUMMYFUNCTION("""COMPUTED_VALUE"""),"2023-06-06")</f>
        <v>2023-06-06</v>
      </c>
      <c r="B20" s="3" t="str">
        <f>IFERROR(__xludf.DUMMYFUNCTION("""COMPUTED_VALUE"""),"TRSF E-BANKING DB")</f>
        <v>TRSF E-BANKING DB</v>
      </c>
      <c r="C20" s="3" t="str">
        <f>IFERROR(__xludf.DUMMYFUNCTION("""COMPUTED_VALUE"""),"0406/FTSCY/WS95011 75950000.00 mlg 3.5 ton SUGENG RIADI 75950000.00 mlg 3.5 ton SUGENG RIADI")</f>
        <v>0406/FTSCY/WS95011 75950000.00 mlg 3.5 ton SUGENG RIADI 75950000.00 mlg 3.5 ton SUGENG RIADI</v>
      </c>
      <c r="D20" s="3">
        <f>IFERROR(__xludf.DUMMYFUNCTION("""COMPUTED_VALUE"""),7.595E7)</f>
        <v>75950000</v>
      </c>
      <c r="E20" s="3"/>
      <c r="F20" s="3" t="str">
        <f>IFERROR(__xludf.DUMMYFUNCTION("""COMPUTED_VALUE"""),"DB")</f>
        <v>DB</v>
      </c>
      <c r="G20" s="3">
        <f>IFERROR(__xludf.DUMMYFUNCTION("""COMPUTED_VALUE"""),8.808207375999999E7)</f>
        <v>88082073.76</v>
      </c>
      <c r="H20" s="3">
        <f>IFERROR(__xludf.DUMMYFUNCTION("""COMPUTED_VALUE"""),8.808207376E7)</f>
        <v>88082073.76</v>
      </c>
      <c r="I20" s="3" t="str">
        <f>IFERROR(__xludf.DUMMYFUNCTION("""COMPUTED_VALUE"""),"PRODUKSI")</f>
        <v>PRODUKSI</v>
      </c>
    </row>
    <row r="21">
      <c r="A21" s="3" t="str">
        <f>IFERROR(__xludf.DUMMYFUNCTION("""COMPUTED_VALUE"""),"2023-06-06")</f>
        <v>2023-06-06</v>
      </c>
      <c r="B21" s="3" t="str">
        <f>IFERROR(__xludf.DUMMYFUNCTION("""COMPUTED_VALUE"""),"TRSF E-BANKING DB")</f>
        <v>TRSF E-BANKING DB</v>
      </c>
      <c r="C21" s="3" t="str">
        <f>IFERROR(__xludf.DUMMYFUNCTION("""COMPUTED_VALUE"""),"0406/FTSCY/WS95011 61468500.00 Tue Jun 02 2023 14:00:00 GMT+0700 (Western Indonesia Time) BINTANG TAMA SANTO 61468500.00 Tue Jun 02 2023 14:00:00 GMT+0700 (Western Indonesia Time) BINTANG TAMA SANTO")</f>
        <v>0406/FTSCY/WS95011 61468500.00 Tue Jun 02 2023 14:00:00 GMT+0700 (Western Indonesia Time) BINTANG TAMA SANTO 61468500.00 Tue Jun 02 2023 14:00:00 GMT+0700 (Western Indonesia Time) BINTANG TAMA SANTO</v>
      </c>
      <c r="D21" s="3">
        <f>IFERROR(__xludf.DUMMYFUNCTION("""COMPUTED_VALUE"""),6.14685E7)</f>
        <v>61468500</v>
      </c>
      <c r="E21" s="3"/>
      <c r="F21" s="3" t="str">
        <f>IFERROR(__xludf.DUMMYFUNCTION("""COMPUTED_VALUE"""),"DB")</f>
        <v>DB</v>
      </c>
      <c r="G21" s="3">
        <f>IFERROR(__xludf.DUMMYFUNCTION("""COMPUTED_VALUE"""),2.661357375999999E7)</f>
        <v>26613573.76</v>
      </c>
      <c r="H21" s="3">
        <f>IFERROR(__xludf.DUMMYFUNCTION("""COMPUTED_VALUE"""),2.661357376E7)</f>
        <v>26613573.76</v>
      </c>
      <c r="I21" s="3" t="str">
        <f>IFERROR(__xludf.DUMMYFUNCTION("""COMPUTED_VALUE"""),"PRODUKSI")</f>
        <v>PRODUKSI</v>
      </c>
    </row>
    <row r="22">
      <c r="A22" s="3" t="str">
        <f>IFERROR(__xludf.DUMMYFUNCTION("""COMPUTED_VALUE"""),"2023-06-06")</f>
        <v>2023-06-06</v>
      </c>
      <c r="B22" s="3" t="str">
        <f>IFERROR(__xludf.DUMMYFUNCTION("""COMPUTED_VALUE"""),"TRSF E-BANKING DB")</f>
        <v>TRSF E-BANKING DB</v>
      </c>
      <c r="C22" s="3" t="str">
        <f>IFERROR(__xludf.DUMMYFUNCTION("""COMPUTED_VALUE"""),"0506/FTSCY/WS95031 631470.00 pelunasan SUGENG RIADI 631470.00 pelunasan SUGENG RIADI")</f>
        <v>0506/FTSCY/WS95031 631470.00 pelunasan SUGENG RIADI 631470.00 pelunasan SUGENG RIADI</v>
      </c>
      <c r="D22" s="3">
        <f>IFERROR(__xludf.DUMMYFUNCTION("""COMPUTED_VALUE"""),631470.0)</f>
        <v>631470</v>
      </c>
      <c r="E22" s="3"/>
      <c r="F22" s="3" t="str">
        <f>IFERROR(__xludf.DUMMYFUNCTION("""COMPUTED_VALUE"""),"DB")</f>
        <v>DB</v>
      </c>
      <c r="G22" s="3">
        <f>IFERROR(__xludf.DUMMYFUNCTION("""COMPUTED_VALUE"""),2.598210375999999E7)</f>
        <v>25982103.76</v>
      </c>
      <c r="H22" s="3"/>
      <c r="I22" s="3" t="str">
        <f>IFERROR(__xludf.DUMMYFUNCTION("""COMPUTED_VALUE"""),"PRODUKSI")</f>
        <v>PRODUKSI</v>
      </c>
    </row>
    <row r="23">
      <c r="A23" s="3" t="str">
        <f>IFERROR(__xludf.DUMMYFUNCTION("""COMPUTED_VALUE"""),"2023-06-06")</f>
        <v>2023-06-06</v>
      </c>
      <c r="B23" s="3" t="str">
        <f>IFERROR(__xludf.DUMMYFUNCTION("""COMPUTED_VALUE"""),"TRSF E-BANKING DB")</f>
        <v>TRSF E-BANKING DB</v>
      </c>
      <c r="C23" s="3" t="str">
        <f>IFERROR(__xludf.DUMMYFUNCTION("""COMPUTED_VALUE"""),"0506/FTSCY/WS95271 129738300.00 Tue Jun 02 2023 14:00:00 GMT+0700 (Western Indonesia Time) LAJU SATWA WISESA 129738300.00 Tue Jun 02 2023 14:00:00 GMT+0700 (Western Indonesia Time) LAJU SATWA WISESA")</f>
        <v>0506/FTSCY/WS95271 129738300.00 Tue Jun 02 2023 14:00:00 GMT+0700 (Western Indonesia Time) LAJU SATWA WISESA 129738300.00 Tue Jun 02 2023 14:00:00 GMT+0700 (Western Indonesia Time) LAJU SATWA WISESA</v>
      </c>
      <c r="D23" s="3">
        <f>IFERROR(__xludf.DUMMYFUNCTION("""COMPUTED_VALUE"""),1.297383E8)</f>
        <v>129738300</v>
      </c>
      <c r="E23" s="3"/>
      <c r="F23" s="3" t="str">
        <f>IFERROR(__xludf.DUMMYFUNCTION("""COMPUTED_VALUE"""),"DB")</f>
        <v>DB</v>
      </c>
      <c r="G23" s="3">
        <f>IFERROR(__xludf.DUMMYFUNCTION("""COMPUTED_VALUE"""),3.6690384376E8)</f>
        <v>366903843.8</v>
      </c>
      <c r="H23" s="3"/>
      <c r="I23" s="3" t="str">
        <f>IFERROR(__xludf.DUMMYFUNCTION("""COMPUTED_VALUE"""),"PRODUKSI")</f>
        <v>PRODUKSI</v>
      </c>
    </row>
    <row r="24">
      <c r="A24" s="3" t="str">
        <f>IFERROR(__xludf.DUMMYFUNCTION("""COMPUTED_VALUE"""),"2023-06-06")</f>
        <v>2023-06-06</v>
      </c>
      <c r="B24" s="3" t="str">
        <f>IFERROR(__xludf.DUMMYFUNCTION("""COMPUTED_VALUE"""),"TRSF E-BANKING DB")</f>
        <v>TRSF E-BANKING DB</v>
      </c>
      <c r="C24" s="3" t="str">
        <f>IFERROR(__xludf.DUMMYFUNCTION("""COMPUTED_VALUE"""),"0506/FTSCY/WS95271 159100000.00 Tue Jun 02 2023 14:00:00 GMT+0700 (Western Indonesia Time) BINTANG TAMA SANTO 159100000.00 Tue Jun 02 2023 14:00:00 GMT+0700 (Western Indonesia Time) BINTANG TAMA SANTO")</f>
        <v>0506/FTSCY/WS95271 159100000.00 Tue Jun 02 2023 14:00:00 GMT+0700 (Western Indonesia Time) BINTANG TAMA SANTO 159100000.00 Tue Jun 02 2023 14:00:00 GMT+0700 (Western Indonesia Time) BINTANG TAMA SANTO</v>
      </c>
      <c r="D24" s="3">
        <f>IFERROR(__xludf.DUMMYFUNCTION("""COMPUTED_VALUE"""),1.591E8)</f>
        <v>159100000</v>
      </c>
      <c r="E24" s="3"/>
      <c r="F24" s="3" t="str">
        <f>IFERROR(__xludf.DUMMYFUNCTION("""COMPUTED_VALUE"""),"DB")</f>
        <v>DB</v>
      </c>
      <c r="G24" s="3">
        <f>IFERROR(__xludf.DUMMYFUNCTION("""COMPUTED_VALUE"""),2.0780384376E8)</f>
        <v>207803843.8</v>
      </c>
      <c r="H24" s="3"/>
      <c r="I24" s="3" t="str">
        <f>IFERROR(__xludf.DUMMYFUNCTION("""COMPUTED_VALUE"""),"PRODUKSI")</f>
        <v>PRODUKSI</v>
      </c>
    </row>
    <row r="25">
      <c r="A25" s="3" t="str">
        <f>IFERROR(__xludf.DUMMYFUNCTION("""COMPUTED_VALUE"""),"2023-06-06")</f>
        <v>2023-06-06</v>
      </c>
      <c r="B25" s="3" t="str">
        <f>IFERROR(__xludf.DUMMYFUNCTION("""COMPUTED_VALUE"""),"TRSF E-BANKING DB")</f>
        <v>TRSF E-BANKING DB</v>
      </c>
      <c r="C25" s="3" t="str">
        <f>IFERROR(__xludf.DUMMYFUNCTION("""COMPUTED_VALUE"""),"0506/FTSCY/WS95031 62599400.00 Tue Jun 02 2023 14:00:00 GMT+0700 (Western Indonesia Time) ANDALAN YASA MITRA 62599400.00 Tue Jun 02 2023 14:00:00 GMT+0700 (Western Indonesia Time) ANDALAN YASA MITRA")</f>
        <v>0506/FTSCY/WS95031 62599400.00 Tue Jun 02 2023 14:00:00 GMT+0700 (Western Indonesia Time) ANDALAN YASA MITRA 62599400.00 Tue Jun 02 2023 14:00:00 GMT+0700 (Western Indonesia Time) ANDALAN YASA MITRA</v>
      </c>
      <c r="D25" s="3">
        <f>IFERROR(__xludf.DUMMYFUNCTION("""COMPUTED_VALUE"""),6.25994E7)</f>
        <v>62599400</v>
      </c>
      <c r="E25" s="3"/>
      <c r="F25" s="3" t="str">
        <f>IFERROR(__xludf.DUMMYFUNCTION("""COMPUTED_VALUE"""),"DB")</f>
        <v>DB</v>
      </c>
      <c r="G25" s="3">
        <f>IFERROR(__xludf.DUMMYFUNCTION("""COMPUTED_VALUE"""),1.4520444376E8)</f>
        <v>145204443.8</v>
      </c>
      <c r="H25" s="3"/>
      <c r="I25" s="3" t="str">
        <f>IFERROR(__xludf.DUMMYFUNCTION("""COMPUTED_VALUE"""),"PRODUKSI")</f>
        <v>PRODUKSI</v>
      </c>
    </row>
    <row r="26">
      <c r="A26" s="3" t="str">
        <f>IFERROR(__xludf.DUMMYFUNCTION("""COMPUTED_VALUE"""),"2023-06-06")</f>
        <v>2023-06-06</v>
      </c>
      <c r="B26" s="3" t="str">
        <f>IFERROR(__xludf.DUMMYFUNCTION("""COMPUTED_VALUE"""),"DB DEBIT DOMESTIK")</f>
        <v>DB DEBIT DOMESTIK</v>
      </c>
      <c r="C26" s="3" t="str">
        <f>IFERROR(__xludf.DUMMYFUNCTION("""COMPUTED_VALUE"""),"TRN DEBIT DOM 008 CASHLEZ PT GAIN CASHLEZ PT GAIN")</f>
        <v>TRN DEBIT DOM 008 CASHLEZ PT GAIN CASHLEZ PT GAIN</v>
      </c>
      <c r="D26" s="3">
        <f>IFERROR(__xludf.DUMMYFUNCTION("""COMPUTED_VALUE"""),660000.0)</f>
        <v>660000</v>
      </c>
      <c r="E26" s="3"/>
      <c r="F26" s="3" t="str">
        <f>IFERROR(__xludf.DUMMYFUNCTION("""COMPUTED_VALUE"""),"DB")</f>
        <v>DB</v>
      </c>
      <c r="G26" s="3">
        <f>IFERROR(__xludf.DUMMYFUNCTION("""COMPUTED_VALUE"""),4.0373556476E8)</f>
        <v>403735564.8</v>
      </c>
      <c r="H26" s="3">
        <f>IFERROR(__xludf.DUMMYFUNCTION("""COMPUTED_VALUE"""),4.0373556476E8)</f>
        <v>403735564.8</v>
      </c>
      <c r="I26" s="3" t="str">
        <f>IFERROR(__xludf.DUMMYFUNCTION("""COMPUTED_VALUE"""),"PRODUKSI")</f>
        <v>PRODUKSI</v>
      </c>
    </row>
    <row r="27">
      <c r="A27" s="3" t="str">
        <f>IFERROR(__xludf.DUMMYFUNCTION("""COMPUTED_VALUE"""),"2023-06-06")</f>
        <v>2023-06-06</v>
      </c>
      <c r="B27" s="3" t="str">
        <f>IFERROR(__xludf.DUMMYFUNCTION("""COMPUTED_VALUE"""),"TRSF E-BANKING DB")</f>
        <v>TRSF E-BANKING DB</v>
      </c>
      <c r="C27" s="3" t="str">
        <f>IFERROR(__xludf.DUMMYFUNCTION("""COMPUTED_VALUE"""),"0506/FTSCY/WS95011 155835060.00 Wed Jun 03 2023 14:00:00 GMT+0700 (Western Indonesia Time) ANDALAN YASA MITRA 155835060.00 Wed Jun 03 2023 14:00:00 GMT+0700 (Western Indonesia Time) ANDALAN YASA MITRA")</f>
        <v>0506/FTSCY/WS95011 155835060.00 Wed Jun 03 2023 14:00:00 GMT+0700 (Western Indonesia Time) ANDALAN YASA MITRA 155835060.00 Wed Jun 03 2023 14:00:00 GMT+0700 (Western Indonesia Time) ANDALAN YASA MITRA</v>
      </c>
      <c r="D27" s="3">
        <f>IFERROR(__xludf.DUMMYFUNCTION("""COMPUTED_VALUE"""),1.5583506E8)</f>
        <v>155835060</v>
      </c>
      <c r="E27" s="3"/>
      <c r="F27" s="3" t="str">
        <f>IFERROR(__xludf.DUMMYFUNCTION("""COMPUTED_VALUE"""),"DB")</f>
        <v>DB</v>
      </c>
      <c r="G27" s="3">
        <f>IFERROR(__xludf.DUMMYFUNCTION("""COMPUTED_VALUE"""),5.0480554776E8)</f>
        <v>504805547.8</v>
      </c>
      <c r="H27" s="3"/>
      <c r="I27" s="3" t="str">
        <f>IFERROR(__xludf.DUMMYFUNCTION("""COMPUTED_VALUE"""),"PRODUKSI")</f>
        <v>PRODUKSI</v>
      </c>
    </row>
    <row r="28">
      <c r="A28" s="3" t="str">
        <f>IFERROR(__xludf.DUMMYFUNCTION("""COMPUTED_VALUE"""),"2023-06-06")</f>
        <v>2023-06-06</v>
      </c>
      <c r="B28" s="3" t="str">
        <f>IFERROR(__xludf.DUMMYFUNCTION("""COMPUTED_VALUE"""),"TRSF E-BANKING DB")</f>
        <v>TRSF E-BANKING DB</v>
      </c>
      <c r="C28" s="3" t="str">
        <f>IFERROR(__xludf.DUMMYFUNCTION("""COMPUTED_VALUE"""),"0506/FTSCY/WS95011 257873150.00 Wed Jun 03 2023 14:00:00 GMT+0700 (Western Indonesia Time) BROILER MAKMUR TAN 257873150.00 Wed Jun 03 2023 14:00:00 GMT+0700 (Western Indonesia Time) BROILER MAKMUR TAN")</f>
        <v>0506/FTSCY/WS95011 257873150.00 Wed Jun 03 2023 14:00:00 GMT+0700 (Western Indonesia Time) BROILER MAKMUR TAN 257873150.00 Wed Jun 03 2023 14:00:00 GMT+0700 (Western Indonesia Time) BROILER MAKMUR TAN</v>
      </c>
      <c r="D28" s="3">
        <f>IFERROR(__xludf.DUMMYFUNCTION("""COMPUTED_VALUE"""),2.5787315E8)</f>
        <v>257873150</v>
      </c>
      <c r="E28" s="3"/>
      <c r="F28" s="3" t="str">
        <f>IFERROR(__xludf.DUMMYFUNCTION("""COMPUTED_VALUE"""),"DB")</f>
        <v>DB</v>
      </c>
      <c r="G28" s="3">
        <f>IFERROR(__xludf.DUMMYFUNCTION("""COMPUTED_VALUE"""),2.4693239776E8)</f>
        <v>246932397.8</v>
      </c>
      <c r="H28" s="3"/>
      <c r="I28" s="3" t="str">
        <f>IFERROR(__xludf.DUMMYFUNCTION("""COMPUTED_VALUE"""),"PRODUKSI")</f>
        <v>PRODUKSI</v>
      </c>
    </row>
    <row r="29">
      <c r="A29" s="3" t="str">
        <f>IFERROR(__xludf.DUMMYFUNCTION("""COMPUTED_VALUE"""),"2023-06-06")</f>
        <v>2023-06-06</v>
      </c>
      <c r="B29" s="3" t="str">
        <f>IFERROR(__xludf.DUMMYFUNCTION("""COMPUTED_VALUE"""),"TRSF E-BANKING DB")</f>
        <v>TRSF E-BANKING DB</v>
      </c>
      <c r="C29" s="3" t="str">
        <f>IFERROR(__xludf.DUMMYFUNCTION("""COMPUTED_VALUE"""),"0506/FTSCY/WS95011 63910650.00 Wed Jun 03 2023 14:00:00 GMT+0700 (Western Indonesia Time) ANUGERAH KARTIKA A 63910650.00 Wed Jun 03 2023 14:00:00 GMT+0700 (Western Indonesia Time) ANUGERAH KARTIKA A")</f>
        <v>0506/FTSCY/WS95011 63910650.00 Wed Jun 03 2023 14:00:00 GMT+0700 (Western Indonesia Time) ANUGERAH KARTIKA A 63910650.00 Wed Jun 03 2023 14:00:00 GMT+0700 (Western Indonesia Time) ANUGERAH KARTIKA A</v>
      </c>
      <c r="D29" s="3">
        <f>IFERROR(__xludf.DUMMYFUNCTION("""COMPUTED_VALUE"""),6.391065E7)</f>
        <v>63910650</v>
      </c>
      <c r="E29" s="3"/>
      <c r="F29" s="3" t="str">
        <f>IFERROR(__xludf.DUMMYFUNCTION("""COMPUTED_VALUE"""),"DB")</f>
        <v>DB</v>
      </c>
      <c r="G29" s="3">
        <f>IFERROR(__xludf.DUMMYFUNCTION("""COMPUTED_VALUE"""),1.8302174776E8)</f>
        <v>183021747.8</v>
      </c>
      <c r="H29" s="3"/>
      <c r="I29" s="3" t="str">
        <f>IFERROR(__xludf.DUMMYFUNCTION("""COMPUTED_VALUE"""),"PRODUKSI")</f>
        <v>PRODUKSI</v>
      </c>
    </row>
    <row r="30">
      <c r="A30" s="3" t="str">
        <f>IFERROR(__xludf.DUMMYFUNCTION("""COMPUTED_VALUE"""),"2023-06-06")</f>
        <v>2023-06-06</v>
      </c>
      <c r="B30" s="3" t="str">
        <f>IFERROR(__xludf.DUMMYFUNCTION("""COMPUTED_VALUE"""),"TRSF E-BANKING DB")</f>
        <v>TRSF E-BANKING DB</v>
      </c>
      <c r="C30" s="3" t="str">
        <f>IFERROR(__xludf.DUMMYFUNCTION("""COMPUTED_VALUE"""),"0606/FTSCY/WS95271 50643250.00 Thu Jun 04 2023 14:00:00 GMT+0700 (Western Indonesia Time) BINTANG TAMA SANTO 50643250.00 Thu Jun 04 2023 14:00:00 GMT+0700 (Western Indonesia Time) BINTANG TAMA SANTO")</f>
        <v>0606/FTSCY/WS95271 50643250.00 Thu Jun 04 2023 14:00:00 GMT+0700 (Western Indonesia Time) BINTANG TAMA SANTO 50643250.00 Thu Jun 04 2023 14:00:00 GMT+0700 (Western Indonesia Time) BINTANG TAMA SANTO</v>
      </c>
      <c r="D30" s="3">
        <f>IFERROR(__xludf.DUMMYFUNCTION("""COMPUTED_VALUE"""),5.064325E7)</f>
        <v>50643250</v>
      </c>
      <c r="E30" s="3"/>
      <c r="F30" s="3" t="str">
        <f>IFERROR(__xludf.DUMMYFUNCTION("""COMPUTED_VALUE"""),"DB")</f>
        <v>DB</v>
      </c>
      <c r="G30" s="3">
        <f>IFERROR(__xludf.DUMMYFUNCTION("""COMPUTED_VALUE"""),1.3107099775999999E8)</f>
        <v>131070997.8</v>
      </c>
      <c r="H30" s="3"/>
      <c r="I30" s="3" t="str">
        <f>IFERROR(__xludf.DUMMYFUNCTION("""COMPUTED_VALUE"""),"PRODUKSI")</f>
        <v>PRODUKSI</v>
      </c>
    </row>
    <row r="31">
      <c r="A31" s="3" t="str">
        <f>IFERROR(__xludf.DUMMYFUNCTION("""COMPUTED_VALUE"""),"2023-06-06")</f>
        <v>2023-06-06</v>
      </c>
      <c r="B31" s="3" t="str">
        <f>IFERROR(__xludf.DUMMYFUNCTION("""COMPUTED_VALUE"""),"TRSF E-BANKING DB")</f>
        <v>TRSF E-BANKING DB</v>
      </c>
      <c r="C31" s="3" t="str">
        <f>IFERROR(__xludf.DUMMYFUNCTION("""COMPUTED_VALUE"""),"0606/FTSCY/WS95271 45606900.00 Thu Jun 04 2023 14:00:00 GMT+0700 (Western Indonesia Time) LAJU SATWA WISESA 45606900.00 Thu Jun 04 2023 14:00:00 GMT+0700 (Western Indonesia Time) LAJU SATWA WISESA")</f>
        <v>0606/FTSCY/WS95271 45606900.00 Thu Jun 04 2023 14:00:00 GMT+0700 (Western Indonesia Time) LAJU SATWA WISESA 45606900.00 Thu Jun 04 2023 14:00:00 GMT+0700 (Western Indonesia Time) LAJU SATWA WISESA</v>
      </c>
      <c r="D31" s="3">
        <f>IFERROR(__xludf.DUMMYFUNCTION("""COMPUTED_VALUE"""),4.56069E7)</f>
        <v>45606900</v>
      </c>
      <c r="E31" s="3"/>
      <c r="F31" s="3" t="str">
        <f>IFERROR(__xludf.DUMMYFUNCTION("""COMPUTED_VALUE"""),"DB")</f>
        <v>DB</v>
      </c>
      <c r="G31" s="3">
        <f>IFERROR(__xludf.DUMMYFUNCTION("""COMPUTED_VALUE"""),8.546409775999999E7)</f>
        <v>85464097.76</v>
      </c>
      <c r="H31" s="3"/>
      <c r="I31" s="3" t="str">
        <f>IFERROR(__xludf.DUMMYFUNCTION("""COMPUTED_VALUE"""),"PRODUKSI")</f>
        <v>PRODUKSI</v>
      </c>
    </row>
    <row r="32">
      <c r="A32" s="3" t="str">
        <f>IFERROR(__xludf.DUMMYFUNCTION("""COMPUTED_VALUE"""),"2023-06-06")</f>
        <v>2023-06-06</v>
      </c>
      <c r="B32" s="3" t="str">
        <f>IFERROR(__xludf.DUMMYFUNCTION("""COMPUTED_VALUE"""),"TRSF E-BANKING DB")</f>
        <v>TRSF E-BANKING DB</v>
      </c>
      <c r="C32" s="3" t="str">
        <f>IFERROR(__xludf.DUMMYFUNCTION("""COMPUTED_VALUE"""),"0606/FTSCY/WS95031 1100000.00 SANDI FAJAR PRASET 1100000.00 SANDI FAJAR PRASET")</f>
        <v>0606/FTSCY/WS95031 1100000.00 SANDI FAJAR PRASET 1100000.00 SANDI FAJAR PRASET</v>
      </c>
      <c r="D32" s="3">
        <f>IFERROR(__xludf.DUMMYFUNCTION("""COMPUTED_VALUE"""),1100000.0)</f>
        <v>1100000</v>
      </c>
      <c r="E32" s="3"/>
      <c r="F32" s="3" t="str">
        <f>IFERROR(__xludf.DUMMYFUNCTION("""COMPUTED_VALUE"""),"DB")</f>
        <v>DB</v>
      </c>
      <c r="G32" s="3">
        <f>IFERROR(__xludf.DUMMYFUNCTION("""COMPUTED_VALUE"""),8.436409775999999E7)</f>
        <v>84364097.76</v>
      </c>
      <c r="H32" s="3"/>
      <c r="I32" s="3" t="str">
        <f>IFERROR(__xludf.DUMMYFUNCTION("""COMPUTED_VALUE"""),"PRODUKSI")</f>
        <v>PRODUKSI</v>
      </c>
    </row>
    <row r="33">
      <c r="A33" s="3" t="str">
        <f>IFERROR(__xludf.DUMMYFUNCTION("""COMPUTED_VALUE"""),"2023-06-06")</f>
        <v>2023-06-06</v>
      </c>
      <c r="B33" s="3" t="str">
        <f>IFERROR(__xludf.DUMMYFUNCTION("""COMPUTED_VALUE"""),"TRSF E-BANKING DB")</f>
        <v>TRSF E-BANKING DB</v>
      </c>
      <c r="C33" s="3" t="str">
        <f>IFERROR(__xludf.DUMMYFUNCTION("""COMPUTED_VALUE"""),"0606/FTSCY/WS95011 149322600.00 Thu Jun 04 2023 14:00:00 GMT+0700 (Western Indonesia Time) ANUGERAH KARTIKA A 149322600.00 Thu Jun 04 2023 14:00:00 GMT+0700 (Western Indonesia Time) ANUGERAH KARTIKA A")</f>
        <v>0606/FTSCY/WS95011 149322600.00 Thu Jun 04 2023 14:00:00 GMT+0700 (Western Indonesia Time) ANUGERAH KARTIKA A 149322600.00 Thu Jun 04 2023 14:00:00 GMT+0700 (Western Indonesia Time) ANUGERAH KARTIKA A</v>
      </c>
      <c r="D33" s="3">
        <f>IFERROR(__xludf.DUMMYFUNCTION("""COMPUTED_VALUE"""),1.493226E8)</f>
        <v>149322600</v>
      </c>
      <c r="E33" s="3"/>
      <c r="F33" s="3" t="str">
        <f>IFERROR(__xludf.DUMMYFUNCTION("""COMPUTED_VALUE"""),"DB")</f>
        <v>DB</v>
      </c>
      <c r="G33" s="3">
        <f>IFERROR(__xludf.DUMMYFUNCTION("""COMPUTED_VALUE"""),4.5903228776E8)</f>
        <v>459032287.8</v>
      </c>
      <c r="H33" s="3">
        <f>IFERROR(__xludf.DUMMYFUNCTION("""COMPUTED_VALUE"""),4.5903228776E8)</f>
        <v>459032287.8</v>
      </c>
      <c r="I33" s="3" t="str">
        <f>IFERROR(__xludf.DUMMYFUNCTION("""COMPUTED_VALUE"""),"PRODUKSI")</f>
        <v>PRODUKSI</v>
      </c>
    </row>
    <row r="34">
      <c r="A34" s="3" t="str">
        <f>IFERROR(__xludf.DUMMYFUNCTION("""COMPUTED_VALUE"""),"2023-06-06")</f>
        <v>2023-06-06</v>
      </c>
      <c r="B34" s="3" t="str">
        <f>IFERROR(__xludf.DUMMYFUNCTION("""COMPUTED_VALUE"""),"TRSF E-BANKING DB")</f>
        <v>TRSF E-BANKING DB</v>
      </c>
      <c r="C34" s="3" t="str">
        <f>IFERROR(__xludf.DUMMYFUNCTION("""COMPUTED_VALUE"""),"0606/FTSCY/WS95011 155064000.00 Thu Jun 04 2023 14:00:00 GMT+0700 (Western Indonesia Time) ANDALAN YASA MITRA 155064000.00 Thu Jun 04 2023 14:00:00 GMT+0700 (Western Indonesia Time) ANDALAN YASA MITRA")</f>
        <v>0606/FTSCY/WS95011 155064000.00 Thu Jun 04 2023 14:00:00 GMT+0700 (Western Indonesia Time) ANDALAN YASA MITRA 155064000.00 Thu Jun 04 2023 14:00:00 GMT+0700 (Western Indonesia Time) ANDALAN YASA MITRA</v>
      </c>
      <c r="D34" s="3">
        <f>IFERROR(__xludf.DUMMYFUNCTION("""COMPUTED_VALUE"""),1.55064E8)</f>
        <v>155064000</v>
      </c>
      <c r="E34" s="3"/>
      <c r="F34" s="3" t="str">
        <f>IFERROR(__xludf.DUMMYFUNCTION("""COMPUTED_VALUE"""),"DB")</f>
        <v>DB</v>
      </c>
      <c r="G34" s="3">
        <f>IFERROR(__xludf.DUMMYFUNCTION("""COMPUTED_VALUE"""),3.0396828776E8)</f>
        <v>303968287.8</v>
      </c>
      <c r="H34" s="3"/>
      <c r="I34" s="3" t="str">
        <f>IFERROR(__xludf.DUMMYFUNCTION("""COMPUTED_VALUE"""),"PRODUKSI")</f>
        <v>PRODUKSI</v>
      </c>
    </row>
    <row r="35">
      <c r="A35" s="3" t="str">
        <f>IFERROR(__xludf.DUMMYFUNCTION("""COMPUTED_VALUE"""),"2023-06-06")</f>
        <v>2023-06-06</v>
      </c>
      <c r="B35" s="3" t="str">
        <f>IFERROR(__xludf.DUMMYFUNCTION("""COMPUTED_VALUE"""),"TRSF E-BANKING DB")</f>
        <v>TRSF E-BANKING DB</v>
      </c>
      <c r="C35" s="3" t="str">
        <f>IFERROR(__xludf.DUMMYFUNCTION("""COMPUTED_VALUE"""),"0606/FTSCY/WS95011 60877180.00 Thu Jun 04 2023 14:00:00 GMT+0700 (Western Indonesia Time) ANDALAN YASA MITRA 60877180.00 Thu Jun 04 2023 14:00:00 GMT+0700 (Western Indonesia Time) ANDALAN YASA MITRA")</f>
        <v>0606/FTSCY/WS95011 60877180.00 Thu Jun 04 2023 14:00:00 GMT+0700 (Western Indonesia Time) ANDALAN YASA MITRA 60877180.00 Thu Jun 04 2023 14:00:00 GMT+0700 (Western Indonesia Time) ANDALAN YASA MITRA</v>
      </c>
      <c r="D35" s="3">
        <f>IFERROR(__xludf.DUMMYFUNCTION("""COMPUTED_VALUE"""),6.087718E7)</f>
        <v>60877180</v>
      </c>
      <c r="E35" s="3"/>
      <c r="F35" s="3" t="str">
        <f>IFERROR(__xludf.DUMMYFUNCTION("""COMPUTED_VALUE"""),"DB")</f>
        <v>DB</v>
      </c>
      <c r="G35" s="3">
        <f>IFERROR(__xludf.DUMMYFUNCTION("""COMPUTED_VALUE"""),2.4309110776E8)</f>
        <v>243091107.8</v>
      </c>
      <c r="H35" s="3"/>
      <c r="I35" s="3" t="str">
        <f>IFERROR(__xludf.DUMMYFUNCTION("""COMPUTED_VALUE"""),"PRODUKSI")</f>
        <v>PRODUKSI</v>
      </c>
    </row>
    <row r="36">
      <c r="A36" s="3" t="str">
        <f>IFERROR(__xludf.DUMMYFUNCTION("""COMPUTED_VALUE"""),"2023-06-06")</f>
        <v>2023-06-06</v>
      </c>
      <c r="B36" s="3" t="str">
        <f>IFERROR(__xludf.DUMMYFUNCTION("""COMPUTED_VALUE"""),"TRSF E-BANKING DB")</f>
        <v>TRSF E-BANKING DB</v>
      </c>
      <c r="C36" s="3" t="str">
        <f>IFERROR(__xludf.DUMMYFUNCTION("""COMPUTED_VALUE"""),"0606/FTFVA/WS95031 55569/PT PRIMA FAJ probolinggo 12.5 t on 40190 55569/PT PRIMA FAJ probolinggo 12.5 t on 40190")</f>
        <v>0606/FTFVA/WS95031 55569/PT PRIMA FAJ probolinggo 12.5 t on 40190 55569/PT PRIMA FAJ probolinggo 12.5 t on 40190</v>
      </c>
      <c r="D36" s="3">
        <f>IFERROR(__xludf.DUMMYFUNCTION("""COMPUTED_VALUE"""),2.7125E8)</f>
        <v>271250000</v>
      </c>
      <c r="E36" s="3"/>
      <c r="F36" s="3" t="str">
        <f>IFERROR(__xludf.DUMMYFUNCTION("""COMPUTED_VALUE"""),"DB")</f>
        <v>DB</v>
      </c>
      <c r="G36" s="3">
        <f>IFERROR(__xludf.DUMMYFUNCTION("""COMPUTED_VALUE"""),1.5998917776E8)</f>
        <v>159989177.8</v>
      </c>
      <c r="H36" s="3"/>
      <c r="I36" s="3" t="str">
        <f>IFERROR(__xludf.DUMMYFUNCTION("""COMPUTED_VALUE"""),"PRODUKSI")</f>
        <v>PRODUKSI</v>
      </c>
    </row>
    <row r="37">
      <c r="A37" s="3" t="str">
        <f>IFERROR(__xludf.DUMMYFUNCTION("""COMPUTED_VALUE"""),"2023-06-06")</f>
        <v>2023-06-06</v>
      </c>
      <c r="B37" s="3" t="str">
        <f>IFERROR(__xludf.DUMMYFUNCTION("""COMPUTED_VALUE"""),"TRSF E-BANKING DB")</f>
        <v>TRSF E-BANKING DB</v>
      </c>
      <c r="C37" s="3" t="str">
        <f>IFERROR(__xludf.DUMMYFUNCTION("""COMPUTED_VALUE"""),"0606/FTSCY/WS95031 81217500.00 Fri Jun 05 2023 14:00:00 GMT+0700 (Western Indonesia Time) BINTANG TAMA SANTO 81217500.00 Fri Jun 05 2023 14:00:00 GMT+0700 (Western Indonesia Time) BINTANG TAMA SANTO")</f>
        <v>0606/FTSCY/WS95031 81217500.00 Fri Jun 05 2023 14:00:00 GMT+0700 (Western Indonesia Time) BINTANG TAMA SANTO 81217500.00 Fri Jun 05 2023 14:00:00 GMT+0700 (Western Indonesia Time) BINTANG TAMA SANTO</v>
      </c>
      <c r="D37" s="3">
        <f>IFERROR(__xludf.DUMMYFUNCTION("""COMPUTED_VALUE"""),8.12175E7)</f>
        <v>81217500</v>
      </c>
      <c r="E37" s="3"/>
      <c r="F37" s="3" t="str">
        <f>IFERROR(__xludf.DUMMYFUNCTION("""COMPUTED_VALUE"""),"DB")</f>
        <v>DB</v>
      </c>
      <c r="G37" s="3">
        <f>IFERROR(__xludf.DUMMYFUNCTION("""COMPUTED_VALUE"""),7.877167775999999E7)</f>
        <v>78771677.76</v>
      </c>
      <c r="H37" s="3"/>
      <c r="I37" s="3" t="str">
        <f>IFERROR(__xludf.DUMMYFUNCTION("""COMPUTED_VALUE"""),"PRODUKSI")</f>
        <v>PRODUKSI</v>
      </c>
    </row>
    <row r="38">
      <c r="A38" s="3" t="str">
        <f>IFERROR(__xludf.DUMMYFUNCTION("""COMPUTED_VALUE"""),"2023-06-06")</f>
        <v>2023-06-06</v>
      </c>
      <c r="B38" s="3" t="str">
        <f>IFERROR(__xludf.DUMMYFUNCTION("""COMPUTED_VALUE"""),"TRSF E-BANKING DB")</f>
        <v>TRSF E-BANKING DB</v>
      </c>
      <c r="C38" s="3" t="str">
        <f>IFERROR(__xludf.DUMMYFUNCTION("""COMPUTED_VALUE"""),"0606/FTSCY/WS95271 187814400.00 Fri Jun 05 2023 14:00:00 GMT+0700 (Western Indonesia Time) ANUGERAH KARTIKA A 187814400.00 Fri Jun 05 2023 14:00:00 GMT+0700 (Western Indonesia Time) ANUGERAH KARTIKA A")</f>
        <v>0606/FTSCY/WS95271 187814400.00 Fri Jun 05 2023 14:00:00 GMT+0700 (Western Indonesia Time) ANUGERAH KARTIKA A 187814400.00 Fri Jun 05 2023 14:00:00 GMT+0700 (Western Indonesia Time) ANUGERAH KARTIKA A</v>
      </c>
      <c r="D38" s="3">
        <f>IFERROR(__xludf.DUMMYFUNCTION("""COMPUTED_VALUE"""),1.878144E8)</f>
        <v>187814400</v>
      </c>
      <c r="E38" s="3"/>
      <c r="F38" s="3" t="str">
        <f>IFERROR(__xludf.DUMMYFUNCTION("""COMPUTED_VALUE"""),"DB")</f>
        <v>DB</v>
      </c>
      <c r="G38" s="3">
        <f>IFERROR(__xludf.DUMMYFUNCTION("""COMPUTED_VALUE"""),1.2520323775999999E8)</f>
        <v>125203237.8</v>
      </c>
      <c r="H38" s="3"/>
      <c r="I38" s="3" t="str">
        <f>IFERROR(__xludf.DUMMYFUNCTION("""COMPUTED_VALUE"""),"PRODUKSI")</f>
        <v>PRODUKSI</v>
      </c>
    </row>
    <row r="39">
      <c r="A39" s="3" t="str">
        <f>IFERROR(__xludf.DUMMYFUNCTION("""COMPUTED_VALUE"""),"2023-06-06")</f>
        <v>2023-06-06</v>
      </c>
      <c r="B39" s="3" t="str">
        <f>IFERROR(__xludf.DUMMYFUNCTION("""COMPUTED_VALUE"""),"TRSF E-BANKING DB")</f>
        <v>TRSF E-BANKING DB</v>
      </c>
      <c r="C39" s="3" t="str">
        <f>IFERROR(__xludf.DUMMYFUNCTION("""COMPUTED_VALUE"""),"0706/FTSCY/WS95011 379734400.00 04/06 magetan SUPER UNGGAS JAYA 379734400.00 04/06 magetan SUPER UNGGAS JAYA")</f>
        <v>0706/FTSCY/WS95011 379734400.00 04/06 magetan SUPER UNGGAS JAYA 379734400.00 04/06 magetan SUPER UNGGAS JAYA</v>
      </c>
      <c r="D39" s="3">
        <f>IFERROR(__xludf.DUMMYFUNCTION("""COMPUTED_VALUE"""),3.797344E8)</f>
        <v>379734400</v>
      </c>
      <c r="E39" s="3"/>
      <c r="F39" s="3" t="str">
        <f>IFERROR(__xludf.DUMMYFUNCTION("""COMPUTED_VALUE"""),"DB")</f>
        <v>DB</v>
      </c>
      <c r="G39" s="3">
        <f>IFERROR(__xludf.DUMMYFUNCTION("""COMPUTED_VALUE"""),5.181510775999999E7)</f>
        <v>51815107.76</v>
      </c>
      <c r="H39" s="3"/>
      <c r="I39" s="3" t="str">
        <f>IFERROR(__xludf.DUMMYFUNCTION("""COMPUTED_VALUE"""),"PRODUKSI")</f>
        <v>PRODUKSI</v>
      </c>
    </row>
    <row r="40">
      <c r="A40" s="3" t="str">
        <f>IFERROR(__xludf.DUMMYFUNCTION("""COMPUTED_VALUE"""),"2023-06-06")</f>
        <v>2023-06-06</v>
      </c>
      <c r="B40" s="3" t="str">
        <f>IFERROR(__xludf.DUMMYFUNCTION("""COMPUTED_VALUE"""),"TRSF E-BANKING DB")</f>
        <v>TRSF E-BANKING DB</v>
      </c>
      <c r="C40" s="3" t="str">
        <f>IFERROR(__xludf.DUMMYFUNCTION("""COMPUTED_VALUE"""),"0706/FTSCY/WS95271 141690250.00 Fri Jun 05 2023 14:00:00 GMT+0700 (Western Indonesia Time) BROILER MAKMUR TAN")</f>
        <v>0706/FTSCY/WS95271 141690250.00 Fri Jun 05 2023 14:00:00 GMT+0700 (Western Indonesia Time) BROILER MAKMUR TAN</v>
      </c>
      <c r="D40" s="3">
        <f>IFERROR(__xludf.DUMMYFUNCTION("""COMPUTED_VALUE"""),1.4169025E8)</f>
        <v>141690250</v>
      </c>
      <c r="E40" s="3"/>
      <c r="F40" s="3" t="str">
        <f>IFERROR(__xludf.DUMMYFUNCTION("""COMPUTED_VALUE"""),"DB")</f>
        <v>DB</v>
      </c>
      <c r="G40" s="3">
        <f>IFERROR(__xludf.DUMMYFUNCTION("""COMPUTED_VALUE"""),2.5962390776E8)</f>
        <v>259623907.8</v>
      </c>
      <c r="H40" s="3">
        <f>IFERROR(__xludf.DUMMYFUNCTION("""COMPUTED_VALUE"""),2.5962390776E8)</f>
        <v>259623907.8</v>
      </c>
      <c r="I40" s="3" t="str">
        <f>IFERROR(__xludf.DUMMYFUNCTION("""COMPUTED_VALUE"""),"PRODUKSI")</f>
        <v>PRODUKSI</v>
      </c>
    </row>
    <row r="41">
      <c r="A41" s="3" t="str">
        <f>IFERROR(__xludf.DUMMYFUNCTION("""COMPUTED_VALUE"""),"2023-06-06")</f>
        <v>2023-06-06</v>
      </c>
      <c r="B41" s="3" t="str">
        <f>IFERROR(__xludf.DUMMYFUNCTION("""COMPUTED_VALUE"""),"TRSF E-BANKING DB")</f>
        <v>TRSF E-BANKING DB</v>
      </c>
      <c r="C41" s="3" t="str">
        <f>IFERROR(__xludf.DUMMYFUNCTION("""COMPUTED_VALUE"""),"0706/FTFVA/WS95031 55569/PT PRIMA FAJ bwi 10.5 ton - 40190")</f>
        <v>0706/FTFVA/WS95031 55569/PT PRIMA FAJ bwi 10.5 ton - 40190</v>
      </c>
      <c r="D41" s="3">
        <f>IFERROR(__xludf.DUMMYFUNCTION("""COMPUTED_VALUE"""),2.1735E8)</f>
        <v>217350000</v>
      </c>
      <c r="E41" s="3"/>
      <c r="F41" s="3" t="str">
        <f>IFERROR(__xludf.DUMMYFUNCTION("""COMPUTED_VALUE"""),"DB")</f>
        <v>DB</v>
      </c>
      <c r="G41" s="3">
        <f>IFERROR(__xludf.DUMMYFUNCTION("""COMPUTED_VALUE"""),4.227390775999999E7)</f>
        <v>42273907.76</v>
      </c>
      <c r="H41" s="3"/>
      <c r="I41" s="3" t="str">
        <f>IFERROR(__xludf.DUMMYFUNCTION("""COMPUTED_VALUE"""),"PRODUKSI")</f>
        <v>PRODUKSI</v>
      </c>
    </row>
    <row r="42">
      <c r="A42" s="3" t="str">
        <f>IFERROR(__xludf.DUMMYFUNCTION("""COMPUTED_VALUE"""),"2023-06-06")</f>
        <v>2023-06-06</v>
      </c>
      <c r="B42" s="3" t="str">
        <f>IFERROR(__xludf.DUMMYFUNCTION("""COMPUTED_VALUE"""),"TRSF E-BANKING DB TANGGAL :07/06")</f>
        <v>TRSF E-BANKING DB TANGGAL :07/06</v>
      </c>
      <c r="C42" s="3" t="str">
        <f>IFERROR(__xludf.DUMMYFUNCTION("""COMPUTED_VALUE"""),"0706/FTSCY/WS95031 Sat Jun 06 2023 14:00:00 GMT+0700 (Western Indonesia Time) TUMBUH OPTIMAL PRI")</f>
        <v>0706/FTSCY/WS95031 Sat Jun 06 2023 14:00:00 GMT+0700 (Western Indonesia Time) TUMBUH OPTIMAL PRI</v>
      </c>
      <c r="D42" s="3">
        <f>IFERROR(__xludf.DUMMYFUNCTION("""COMPUTED_VALUE"""),6.84012E7)</f>
        <v>68401200</v>
      </c>
      <c r="E42" s="3"/>
      <c r="F42" s="3" t="str">
        <f>IFERROR(__xludf.DUMMYFUNCTION("""COMPUTED_VALUE"""),"DB")</f>
        <v>DB</v>
      </c>
      <c r="G42" s="3">
        <f>IFERROR(__xludf.DUMMYFUNCTION("""COMPUTED_VALUE"""),2.4009203776E8)</f>
        <v>240092037.8</v>
      </c>
      <c r="H42" s="3"/>
      <c r="I42" s="3" t="str">
        <f>IFERROR(__xludf.DUMMYFUNCTION("""COMPUTED_VALUE"""),"PRODUKSI")</f>
        <v>PRODUKSI</v>
      </c>
    </row>
    <row r="43">
      <c r="A43" s="3" t="str">
        <f>IFERROR(__xludf.DUMMYFUNCTION("""COMPUTED_VALUE"""),"2023-06-06")</f>
        <v>2023-06-06</v>
      </c>
      <c r="B43" s="3" t="str">
        <f>IFERROR(__xludf.DUMMYFUNCTION("""COMPUTED_VALUE"""),"TRSF E-BANKING DB TANGGAL :07/06")</f>
        <v>TRSF E-BANKING DB TANGGAL :07/06</v>
      </c>
      <c r="C43" s="3" t="str">
        <f>IFERROR(__xludf.DUMMYFUNCTION("""COMPUTED_VALUE"""),"0706/FTSCY/WS95271 Fri Jun 05 2023 14:00:00 GMT+0700 (Western Indonesia Time) SUPER UNGGAS JAYA")</f>
        <v>0706/FTSCY/WS95271 Fri Jun 05 2023 14:00:00 GMT+0700 (Western Indonesia Time) SUPER UNGGAS JAYA</v>
      </c>
      <c r="D43" s="3">
        <f>IFERROR(__xludf.DUMMYFUNCTION("""COMPUTED_VALUE"""),1.4555E8)</f>
        <v>145550000</v>
      </c>
      <c r="E43" s="3"/>
      <c r="F43" s="3" t="str">
        <f>IFERROR(__xludf.DUMMYFUNCTION("""COMPUTED_VALUE"""),"DB")</f>
        <v>DB</v>
      </c>
      <c r="G43" s="3">
        <f>IFERROR(__xludf.DUMMYFUNCTION("""COMPUTED_VALUE"""),9.389059775999999E7)</f>
        <v>93890597.76</v>
      </c>
      <c r="H43" s="3"/>
      <c r="I43" s="3" t="str">
        <f>IFERROR(__xludf.DUMMYFUNCTION("""COMPUTED_VALUE"""),"PRODUKSI")</f>
        <v>PRODUKSI</v>
      </c>
    </row>
    <row r="44">
      <c r="A44" s="3" t="str">
        <f>IFERROR(__xludf.DUMMYFUNCTION("""COMPUTED_VALUE"""),"2023-06-06")</f>
        <v>2023-06-06</v>
      </c>
      <c r="B44" s="3" t="str">
        <f>IFERROR(__xludf.DUMMYFUNCTION("""COMPUTED_VALUE"""),"TRSF E-BANKING DB")</f>
        <v>TRSF E-BANKING DB</v>
      </c>
      <c r="C44" s="3" t="str">
        <f>IFERROR(__xludf.DUMMYFUNCTION("""COMPUTED_VALUE"""),"0806/FTSCY/WS95031 53395200.00 blitar BERLIAN UNGGUL JAY")</f>
        <v>0806/FTSCY/WS95031 53395200.00 blitar BERLIAN UNGGUL JAY</v>
      </c>
      <c r="D44" s="3">
        <f>IFERROR(__xludf.DUMMYFUNCTION("""COMPUTED_VALUE"""),5.33952E7)</f>
        <v>53395200</v>
      </c>
      <c r="E44" s="3"/>
      <c r="F44" s="3" t="str">
        <f>IFERROR(__xludf.DUMMYFUNCTION("""COMPUTED_VALUE"""),"DB")</f>
        <v>DB</v>
      </c>
      <c r="G44" s="3">
        <f>IFERROR(__xludf.DUMMYFUNCTION("""COMPUTED_VALUE"""),4.043039775999999E7)</f>
        <v>40430397.76</v>
      </c>
      <c r="H44" s="3"/>
      <c r="I44" s="3" t="str">
        <f>IFERROR(__xludf.DUMMYFUNCTION("""COMPUTED_VALUE"""),"PRODUKSI")</f>
        <v>PRODUKSI</v>
      </c>
    </row>
    <row r="45">
      <c r="A45" s="3" t="str">
        <f>IFERROR(__xludf.DUMMYFUNCTION("""COMPUTED_VALUE"""),"2023-06-06")</f>
        <v>2023-06-06</v>
      </c>
      <c r="B45" s="3" t="str">
        <f>IFERROR(__xludf.DUMMYFUNCTION("""COMPUTED_VALUE"""),"TRSF E-BANKING DB")</f>
        <v>TRSF E-BANKING DB</v>
      </c>
      <c r="C45" s="3" t="str">
        <f>IFERROR(__xludf.DUMMYFUNCTION("""COMPUTED_VALUE"""),"0806/FTSCY/WS95271 141183400.00 Sat Jun 06 2023 14:00:00 GMT+0700 (Western Indonesia Time) LAJU SATWA WISESA")</f>
        <v>0806/FTSCY/WS95271 141183400.00 Sat Jun 06 2023 14:00:00 GMT+0700 (Western Indonesia Time) LAJU SATWA WISESA</v>
      </c>
      <c r="D45" s="3">
        <f>IFERROR(__xludf.DUMMYFUNCTION("""COMPUTED_VALUE"""),1.411834E8)</f>
        <v>141183400</v>
      </c>
      <c r="E45" s="3"/>
      <c r="F45" s="3" t="str">
        <f>IFERROR(__xludf.DUMMYFUNCTION("""COMPUTED_VALUE"""),"DB")</f>
        <v>DB</v>
      </c>
      <c r="G45" s="3">
        <f>IFERROR(__xludf.DUMMYFUNCTION("""COMPUTED_VALUE"""),3.5688508276E8)</f>
        <v>356885082.8</v>
      </c>
      <c r="H45" s="3"/>
      <c r="I45" s="3" t="str">
        <f>IFERROR(__xludf.DUMMYFUNCTION("""COMPUTED_VALUE"""),"PRODUKSI")</f>
        <v>PRODUKSI</v>
      </c>
    </row>
    <row r="46">
      <c r="A46" s="3" t="str">
        <f>IFERROR(__xludf.DUMMYFUNCTION("""COMPUTED_VALUE"""),"2023-06-06")</f>
        <v>2023-06-06</v>
      </c>
      <c r="B46" s="3" t="str">
        <f>IFERROR(__xludf.DUMMYFUNCTION("""COMPUTED_VALUE"""),"TRSF E-BANKING DB")</f>
        <v>TRSF E-BANKING DB</v>
      </c>
      <c r="C46" s="3" t="str">
        <f>IFERROR(__xludf.DUMMYFUNCTION("""COMPUTED_VALUE"""),"0806/FTSCY/WS95271 70318500.00 Sat Jun 06 2023 14:00:00 GMT+0700 (Western Indonesia Time) BINTANG TAMA SANTO")</f>
        <v>0806/FTSCY/WS95271 70318500.00 Sat Jun 06 2023 14:00:00 GMT+0700 (Western Indonesia Time) BINTANG TAMA SANTO</v>
      </c>
      <c r="D46" s="3">
        <f>IFERROR(__xludf.DUMMYFUNCTION("""COMPUTED_VALUE"""),7.03185E7)</f>
        <v>70318500</v>
      </c>
      <c r="E46" s="3"/>
      <c r="F46" s="3" t="str">
        <f>IFERROR(__xludf.DUMMYFUNCTION("""COMPUTED_VALUE"""),"DB")</f>
        <v>DB</v>
      </c>
      <c r="G46" s="3">
        <f>IFERROR(__xludf.DUMMYFUNCTION("""COMPUTED_VALUE"""),2.8656658276E8)</f>
        <v>286566582.8</v>
      </c>
      <c r="H46" s="3"/>
      <c r="I46" s="3" t="str">
        <f>IFERROR(__xludf.DUMMYFUNCTION("""COMPUTED_VALUE"""),"PRODUKSI")</f>
        <v>PRODUKSI</v>
      </c>
    </row>
    <row r="47">
      <c r="A47" s="3" t="str">
        <f>IFERROR(__xludf.DUMMYFUNCTION("""COMPUTED_VALUE"""),"2023-06-06")</f>
        <v>2023-06-06</v>
      </c>
      <c r="B47" s="3" t="str">
        <f>IFERROR(__xludf.DUMMYFUNCTION("""COMPUTED_VALUE"""),"TRSF E-BANKING DB")</f>
        <v>TRSF E-BANKING DB</v>
      </c>
      <c r="C47" s="3" t="str">
        <f>IFERROR(__xludf.DUMMYFUNCTION("""COMPUTED_VALUE"""),"0806/FTFVA/WS95031 55569/PT PRIMA FAJ lamongan ,mlg , bw i 40190")</f>
        <v>0806/FTFVA/WS95031 55569/PT PRIMA FAJ lamongan ,mlg , bw i 40190</v>
      </c>
      <c r="D47" s="3">
        <f>IFERROR(__xludf.DUMMYFUNCTION("""COMPUTED_VALUE"""),4.0489E8)</f>
        <v>404890000</v>
      </c>
      <c r="E47" s="3"/>
      <c r="F47" s="3" t="str">
        <f>IFERROR(__xludf.DUMMYFUNCTION("""COMPUTED_VALUE"""),"DB")</f>
        <v>DB</v>
      </c>
      <c r="G47" s="3">
        <f>IFERROR(__xludf.DUMMYFUNCTION("""COMPUTED_VALUE"""),2.5224621276E8)</f>
        <v>252246212.8</v>
      </c>
      <c r="H47" s="3"/>
      <c r="I47" s="3" t="str">
        <f>IFERROR(__xludf.DUMMYFUNCTION("""COMPUTED_VALUE"""),"PRODUKSI")</f>
        <v>PRODUKSI</v>
      </c>
    </row>
    <row r="48">
      <c r="A48" s="3" t="str">
        <f>IFERROR(__xludf.DUMMYFUNCTION("""COMPUTED_VALUE"""),"2023-06-06")</f>
        <v>2023-06-06</v>
      </c>
      <c r="B48" s="3" t="str">
        <f>IFERROR(__xludf.DUMMYFUNCTION("""COMPUTED_VALUE"""),"TRSF E-BANKING DB TANGGAL :08/06")</f>
        <v>TRSF E-BANKING DB TANGGAL :08/06</v>
      </c>
      <c r="C48" s="3" t="str">
        <f>IFERROR(__xludf.DUMMYFUNCTION("""COMPUTED_VALUE"""),"0806/FTSCY/WS95271 Sun Jun 07 2023 14:00:00 GMT+0700 (Western Indonesia Time) ANUGERAH KARTIKA A")</f>
        <v>0806/FTSCY/WS95271 Sun Jun 07 2023 14:00:00 GMT+0700 (Western Indonesia Time) ANUGERAH KARTIKA A</v>
      </c>
      <c r="D48" s="3">
        <f>IFERROR(__xludf.DUMMYFUNCTION("""COMPUTED_VALUE"""),5.97055E7)</f>
        <v>59705500</v>
      </c>
      <c r="E48" s="3"/>
      <c r="F48" s="3" t="str">
        <f>IFERROR(__xludf.DUMMYFUNCTION("""COMPUTED_VALUE"""),"DB")</f>
        <v>DB</v>
      </c>
      <c r="G48" s="3">
        <f>IFERROR(__xludf.DUMMYFUNCTION("""COMPUTED_VALUE"""),3.2187327276E8)</f>
        <v>321873272.8</v>
      </c>
      <c r="H48" s="3"/>
      <c r="I48" s="3" t="str">
        <f>IFERROR(__xludf.DUMMYFUNCTION("""COMPUTED_VALUE"""),"PRODUKSI")</f>
        <v>PRODUKSI</v>
      </c>
    </row>
    <row r="49">
      <c r="A49" s="3" t="str">
        <f>IFERROR(__xludf.DUMMYFUNCTION("""COMPUTED_VALUE"""),"2023-06-06")</f>
        <v>2023-06-06</v>
      </c>
      <c r="B49" s="3" t="str">
        <f>IFERROR(__xludf.DUMMYFUNCTION("""COMPUTED_VALUE"""),"TRSF E-BANKING DB TANGGAL :08/06")</f>
        <v>TRSF E-BANKING DB TANGGAL :08/06</v>
      </c>
      <c r="C49" s="3" t="str">
        <f>IFERROR(__xludf.DUMMYFUNCTION("""COMPUTED_VALUE"""),"0806/FTSCY/WS95011 Sun Jun 07 2023 14:00:00 GMT+0700 (Western Indonesia Time) ANUGERAH KARTIKA A")</f>
        <v>0806/FTSCY/WS95011 Sun Jun 07 2023 14:00:00 GMT+0700 (Western Indonesia Time) ANUGERAH KARTIKA A</v>
      </c>
      <c r="D49" s="3">
        <f>IFERROR(__xludf.DUMMYFUNCTION("""COMPUTED_VALUE"""),5.27688E7)</f>
        <v>52768800</v>
      </c>
      <c r="E49" s="3"/>
      <c r="F49" s="3" t="str">
        <f>IFERROR(__xludf.DUMMYFUNCTION("""COMPUTED_VALUE"""),"DB")</f>
        <v>DB</v>
      </c>
      <c r="G49" s="3">
        <f>IFERROR(__xludf.DUMMYFUNCTION("""COMPUTED_VALUE"""),2.6880197276E8)</f>
        <v>268801972.8</v>
      </c>
      <c r="H49" s="3"/>
      <c r="I49" s="3" t="str">
        <f>IFERROR(__xludf.DUMMYFUNCTION("""COMPUTED_VALUE"""),"PRODUKSI")</f>
        <v>PRODUKSI</v>
      </c>
    </row>
    <row r="50">
      <c r="A50" s="3" t="str">
        <f>IFERROR(__xludf.DUMMYFUNCTION("""COMPUTED_VALUE"""),"2023-06-06")</f>
        <v>2023-06-06</v>
      </c>
      <c r="B50" s="3" t="str">
        <f>IFERROR(__xludf.DUMMYFUNCTION("""COMPUTED_VALUE"""),"TRSF E-BANKING DB TANGGAL :08/06")</f>
        <v>TRSF E-BANKING DB TANGGAL :08/06</v>
      </c>
      <c r="C50" s="3" t="str">
        <f>IFERROR(__xludf.DUMMYFUNCTION("""COMPUTED_VALUE"""),"0806/FTSCY/WS95011 Sun Jun 07 2023 14:00:00 GMT+0700 (Western Indonesia Time) BINTANG TAMA SANTO")</f>
        <v>0806/FTSCY/WS95011 Sun Jun 07 2023 14:00:00 GMT+0700 (Western Indonesia Time) BINTANG TAMA SANTO</v>
      </c>
      <c r="D50" s="3">
        <f>IFERROR(__xludf.DUMMYFUNCTION("""COMPUTED_VALUE"""),1.470378E8)</f>
        <v>147037800</v>
      </c>
      <c r="E50" s="3"/>
      <c r="F50" s="3" t="str">
        <f>IFERROR(__xludf.DUMMYFUNCTION("""COMPUTED_VALUE"""),"DB")</f>
        <v>DB</v>
      </c>
      <c r="G50" s="3">
        <f>IFERROR(__xludf.DUMMYFUNCTION("""COMPUTED_VALUE"""),1.2176417275999999E8)</f>
        <v>121764172.8</v>
      </c>
      <c r="H50" s="3"/>
      <c r="I50" s="3" t="str">
        <f>IFERROR(__xludf.DUMMYFUNCTION("""COMPUTED_VALUE"""),"PRODUKSI")</f>
        <v>PRODUKSI</v>
      </c>
    </row>
    <row r="51">
      <c r="A51" s="3" t="str">
        <f>IFERROR(__xludf.DUMMYFUNCTION("""COMPUTED_VALUE"""),"2023-06-06")</f>
        <v>2023-06-06</v>
      </c>
      <c r="B51" s="3" t="str">
        <f>IFERROR(__xludf.DUMMYFUNCTION("""COMPUTED_VALUE"""),"TRSF E-BANKING DB TANGGAL :08/06")</f>
        <v>TRSF E-BANKING DB TANGGAL :08/06</v>
      </c>
      <c r="C51" s="3" t="str">
        <f>IFERROR(__xludf.DUMMYFUNCTION("""COMPUTED_VALUE"""),"0806/FTSCY/WS95011 Sun Jun 07 2023 14:00:00 GMT+0700 (Western Indonesia Time) ANDALAN YASA MITRA")</f>
        <v>0806/FTSCY/WS95011 Sun Jun 07 2023 14:00:00 GMT+0700 (Western Indonesia Time) ANDALAN YASA MITRA</v>
      </c>
      <c r="D51" s="3">
        <f>IFERROR(__xludf.DUMMYFUNCTION("""COMPUTED_VALUE"""),7.56E7)</f>
        <v>75600000</v>
      </c>
      <c r="E51" s="3"/>
      <c r="F51" s="3" t="str">
        <f>IFERROR(__xludf.DUMMYFUNCTION("""COMPUTED_VALUE"""),"DB")</f>
        <v>DB</v>
      </c>
      <c r="G51" s="3">
        <f>IFERROR(__xludf.DUMMYFUNCTION("""COMPUTED_VALUE"""),4.616417275999999E7)</f>
        <v>46164172.76</v>
      </c>
      <c r="H51" s="3"/>
      <c r="I51" s="3" t="str">
        <f>IFERROR(__xludf.DUMMYFUNCTION("""COMPUTED_VALUE"""),"PRODUKSI")</f>
        <v>PRODUKSI</v>
      </c>
    </row>
    <row r="52">
      <c r="A52" s="3" t="str">
        <f>IFERROR(__xludf.DUMMYFUNCTION("""COMPUTED_VALUE"""),"2023-06-06")</f>
        <v>2023-06-06</v>
      </c>
      <c r="B52" s="3" t="str">
        <f>IFERROR(__xludf.DUMMYFUNCTION("""COMPUTED_VALUE"""),"TRSF E-BANKING DB TANGGAL :08/06")</f>
        <v>TRSF E-BANKING DB TANGGAL :08/06</v>
      </c>
      <c r="C52" s="3" t="str">
        <f>IFERROR(__xludf.DUMMYFUNCTION("""COMPUTED_VALUE"""),"0806/FTSCY/WS95011 titip jembeer LAWU ABADI NUSA PT")</f>
        <v>0806/FTSCY/WS95011 titip jembeer LAWU ABADI NUSA PT</v>
      </c>
      <c r="D52" s="3">
        <f>IFERROR(__xludf.DUMMYFUNCTION("""COMPUTED_VALUE"""),4.0E7)</f>
        <v>40000000</v>
      </c>
      <c r="E52" s="3"/>
      <c r="F52" s="3" t="str">
        <f>IFERROR(__xludf.DUMMYFUNCTION("""COMPUTED_VALUE"""),"DB")</f>
        <v>DB</v>
      </c>
      <c r="G52" s="3">
        <f>IFERROR(__xludf.DUMMYFUNCTION("""COMPUTED_VALUE"""),6164172.75999999)</f>
        <v>6164172.76</v>
      </c>
      <c r="H52" s="3"/>
      <c r="I52" s="3" t="str">
        <f>IFERROR(__xludf.DUMMYFUNCTION("""COMPUTED_VALUE"""),"PRODUKSI")</f>
        <v>PRODUKSI</v>
      </c>
    </row>
    <row r="53">
      <c r="A53" s="3" t="str">
        <f>IFERROR(__xludf.DUMMYFUNCTION("""COMPUTED_VALUE"""),"2023-06-06")</f>
        <v>2023-06-06</v>
      </c>
      <c r="B53" s="3" t="str">
        <f>IFERROR(__xludf.DUMMYFUNCTION("""COMPUTED_VALUE"""),"TRSF E-BANKING DB")</f>
        <v>TRSF E-BANKING DB</v>
      </c>
      <c r="C53" s="3" t="str">
        <f>IFERROR(__xludf.DUMMYFUNCTION("""COMPUTED_VALUE"""),"0906/FTSCY/WS95031 80940000.00 Sun Jun 07 2023 14:00:00 GMT+0700 (Western Indonesia Time) TUMBUH OPTIMAL PRI")</f>
        <v>0906/FTSCY/WS95031 80940000.00 Sun Jun 07 2023 14:00:00 GMT+0700 (Western Indonesia Time) TUMBUH OPTIMAL PRI</v>
      </c>
      <c r="D53" s="3">
        <f>IFERROR(__xludf.DUMMYFUNCTION("""COMPUTED_VALUE"""),8.094E7)</f>
        <v>80940000</v>
      </c>
      <c r="E53" s="3"/>
      <c r="F53" s="3" t="str">
        <f>IFERROR(__xludf.DUMMYFUNCTION("""COMPUTED_VALUE"""),"DB")</f>
        <v>DB</v>
      </c>
      <c r="G53" s="3">
        <f>IFERROR(__xludf.DUMMYFUNCTION("""COMPUTED_VALUE"""),2358160.7599999905)</f>
        <v>2358160.76</v>
      </c>
      <c r="H53" s="3"/>
      <c r="I53" s="3" t="str">
        <f>IFERROR(__xludf.DUMMYFUNCTION("""COMPUTED_VALUE"""),"PRODUKSI")</f>
        <v>PRODUKSI</v>
      </c>
    </row>
    <row r="54">
      <c r="A54" s="3" t="str">
        <f>IFERROR(__xludf.DUMMYFUNCTION("""COMPUTED_VALUE"""),"2023-06-06")</f>
        <v>2023-06-06</v>
      </c>
      <c r="B54" s="3" t="str">
        <f>IFERROR(__xludf.DUMMYFUNCTION("""COMPUTED_VALUE"""),"TRSF E-BANKING DB")</f>
        <v>TRSF E-BANKING DB</v>
      </c>
      <c r="C54" s="3" t="str">
        <f>IFERROR(__xludf.DUMMYFUNCTION("""COMPUTED_VALUE"""),"0906/FTFVA/WS95031 55574/GUNA MITRA S blora - 200177")</f>
        <v>0906/FTFVA/WS95031 55574/GUNA MITRA S blora - 200177</v>
      </c>
      <c r="D54" s="3">
        <f>IFERROR(__xludf.DUMMYFUNCTION("""COMPUTED_VALUE"""),8.17E7)</f>
        <v>81700000</v>
      </c>
      <c r="E54" s="3"/>
      <c r="F54" s="3" t="str">
        <f>IFERROR(__xludf.DUMMYFUNCTION("""COMPUTED_VALUE"""),"DB")</f>
        <v>DB</v>
      </c>
      <c r="G54" s="3">
        <f>IFERROR(__xludf.DUMMYFUNCTION("""COMPUTED_VALUE"""),1.6880476076E8)</f>
        <v>168804760.8</v>
      </c>
      <c r="H54" s="3"/>
      <c r="I54" s="3" t="str">
        <f>IFERROR(__xludf.DUMMYFUNCTION("""COMPUTED_VALUE"""),"PRODUKSI")</f>
        <v>PRODUKSI</v>
      </c>
    </row>
    <row r="55">
      <c r="A55" s="3" t="str">
        <f>IFERROR(__xludf.DUMMYFUNCTION("""COMPUTED_VALUE"""),"2023-06-06")</f>
        <v>2023-06-06</v>
      </c>
      <c r="B55" s="3" t="str">
        <f>IFERROR(__xludf.DUMMYFUNCTION("""COMPUTED_VALUE"""),"TRSF E-BANKING DB")</f>
        <v>TRSF E-BANKING DB</v>
      </c>
      <c r="C55" s="3" t="str">
        <f>IFERROR(__xludf.DUMMYFUNCTION("""COMPUTED_VALUE"""),"0906/FTFVA/WS95031 55569/PT PRIMA FAJ probolinggo - 40190")</f>
        <v>0906/FTFVA/WS95031 55569/PT PRIMA FAJ probolinggo - 40190</v>
      </c>
      <c r="D55" s="3">
        <f>IFERROR(__xludf.DUMMYFUNCTION("""COMPUTED_VALUE"""),1.567551E8)</f>
        <v>156755100</v>
      </c>
      <c r="E55" s="3"/>
      <c r="F55" s="3" t="str">
        <f>IFERROR(__xludf.DUMMYFUNCTION("""COMPUTED_VALUE"""),"DB")</f>
        <v>DB</v>
      </c>
      <c r="G55" s="3">
        <f>IFERROR(__xludf.DUMMYFUNCTION("""COMPUTED_VALUE"""),4.1083816076E8)</f>
        <v>410838160.8</v>
      </c>
      <c r="H55" s="3"/>
      <c r="I55" s="3" t="str">
        <f>IFERROR(__xludf.DUMMYFUNCTION("""COMPUTED_VALUE"""),"PRODUKSI")</f>
        <v>PRODUKSI</v>
      </c>
    </row>
    <row r="56">
      <c r="A56" s="3" t="str">
        <f>IFERROR(__xludf.DUMMYFUNCTION("""COMPUTED_VALUE"""),"2023-06-06")</f>
        <v>2023-06-06</v>
      </c>
      <c r="B56" s="3" t="str">
        <f>IFERROR(__xludf.DUMMYFUNCTION("""COMPUTED_VALUE"""),"TRSF E-BANKING DB")</f>
        <v>TRSF E-BANKING DB</v>
      </c>
      <c r="C56" s="3" t="str">
        <f>IFERROR(__xludf.DUMMYFUNCTION("""COMPUTED_VALUE"""),"0906/FTSCY/WS95271 93170250.00 Mon Jun 08 2023 14:00:00 GMT+0700 (Western Indonesia Time) BINTANG TAMA SANTO")</f>
        <v>0906/FTSCY/WS95271 93170250.00 Mon Jun 08 2023 14:00:00 GMT+0700 (Western Indonesia Time) BINTANG TAMA SANTO</v>
      </c>
      <c r="D56" s="3">
        <f>IFERROR(__xludf.DUMMYFUNCTION("""COMPUTED_VALUE"""),9.317025E7)</f>
        <v>93170250</v>
      </c>
      <c r="E56" s="3"/>
      <c r="F56" s="3" t="str">
        <f>IFERROR(__xludf.DUMMYFUNCTION("""COMPUTED_VALUE"""),"DB")</f>
        <v>DB</v>
      </c>
      <c r="G56" s="3">
        <f>IFERROR(__xludf.DUMMYFUNCTION("""COMPUTED_VALUE"""),3.1756591076E8)</f>
        <v>317565910.8</v>
      </c>
      <c r="H56" s="3"/>
      <c r="I56" s="3" t="str">
        <f>IFERROR(__xludf.DUMMYFUNCTION("""COMPUTED_VALUE"""),"PRODUKSI")</f>
        <v>PRODUKSI</v>
      </c>
    </row>
    <row r="57">
      <c r="A57" s="3" t="str">
        <f>IFERROR(__xludf.DUMMYFUNCTION("""COMPUTED_VALUE"""),"2023-06-06")</f>
        <v>2023-06-06</v>
      </c>
      <c r="B57" s="3" t="str">
        <f>IFERROR(__xludf.DUMMYFUNCTION("""COMPUTED_VALUE"""),"TRSF E-BANKING DB")</f>
        <v>TRSF E-BANKING DB</v>
      </c>
      <c r="C57" s="3" t="str">
        <f>IFERROR(__xludf.DUMMYFUNCTION("""COMPUTED_VALUE"""),"0906/FTSCY/WS95271 104953000.00 Mon Jun 08 2023 14:00:00 GMT+0700 (Western Indonesia Time) LAWU ABADI NUSA PT")</f>
        <v>0906/FTSCY/WS95271 104953000.00 Mon Jun 08 2023 14:00:00 GMT+0700 (Western Indonesia Time) LAWU ABADI NUSA PT</v>
      </c>
      <c r="D57" s="3">
        <f>IFERROR(__xludf.DUMMYFUNCTION("""COMPUTED_VALUE"""),1.04953E8)</f>
        <v>104953000</v>
      </c>
      <c r="E57" s="3"/>
      <c r="F57" s="3" t="str">
        <f>IFERROR(__xludf.DUMMYFUNCTION("""COMPUTED_VALUE"""),"DB")</f>
        <v>DB</v>
      </c>
      <c r="G57" s="3">
        <f>IFERROR(__xludf.DUMMYFUNCTION("""COMPUTED_VALUE"""),2.1261291076E8)</f>
        <v>212612910.8</v>
      </c>
      <c r="H57" s="3"/>
      <c r="I57" s="3" t="str">
        <f>IFERROR(__xludf.DUMMYFUNCTION("""COMPUTED_VALUE"""),"PRODUKSI")</f>
        <v>PRODUKSI</v>
      </c>
    </row>
    <row r="58">
      <c r="A58" s="3" t="str">
        <f>IFERROR(__xludf.DUMMYFUNCTION("""COMPUTED_VALUE"""),"2023-06-06")</f>
        <v>2023-06-06</v>
      </c>
      <c r="B58" s="3" t="str">
        <f>IFERROR(__xludf.DUMMYFUNCTION("""COMPUTED_VALUE"""),"TRSF E-BANKING DB TANGGAL :09/06")</f>
        <v>TRSF E-BANKING DB TANGGAL :09/06</v>
      </c>
      <c r="C58" s="3" t="str">
        <f>IFERROR(__xludf.DUMMYFUNCTION("""COMPUTED_VALUE"""),"0906/FTSCY/WS95011 magetan SUPER UNGGAS JAYA")</f>
        <v>0906/FTSCY/WS95011 magetan SUPER UNGGAS JAYA</v>
      </c>
      <c r="D58" s="3">
        <f>IFERROR(__xludf.DUMMYFUNCTION("""COMPUTED_VALUE"""),1.310725E8)</f>
        <v>131072500</v>
      </c>
      <c r="E58" s="3"/>
      <c r="F58" s="3" t="str">
        <f>IFERROR(__xludf.DUMMYFUNCTION("""COMPUTED_VALUE"""),"DB")</f>
        <v>DB</v>
      </c>
      <c r="G58" s="3">
        <f>IFERROR(__xludf.DUMMYFUNCTION("""COMPUTED_VALUE"""),8.135331075999999E7)</f>
        <v>81353310.76</v>
      </c>
      <c r="H58" s="3"/>
      <c r="I58" s="3" t="str">
        <f>IFERROR(__xludf.DUMMYFUNCTION("""COMPUTED_VALUE"""),"PRODUKSI")</f>
        <v>PRODUKSI</v>
      </c>
    </row>
    <row r="59">
      <c r="A59" s="3" t="str">
        <f>IFERROR(__xludf.DUMMYFUNCTION("""COMPUTED_VALUE"""),"2023-06-06")</f>
        <v>2023-06-06</v>
      </c>
      <c r="B59" s="3" t="str">
        <f>IFERROR(__xludf.DUMMYFUNCTION("""COMPUTED_VALUE"""),"TRSF E-BANKING DB")</f>
        <v>TRSF E-BANKING DB</v>
      </c>
      <c r="C59" s="3" t="str">
        <f>IFERROR(__xludf.DUMMYFUNCTION("""COMPUTED_VALUE"""),"1006/FTFVA/WS95031 55569/PT PRIMA FAJ pelunasan probolin ggo 40190")</f>
        <v>1006/FTFVA/WS95031 55569/PT PRIMA FAJ pelunasan probolin ggo 40190</v>
      </c>
      <c r="D59" s="3">
        <f>IFERROR(__xludf.DUMMYFUNCTION("""COMPUTED_VALUE"""),2780800.0)</f>
        <v>2780800</v>
      </c>
      <c r="E59" s="3"/>
      <c r="F59" s="3" t="str">
        <f>IFERROR(__xludf.DUMMYFUNCTION("""COMPUTED_VALUE"""),"DB")</f>
        <v>DB</v>
      </c>
      <c r="G59" s="3">
        <f>IFERROR(__xludf.DUMMYFUNCTION("""COMPUTED_VALUE"""),7.797126075999999E7)</f>
        <v>77971260.76</v>
      </c>
      <c r="H59" s="3">
        <f>IFERROR(__xludf.DUMMYFUNCTION("""COMPUTED_VALUE"""),7.797126076E7)</f>
        <v>77971260.76</v>
      </c>
      <c r="I59" s="3" t="str">
        <f>IFERROR(__xludf.DUMMYFUNCTION("""COMPUTED_VALUE"""),"PRODUKSI")</f>
        <v>PRODUKSI</v>
      </c>
    </row>
    <row r="60">
      <c r="A60" s="3" t="str">
        <f>IFERROR(__xludf.DUMMYFUNCTION("""COMPUTED_VALUE"""),"2023-06-06")</f>
        <v>2023-06-06</v>
      </c>
      <c r="B60" s="3" t="str">
        <f>IFERROR(__xludf.DUMMYFUNCTION("""COMPUTED_VALUE"""),"TRSF E-BANKING DB")</f>
        <v>TRSF E-BANKING DB</v>
      </c>
      <c r="C60" s="3" t="str">
        <f>IFERROR(__xludf.DUMMYFUNCTION("""COMPUTED_VALUE"""),"1006/FTSCY/WS95031 77270100.00 Mon Jun 08 2023 14:00:00 GMT+0700 (Western Indonesia Time) BINTANG TAMA SANTO")</f>
        <v>1006/FTSCY/WS95031 77270100.00 Mon Jun 08 2023 14:00:00 GMT+0700 (Western Indonesia Time) BINTANG TAMA SANTO</v>
      </c>
      <c r="D60" s="3">
        <f>IFERROR(__xludf.DUMMYFUNCTION("""COMPUTED_VALUE"""),7.72701E7)</f>
        <v>77270100</v>
      </c>
      <c r="E60" s="3"/>
      <c r="F60" s="3" t="str">
        <f>IFERROR(__xludf.DUMMYFUNCTION("""COMPUTED_VALUE"""),"DB")</f>
        <v>DB</v>
      </c>
      <c r="G60" s="3">
        <f>IFERROR(__xludf.DUMMYFUNCTION("""COMPUTED_VALUE"""),701160.7599999905)</f>
        <v>701160.76</v>
      </c>
      <c r="H60" s="3">
        <f>IFERROR(__xludf.DUMMYFUNCTION("""COMPUTED_VALUE"""),701160.76)</f>
        <v>701160.76</v>
      </c>
      <c r="I60" s="3" t="str">
        <f>IFERROR(__xludf.DUMMYFUNCTION("""COMPUTED_VALUE"""),"PRODUKSI")</f>
        <v>PRODUKSI</v>
      </c>
    </row>
    <row r="61">
      <c r="A61" s="3" t="str">
        <f>IFERROR(__xludf.DUMMYFUNCTION("""COMPUTED_VALUE"""),"2023-06-06")</f>
        <v>2023-06-06</v>
      </c>
      <c r="B61" s="3" t="str">
        <f>IFERROR(__xludf.DUMMYFUNCTION("""COMPUTED_VALUE"""),"TRSF E-BANKING DB")</f>
        <v>TRSF E-BANKING DB</v>
      </c>
      <c r="C61" s="3" t="str">
        <f>IFERROR(__xludf.DUMMYFUNCTION("""COMPUTED_VALUE"""),"1006/FTSCY/WS95011 255637280.00 Mon Jun 08 2023 14:00:00 GMT+0700 (Western Indonesia Time) BROILER MAKMUR TAN")</f>
        <v>1006/FTSCY/WS95011 255637280.00 Mon Jun 08 2023 14:00:00 GMT+0700 (Western Indonesia Time) BROILER MAKMUR TAN</v>
      </c>
      <c r="D61" s="3">
        <f>IFERROR(__xludf.DUMMYFUNCTION("""COMPUTED_VALUE"""),2.5563728E8)</f>
        <v>255637280</v>
      </c>
      <c r="E61" s="3"/>
      <c r="F61" s="3" t="str">
        <f>IFERROR(__xludf.DUMMYFUNCTION("""COMPUTED_VALUE"""),"DB")</f>
        <v>DB</v>
      </c>
      <c r="G61" s="3">
        <f>IFERROR(__xludf.DUMMYFUNCTION("""COMPUTED_VALUE"""),5.2173318076E8)</f>
        <v>521733180.8</v>
      </c>
      <c r="H61" s="3"/>
      <c r="I61" s="3" t="str">
        <f>IFERROR(__xludf.DUMMYFUNCTION("""COMPUTED_VALUE"""),"PRODUKSI")</f>
        <v>PRODUKSI</v>
      </c>
    </row>
    <row r="62">
      <c r="A62" s="3" t="str">
        <f>IFERROR(__xludf.DUMMYFUNCTION("""COMPUTED_VALUE"""),"2023-06-06")</f>
        <v>2023-06-06</v>
      </c>
      <c r="B62" s="3" t="str">
        <f>IFERROR(__xludf.DUMMYFUNCTION("""COMPUTED_VALUE"""),"TRSF E-BANKING DB")</f>
        <v>TRSF E-BANKING DB</v>
      </c>
      <c r="C62" s="3" t="str">
        <f>IFERROR(__xludf.DUMMYFUNCTION("""COMPUTED_VALUE"""),"1006/FTSCY/WS95011 243593640.00 Mon Jun 08 2023 14:00:00 GMT+0700 (Western Indonesia Time) ANDALAN YASA MITRA")</f>
        <v>1006/FTSCY/WS95011 243593640.00 Mon Jun 08 2023 14:00:00 GMT+0700 (Western Indonesia Time) ANDALAN YASA MITRA</v>
      </c>
      <c r="D62" s="3">
        <f>IFERROR(__xludf.DUMMYFUNCTION("""COMPUTED_VALUE"""),2.4359364E8)</f>
        <v>243593640</v>
      </c>
      <c r="E62" s="3"/>
      <c r="F62" s="3" t="str">
        <f>IFERROR(__xludf.DUMMYFUNCTION("""COMPUTED_VALUE"""),"DB")</f>
        <v>DB</v>
      </c>
      <c r="G62" s="3">
        <f>IFERROR(__xludf.DUMMYFUNCTION("""COMPUTED_VALUE"""),2.7813954076E8)</f>
        <v>278139540.8</v>
      </c>
      <c r="H62" s="3"/>
      <c r="I62" s="3" t="str">
        <f>IFERROR(__xludf.DUMMYFUNCTION("""COMPUTED_VALUE"""),"PRODUKSI")</f>
        <v>PRODUKSI</v>
      </c>
    </row>
    <row r="63">
      <c r="A63" s="3" t="str">
        <f>IFERROR(__xludf.DUMMYFUNCTION("""COMPUTED_VALUE"""),"2023-06-06")</f>
        <v>2023-06-06</v>
      </c>
      <c r="B63" s="3" t="str">
        <f>IFERROR(__xludf.DUMMYFUNCTION("""COMPUTED_VALUE"""),"TRSF E-BANKING DB")</f>
        <v>TRSF E-BANKING DB</v>
      </c>
      <c r="C63" s="3" t="str">
        <f>IFERROR(__xludf.DUMMYFUNCTION("""COMPUTED_VALUE"""),"1006/FTSCY/WS95271 87000000.00 pelunasan 08.06 ANDALAN YASA MITRA")</f>
        <v>1006/FTSCY/WS95271 87000000.00 pelunasan 08.06 ANDALAN YASA MITRA</v>
      </c>
      <c r="D63" s="3">
        <f>IFERROR(__xludf.DUMMYFUNCTION("""COMPUTED_VALUE"""),8.7E7)</f>
        <v>87000000</v>
      </c>
      <c r="E63" s="3"/>
      <c r="F63" s="3" t="str">
        <f>IFERROR(__xludf.DUMMYFUNCTION("""COMPUTED_VALUE"""),"DB")</f>
        <v>DB</v>
      </c>
      <c r="G63" s="3">
        <f>IFERROR(__xludf.DUMMYFUNCTION("""COMPUTED_VALUE"""),1.9113954076E8)</f>
        <v>191139540.8</v>
      </c>
      <c r="H63" s="3"/>
      <c r="I63" s="3" t="str">
        <f>IFERROR(__xludf.DUMMYFUNCTION("""COMPUTED_VALUE"""),"PRODUKSI")</f>
        <v>PRODUKSI</v>
      </c>
    </row>
    <row r="64">
      <c r="A64" s="3" t="str">
        <f>IFERROR(__xludf.DUMMYFUNCTION("""COMPUTED_VALUE"""),"2023-06-06")</f>
        <v>2023-06-06</v>
      </c>
      <c r="B64" s="3" t="str">
        <f>IFERROR(__xludf.DUMMYFUNCTION("""COMPUTED_VALUE"""),"TRSF E-BANKING DB")</f>
        <v>TRSF E-BANKING DB</v>
      </c>
      <c r="C64" s="3" t="str">
        <f>IFERROR(__xludf.DUMMYFUNCTION("""COMPUTED_VALUE"""),"1006/FTSCY/WS95271 127254600.00 Mon Jun 08 2023 14:00:00 GMT+0700 (Western Indonesia Time) GANESHA SATRIA NUS")</f>
        <v>1006/FTSCY/WS95271 127254600.00 Mon Jun 08 2023 14:00:00 GMT+0700 (Western Indonesia Time) GANESHA SATRIA NUS</v>
      </c>
      <c r="D64" s="3">
        <f>IFERROR(__xludf.DUMMYFUNCTION("""COMPUTED_VALUE"""),1.272546E8)</f>
        <v>127254600</v>
      </c>
      <c r="E64" s="3"/>
      <c r="F64" s="3" t="str">
        <f>IFERROR(__xludf.DUMMYFUNCTION("""COMPUTED_VALUE"""),"DB")</f>
        <v>DB</v>
      </c>
      <c r="G64" s="3">
        <f>IFERROR(__xludf.DUMMYFUNCTION("""COMPUTED_VALUE"""),5.355169075999999E7)</f>
        <v>53551690.76</v>
      </c>
      <c r="H64" s="3"/>
      <c r="I64" s="3" t="str">
        <f>IFERROR(__xludf.DUMMYFUNCTION("""COMPUTED_VALUE"""),"PRODUKSI")</f>
        <v>PRODUKSI</v>
      </c>
    </row>
    <row r="65">
      <c r="A65" s="3" t="str">
        <f>IFERROR(__xludf.DUMMYFUNCTION("""COMPUTED_VALUE"""),"2023-06-06")</f>
        <v>2023-06-06</v>
      </c>
      <c r="B65" s="3" t="str">
        <f>IFERROR(__xludf.DUMMYFUNCTION("""COMPUTED_VALUE"""),"TRSF E-BANKING DB")</f>
        <v>TRSF E-BANKING DB</v>
      </c>
      <c r="C65" s="3" t="str">
        <f>IFERROR(__xludf.DUMMYFUNCTION("""COMPUTED_VALUE"""),"1106/FTSCY/WS95031 72600000.00 Tue Jun 09 2023 14:00:00 GMT+0700 (Western Indonesia Time) RUKUN MITRA BERSAM")</f>
        <v>1106/FTSCY/WS95031 72600000.00 Tue Jun 09 2023 14:00:00 GMT+0700 (Western Indonesia Time) RUKUN MITRA BERSAM</v>
      </c>
      <c r="D65" s="3">
        <f>IFERROR(__xludf.DUMMYFUNCTION("""COMPUTED_VALUE"""),7.26E7)</f>
        <v>72600000</v>
      </c>
      <c r="E65" s="3"/>
      <c r="F65" s="3" t="str">
        <f>IFERROR(__xludf.DUMMYFUNCTION("""COMPUTED_VALUE"""),"DB")</f>
        <v>DB</v>
      </c>
      <c r="G65" s="3">
        <f>IFERROR(__xludf.DUMMYFUNCTION("""COMPUTED_VALUE"""),2.8558869076E8)</f>
        <v>285588690.8</v>
      </c>
      <c r="H65" s="3"/>
      <c r="I65" s="3" t="str">
        <f>IFERROR(__xludf.DUMMYFUNCTION("""COMPUTED_VALUE"""),"PRODUKSI")</f>
        <v>PRODUKSI</v>
      </c>
    </row>
    <row r="66">
      <c r="A66" s="3" t="str">
        <f>IFERROR(__xludf.DUMMYFUNCTION("""COMPUTED_VALUE"""),"2023-06-06")</f>
        <v>2023-06-06</v>
      </c>
      <c r="B66" s="3" t="str">
        <f>IFERROR(__xludf.DUMMYFUNCTION("""COMPUTED_VALUE"""),"TRSF E-BANKING DB")</f>
        <v>TRSF E-BANKING DB</v>
      </c>
      <c r="C66" s="3" t="str">
        <f>IFERROR(__xludf.DUMMYFUNCTION("""COMPUTED_VALUE"""),"1106/FTSCY/WS95031 645000.00 pelunasan LAWU ABADI NUSA PT")</f>
        <v>1106/FTSCY/WS95031 645000.00 pelunasan LAWU ABADI NUSA PT</v>
      </c>
      <c r="D66" s="3">
        <f>IFERROR(__xludf.DUMMYFUNCTION("""COMPUTED_VALUE"""),645000.0)</f>
        <v>645000</v>
      </c>
      <c r="E66" s="3"/>
      <c r="F66" s="3" t="str">
        <f>IFERROR(__xludf.DUMMYFUNCTION("""COMPUTED_VALUE"""),"DB")</f>
        <v>DB</v>
      </c>
      <c r="G66" s="3">
        <f>IFERROR(__xludf.DUMMYFUNCTION("""COMPUTED_VALUE"""),2.8494369076E8)</f>
        <v>284943690.8</v>
      </c>
      <c r="H66" s="3"/>
      <c r="I66" s="3" t="str">
        <f>IFERROR(__xludf.DUMMYFUNCTION("""COMPUTED_VALUE"""),"PRODUKSI")</f>
        <v>PRODUKSI</v>
      </c>
    </row>
    <row r="67">
      <c r="A67" s="3" t="str">
        <f>IFERROR(__xludf.DUMMYFUNCTION("""COMPUTED_VALUE"""),"2023-06-06")</f>
        <v>2023-06-06</v>
      </c>
      <c r="B67" s="3" t="str">
        <f>IFERROR(__xludf.DUMMYFUNCTION("""COMPUTED_VALUE"""),"TRSF E-BANKING DB")</f>
        <v>TRSF E-BANKING DB</v>
      </c>
      <c r="C67" s="3" t="str">
        <f>IFERROR(__xludf.DUMMYFUNCTION("""COMPUTED_VALUE"""),"1106/FTFVA/WS95031 55569/PT PRIMA FAJ lamongan 9350 kg - 40190")</f>
        <v>1106/FTFVA/WS95031 55569/PT PRIMA FAJ lamongan 9350 kg - 40190</v>
      </c>
      <c r="D67" s="3">
        <f>IFERROR(__xludf.DUMMYFUNCTION("""COMPUTED_VALUE"""),2.057E8)</f>
        <v>205700000</v>
      </c>
      <c r="E67" s="3"/>
      <c r="F67" s="3" t="str">
        <f>IFERROR(__xludf.DUMMYFUNCTION("""COMPUTED_VALUE"""),"DB")</f>
        <v>DB</v>
      </c>
      <c r="G67" s="3">
        <f>IFERROR(__xludf.DUMMYFUNCTION("""COMPUTED_VALUE"""),7.984839075999999E7)</f>
        <v>79848390.76</v>
      </c>
      <c r="H67" s="3">
        <f>IFERROR(__xludf.DUMMYFUNCTION("""COMPUTED_VALUE"""),7.984839076E7)</f>
        <v>79848390.76</v>
      </c>
      <c r="I67" s="3" t="str">
        <f>IFERROR(__xludf.DUMMYFUNCTION("""COMPUTED_VALUE"""),"PRODUKSI")</f>
        <v>PRODUKSI</v>
      </c>
    </row>
    <row r="68">
      <c r="A68" s="3" t="str">
        <f>IFERROR(__xludf.DUMMYFUNCTION("""COMPUTED_VALUE"""),"2023-06-06")</f>
        <v>2023-06-06</v>
      </c>
      <c r="B68" s="3" t="str">
        <f>IFERROR(__xludf.DUMMYFUNCTION("""COMPUTED_VALUE"""),"TRSF E-BANKING DB")</f>
        <v>TRSF E-BANKING DB</v>
      </c>
      <c r="C68" s="3" t="str">
        <f>IFERROR(__xludf.DUMMYFUNCTION("""COMPUTED_VALUE"""),"1106/FTFVA/WS95031 55574/GUNA MITRA S nganjuk 3000kg - 200177")</f>
        <v>1106/FTFVA/WS95031 55574/GUNA MITRA S nganjuk 3000kg - 200177</v>
      </c>
      <c r="D68" s="3">
        <f>IFERROR(__xludf.DUMMYFUNCTION("""COMPUTED_VALUE"""),6.6E7)</f>
        <v>66000000</v>
      </c>
      <c r="E68" s="3"/>
      <c r="F68" s="3" t="str">
        <f>IFERROR(__xludf.DUMMYFUNCTION("""COMPUTED_VALUE"""),"DB")</f>
        <v>DB</v>
      </c>
      <c r="G68" s="3">
        <f>IFERROR(__xludf.DUMMYFUNCTION("""COMPUTED_VALUE"""),1.384839075999999E7)</f>
        <v>13848390.76</v>
      </c>
      <c r="H68" s="3"/>
      <c r="I68" s="3" t="str">
        <f>IFERROR(__xludf.DUMMYFUNCTION("""COMPUTED_VALUE"""),"PRODUKSI")</f>
        <v>PRODUKSI</v>
      </c>
    </row>
    <row r="69">
      <c r="A69" s="3" t="str">
        <f>IFERROR(__xludf.DUMMYFUNCTION("""COMPUTED_VALUE"""),"2023-06-06")</f>
        <v>2023-06-06</v>
      </c>
      <c r="B69" s="3" t="str">
        <f>IFERROR(__xludf.DUMMYFUNCTION("""COMPUTED_VALUE"""),"TRSF E-BANKING DB")</f>
        <v>TRSF E-BANKING DB</v>
      </c>
      <c r="C69" s="3" t="str">
        <f>IFERROR(__xludf.DUMMYFUNCTION("""COMPUTED_VALUE"""),"1106/FTFVA/WS95031 55569/PT PRIMA FAJ lamongan 9850kg - 40190")</f>
        <v>1106/FTFVA/WS95031 55569/PT PRIMA FAJ lamongan 9850kg - 40190</v>
      </c>
      <c r="D69" s="3">
        <f>IFERROR(__xludf.DUMMYFUNCTION("""COMPUTED_VALUE"""),1.1E7)</f>
        <v>11000000</v>
      </c>
      <c r="E69" s="3"/>
      <c r="F69" s="3" t="str">
        <f>IFERROR(__xludf.DUMMYFUNCTION("""COMPUTED_VALUE"""),"DB")</f>
        <v>DB</v>
      </c>
      <c r="G69" s="3">
        <f>IFERROR(__xludf.DUMMYFUNCTION("""COMPUTED_VALUE"""),2848390.7599999905)</f>
        <v>2848390.76</v>
      </c>
      <c r="H69" s="3">
        <f>IFERROR(__xludf.DUMMYFUNCTION("""COMPUTED_VALUE"""),2848390.76)</f>
        <v>2848390.76</v>
      </c>
      <c r="I69" s="3" t="str">
        <f>IFERROR(__xludf.DUMMYFUNCTION("""COMPUTED_VALUE"""),"PRODUKSI")</f>
        <v>PRODUKSI</v>
      </c>
    </row>
    <row r="70">
      <c r="A70" s="3" t="str">
        <f>IFERROR(__xludf.DUMMYFUNCTION("""COMPUTED_VALUE"""),"2023-06-06")</f>
        <v>2023-06-06</v>
      </c>
      <c r="B70" s="3" t="str">
        <f>IFERROR(__xludf.DUMMYFUNCTION("""COMPUTED_VALUE"""),"TRSF E-BANKING DB")</f>
        <v>TRSF E-BANKING DB</v>
      </c>
      <c r="C70" s="3" t="str">
        <f>IFERROR(__xludf.DUMMYFUNCTION("""COMPUTED_VALUE"""),"1206/FTSCY/WS95271 63810900.00 Tue Jun 09 2023 14:00:00 GMT+0700 (Western Indonesia Time) LAJU SATWA WISESA")</f>
        <v>1206/FTSCY/WS95271 63810900.00 Tue Jun 09 2023 14:00:00 GMT+0700 (Western Indonesia Time) LAJU SATWA WISESA</v>
      </c>
      <c r="D70" s="3">
        <f>IFERROR(__xludf.DUMMYFUNCTION("""COMPUTED_VALUE"""),6.38109E7)</f>
        <v>63810900</v>
      </c>
      <c r="E70" s="3"/>
      <c r="F70" s="3" t="str">
        <f>IFERROR(__xludf.DUMMYFUNCTION("""COMPUTED_VALUE"""),"DB")</f>
        <v>DB</v>
      </c>
      <c r="G70" s="3">
        <f>IFERROR(__xludf.DUMMYFUNCTION("""COMPUTED_VALUE"""),5.0603577076E8)</f>
        <v>506035770.8</v>
      </c>
      <c r="H70" s="3"/>
      <c r="I70" s="3" t="str">
        <f>IFERROR(__xludf.DUMMYFUNCTION("""COMPUTED_VALUE"""),"PRODUKSI")</f>
        <v>PRODUKSI</v>
      </c>
    </row>
    <row r="71">
      <c r="A71" s="3" t="str">
        <f>IFERROR(__xludf.DUMMYFUNCTION("""COMPUTED_VALUE"""),"2023-06-06")</f>
        <v>2023-06-06</v>
      </c>
      <c r="B71" s="3" t="str">
        <f>IFERROR(__xludf.DUMMYFUNCTION("""COMPUTED_VALUE"""),"TRSF E-BANKING DB")</f>
        <v>TRSF E-BANKING DB</v>
      </c>
      <c r="C71" s="3" t="str">
        <f>IFERROR(__xludf.DUMMYFUNCTION("""COMPUTED_VALUE"""),"1206/FTSCY/WS95271 66000000.00 Tue Jun 09 2023 14:00:00 GMT+0700 (Western Indonesia Time) ANUGERAH KARTIKA A")</f>
        <v>1206/FTSCY/WS95271 66000000.00 Tue Jun 09 2023 14:00:00 GMT+0700 (Western Indonesia Time) ANUGERAH KARTIKA A</v>
      </c>
      <c r="D71" s="3">
        <f>IFERROR(__xludf.DUMMYFUNCTION("""COMPUTED_VALUE"""),6.6E7)</f>
        <v>66000000</v>
      </c>
      <c r="E71" s="3"/>
      <c r="F71" s="3" t="str">
        <f>IFERROR(__xludf.DUMMYFUNCTION("""COMPUTED_VALUE"""),"DB")</f>
        <v>DB</v>
      </c>
      <c r="G71" s="3">
        <f>IFERROR(__xludf.DUMMYFUNCTION("""COMPUTED_VALUE"""),4.4003577076E8)</f>
        <v>440035770.8</v>
      </c>
      <c r="H71" s="3"/>
      <c r="I71" s="3" t="str">
        <f>IFERROR(__xludf.DUMMYFUNCTION("""COMPUTED_VALUE"""),"PRODUKSI")</f>
        <v>PRODUKSI</v>
      </c>
    </row>
    <row r="72">
      <c r="A72" s="3" t="str">
        <f>IFERROR(__xludf.DUMMYFUNCTION("""COMPUTED_VALUE"""),"2023-06-06")</f>
        <v>2023-06-06</v>
      </c>
      <c r="B72" s="3" t="str">
        <f>IFERROR(__xludf.DUMMYFUNCTION("""COMPUTED_VALUE"""),"TRSF E-BANKING DB")</f>
        <v>TRSF E-BANKING DB</v>
      </c>
      <c r="C72" s="3" t="str">
        <f>IFERROR(__xludf.DUMMYFUNCTION("""COMPUTED_VALUE"""),"1206/FTSCY/WS95271 58834350.00 Wed Jun 10 2023 14:00:00 GMT+0700 (Western Indonesia Time) BINTANG TAMA SANTO")</f>
        <v>1206/FTSCY/WS95271 58834350.00 Wed Jun 10 2023 14:00:00 GMT+0700 (Western Indonesia Time) BINTANG TAMA SANTO</v>
      </c>
      <c r="D72" s="3">
        <f>IFERROR(__xludf.DUMMYFUNCTION("""COMPUTED_VALUE"""),5.883435E7)</f>
        <v>58834350</v>
      </c>
      <c r="E72" s="3"/>
      <c r="F72" s="3" t="str">
        <f>IFERROR(__xludf.DUMMYFUNCTION("""COMPUTED_VALUE"""),"DB")</f>
        <v>DB</v>
      </c>
      <c r="G72" s="3">
        <f>IFERROR(__xludf.DUMMYFUNCTION("""COMPUTED_VALUE"""),3.8120142076E8)</f>
        <v>381201420.8</v>
      </c>
      <c r="H72" s="3"/>
      <c r="I72" s="3" t="str">
        <f>IFERROR(__xludf.DUMMYFUNCTION("""COMPUTED_VALUE"""),"PRODUKSI")</f>
        <v>PRODUKSI</v>
      </c>
    </row>
    <row r="73">
      <c r="A73" s="3" t="str">
        <f>IFERROR(__xludf.DUMMYFUNCTION("""COMPUTED_VALUE"""),"2023-06-06")</f>
        <v>2023-06-06</v>
      </c>
      <c r="B73" s="3" t="str">
        <f>IFERROR(__xludf.DUMMYFUNCTION("""COMPUTED_VALUE"""),"TRSF E-BANKING DB")</f>
        <v>TRSF E-BANKING DB</v>
      </c>
      <c r="C73" s="3" t="str">
        <f>IFERROR(__xludf.DUMMYFUNCTION("""COMPUTED_VALUE"""),"1206/FTSCY/WS95271 106130700.00 Tue Jun 09 2023 14:00:00 GMT+0700 (Western Indonesia Time) ANDALAN YASA MITRA")</f>
        <v>1206/FTSCY/WS95271 106130700.00 Tue Jun 09 2023 14:00:00 GMT+0700 (Western Indonesia Time) ANDALAN YASA MITRA</v>
      </c>
      <c r="D73" s="3">
        <f>IFERROR(__xludf.DUMMYFUNCTION("""COMPUTED_VALUE"""),1.061307E8)</f>
        <v>106130700</v>
      </c>
      <c r="E73" s="3"/>
      <c r="F73" s="3" t="str">
        <f>IFERROR(__xludf.DUMMYFUNCTION("""COMPUTED_VALUE"""),"DB")</f>
        <v>DB</v>
      </c>
      <c r="G73" s="3">
        <f>IFERROR(__xludf.DUMMYFUNCTION("""COMPUTED_VALUE"""),2.7507072076E8)</f>
        <v>275070720.8</v>
      </c>
      <c r="H73" s="3"/>
      <c r="I73" s="3" t="str">
        <f>IFERROR(__xludf.DUMMYFUNCTION("""COMPUTED_VALUE"""),"PRODUKSI")</f>
        <v>PRODUKSI</v>
      </c>
    </row>
    <row r="74">
      <c r="A74" s="3" t="str">
        <f>IFERROR(__xludf.DUMMYFUNCTION("""COMPUTED_VALUE"""),"2023-06-06")</f>
        <v>2023-06-06</v>
      </c>
      <c r="B74" s="3" t="str">
        <f>IFERROR(__xludf.DUMMYFUNCTION("""COMPUTED_VALUE"""),"TRSF E-BANKING DB")</f>
        <v>TRSF E-BANKING DB</v>
      </c>
      <c r="C74" s="3" t="str">
        <f>IFERROR(__xludf.DUMMYFUNCTION("""COMPUTED_VALUE"""),"1206/FTSCY/WS95011 238819000.00 Tue Jun 09 2023 14:00:00 GMT+0700 (Western Indonesia Time) ANDALAN YASA MITRA")</f>
        <v>1206/FTSCY/WS95011 238819000.00 Tue Jun 09 2023 14:00:00 GMT+0700 (Western Indonesia Time) ANDALAN YASA MITRA</v>
      </c>
      <c r="D74" s="3">
        <f>IFERROR(__xludf.DUMMYFUNCTION("""COMPUTED_VALUE"""),2.38819E8)</f>
        <v>238819000</v>
      </c>
      <c r="E74" s="3"/>
      <c r="F74" s="3" t="str">
        <f>IFERROR(__xludf.DUMMYFUNCTION("""COMPUTED_VALUE"""),"DB")</f>
        <v>DB</v>
      </c>
      <c r="G74" s="3">
        <f>IFERROR(__xludf.DUMMYFUNCTION("""COMPUTED_VALUE"""),3.625172075999999E7)</f>
        <v>36251720.76</v>
      </c>
      <c r="H74" s="3"/>
      <c r="I74" s="3" t="str">
        <f>IFERROR(__xludf.DUMMYFUNCTION("""COMPUTED_VALUE"""),"PRODUKSI")</f>
        <v>PRODUKSI</v>
      </c>
    </row>
    <row r="75">
      <c r="A75" s="3" t="str">
        <f>IFERROR(__xludf.DUMMYFUNCTION("""COMPUTED_VALUE"""),"2023-12-12")</f>
        <v>2023-12-12</v>
      </c>
      <c r="B75" s="3" t="str">
        <f>IFERROR(__xludf.DUMMYFUNCTION("""COMPUTED_VALUE"""),"TRSF E-BANKING DB")</f>
        <v>TRSF E-BANKING DB</v>
      </c>
      <c r="C75" s="3" t="str">
        <f>IFERROR(__xludf.DUMMYFUNCTION("""COMPUTED_VALUE"""),"1206/FTFVA/WS95031 55574/GUNA MITRA S kdr 7600kg - 200177")</f>
        <v>1206/FTFVA/WS95031 55574/GUNA MITRA S kdr 7600kg - 200177</v>
      </c>
      <c r="D75" s="3">
        <f>IFERROR(__xludf.DUMMYFUNCTION("""COMPUTED_VALUE"""),1.672E8)</f>
        <v>167200000</v>
      </c>
      <c r="E75" s="3"/>
      <c r="F75" s="3" t="str">
        <f>IFERROR(__xludf.DUMMYFUNCTION("""COMPUTED_VALUE"""),"DB")</f>
        <v>DB</v>
      </c>
      <c r="G75" s="3">
        <f>IFERROR(__xludf.DUMMYFUNCTION("""COMPUTED_VALUE"""),3.6743456076E8)</f>
        <v>367434560.8</v>
      </c>
      <c r="H75" s="3"/>
      <c r="I75" s="3" t="str">
        <f>IFERROR(__xludf.DUMMYFUNCTION("""COMPUTED_VALUE"""),"PRODUKSI")</f>
        <v>PRODUKSI</v>
      </c>
    </row>
    <row r="76">
      <c r="A76" s="3" t="str">
        <f>IFERROR(__xludf.DUMMYFUNCTION("""COMPUTED_VALUE"""),"2023-12-12")</f>
        <v>2023-12-12</v>
      </c>
      <c r="B76" s="3" t="str">
        <f>IFERROR(__xludf.DUMMYFUNCTION("""COMPUTED_VALUE"""),"TRSF E-BANKING DB")</f>
        <v>TRSF E-BANKING DB</v>
      </c>
      <c r="C76" s="3" t="str">
        <f>IFERROR(__xludf.DUMMYFUNCTION("""COMPUTED_VALUE"""),"1206/FTSCY/WS95011 208213100 Sun Sep 06 2023 14:00:00 GMT+0700 (Western Indonesia Time) SUPER UNGGAS JAYA")</f>
        <v>1206/FTSCY/WS95011 208213100 Sun Sep 06 2023 14:00:00 GMT+0700 (Western Indonesia Time) SUPER UNGGAS JAYA</v>
      </c>
      <c r="D76" s="3">
        <f>IFERROR(__xludf.DUMMYFUNCTION("""COMPUTED_VALUE"""),2.082131E8)</f>
        <v>208213100</v>
      </c>
      <c r="E76" s="3"/>
      <c r="F76" s="3" t="str">
        <f>IFERROR(__xludf.DUMMYFUNCTION("""COMPUTED_VALUE"""),"DB")</f>
        <v>DB</v>
      </c>
      <c r="G76" s="3">
        <f>IFERROR(__xludf.DUMMYFUNCTION("""COMPUTED_VALUE"""),4.5882388076E8)</f>
        <v>458823880.8</v>
      </c>
      <c r="H76" s="3"/>
      <c r="I76" s="3" t="str">
        <f>IFERROR(__xludf.DUMMYFUNCTION("""COMPUTED_VALUE"""),"PRODUKSI")</f>
        <v>PRODUKSI</v>
      </c>
    </row>
    <row r="77">
      <c r="A77" s="3" t="str">
        <f>IFERROR(__xludf.DUMMYFUNCTION("""COMPUTED_VALUE"""),"2023-12-12")</f>
        <v>2023-12-12</v>
      </c>
      <c r="B77" s="3" t="str">
        <f>IFERROR(__xludf.DUMMYFUNCTION("""COMPUTED_VALUE"""),"TRSF E-BANKING DB")</f>
        <v>TRSF E-BANKING DB</v>
      </c>
      <c r="C77" s="3" t="str">
        <f>IFERROR(__xludf.DUMMYFUNCTION("""COMPUTED_VALUE"""),"1206/FTSCY/WS95011 51695310 Sun Sep 06 2023 14:00:00 GMT+0700 (Western Indonesia Time) ANDALAN YASA MITRA")</f>
        <v>1206/FTSCY/WS95011 51695310 Sun Sep 06 2023 14:00:00 GMT+0700 (Western Indonesia Time) ANDALAN YASA MITRA</v>
      </c>
      <c r="D77" s="3">
        <f>IFERROR(__xludf.DUMMYFUNCTION("""COMPUTED_VALUE"""),5.169531E7)</f>
        <v>51695310</v>
      </c>
      <c r="E77" s="3"/>
      <c r="F77" s="3" t="str">
        <f>IFERROR(__xludf.DUMMYFUNCTION("""COMPUTED_VALUE"""),"DB")</f>
        <v>DB</v>
      </c>
      <c r="G77" s="3">
        <f>IFERROR(__xludf.DUMMYFUNCTION("""COMPUTED_VALUE"""),4.0712857076E8)</f>
        <v>407128570.8</v>
      </c>
      <c r="H77" s="3"/>
      <c r="I77" s="3" t="str">
        <f>IFERROR(__xludf.DUMMYFUNCTION("""COMPUTED_VALUE"""),"PRODUKSI")</f>
        <v>PRODUKSI</v>
      </c>
    </row>
    <row r="78">
      <c r="A78" s="3" t="str">
        <f>IFERROR(__xludf.DUMMYFUNCTION("""COMPUTED_VALUE"""),"2023-12-12")</f>
        <v>2023-12-12</v>
      </c>
      <c r="B78" s="3" t="str">
        <f>IFERROR(__xludf.DUMMYFUNCTION("""COMPUTED_VALUE"""),"TRSF E-BANKING DB")</f>
        <v>TRSF E-BANKING DB</v>
      </c>
      <c r="C78" s="3" t="str">
        <f>IFERROR(__xludf.DUMMYFUNCTION("""COMPUTED_VALUE"""),"1206/FTSCY/WS95031 100000000 9.06 ANDALAN YASA MITRA")</f>
        <v>1206/FTSCY/WS95031 100000000 9.06 ANDALAN YASA MITRA</v>
      </c>
      <c r="D78" s="3">
        <f>IFERROR(__xludf.DUMMYFUNCTION("""COMPUTED_VALUE"""),1.0E8)</f>
        <v>100000000</v>
      </c>
      <c r="E78" s="3"/>
      <c r="F78" s="3" t="str">
        <f>IFERROR(__xludf.DUMMYFUNCTION("""COMPUTED_VALUE"""),"DB")</f>
        <v>DB</v>
      </c>
      <c r="G78" s="3">
        <f>IFERROR(__xludf.DUMMYFUNCTION("""COMPUTED_VALUE"""),3.0712857076E8)</f>
        <v>307128570.8</v>
      </c>
      <c r="H78" s="3">
        <f>IFERROR(__xludf.DUMMYFUNCTION("""COMPUTED_VALUE"""),3.0712857076E8)</f>
        <v>307128570.8</v>
      </c>
      <c r="I78" s="3" t="str">
        <f>IFERROR(__xludf.DUMMYFUNCTION("""COMPUTED_VALUE"""),"PRODUKSI")</f>
        <v>PRODUKSI</v>
      </c>
    </row>
    <row r="79">
      <c r="A79" s="3" t="str">
        <f>IFERROR(__xludf.DUMMYFUNCTION("""COMPUTED_VALUE"""),"2023-13-13")</f>
        <v>2023-13-13</v>
      </c>
      <c r="B79" s="3" t="str">
        <f>IFERROR(__xludf.DUMMYFUNCTION("""COMPUTED_VALUE"""),"TRSF E-BANKING DB")</f>
        <v>TRSF E-BANKING DB</v>
      </c>
      <c r="C79" s="3" t="str">
        <f>IFERROR(__xludf.DUMMYFUNCTION("""COMPUTED_VALUE"""),"1306/FTSCY/WS95031 69610550 kd sulaiman jbr TERNAK SEJATI TABA")</f>
        <v>1306/FTSCY/WS95031 69610550 kd sulaiman jbr TERNAK SEJATI TABA</v>
      </c>
      <c r="D79" s="3">
        <f>IFERROR(__xludf.DUMMYFUNCTION("""COMPUTED_VALUE"""),6.961055E7)</f>
        <v>69610550</v>
      </c>
      <c r="E79" s="3"/>
      <c r="F79" s="3" t="str">
        <f>IFERROR(__xludf.DUMMYFUNCTION("""COMPUTED_VALUE"""),"DB")</f>
        <v>DB</v>
      </c>
      <c r="G79" s="3">
        <f>IFERROR(__xludf.DUMMYFUNCTION("""COMPUTED_VALUE"""),2.3751802076E8)</f>
        <v>237518020.8</v>
      </c>
      <c r="H79" s="3"/>
      <c r="I79" s="3" t="str">
        <f>IFERROR(__xludf.DUMMYFUNCTION("""COMPUTED_VALUE"""),"PRODUKSI")</f>
        <v>PRODUKSI</v>
      </c>
    </row>
    <row r="80">
      <c r="A80" s="3" t="str">
        <f>IFERROR(__xludf.DUMMYFUNCTION("""COMPUTED_VALUE"""),"2023-13-13")</f>
        <v>2023-13-13</v>
      </c>
      <c r="B80" s="3" t="str">
        <f>IFERROR(__xludf.DUMMYFUNCTION("""COMPUTED_VALUE"""),"TRSF E-BANKING DB")</f>
        <v>TRSF E-BANKING DB</v>
      </c>
      <c r="C80" s="3" t="str">
        <f>IFERROR(__xludf.DUMMYFUNCTION("""COMPUTED_VALUE"""),"1306/FTSCY/WS95011 163359000 Fri Nov 06 2023 15:00:00 GMT+0700 (Western Indonesia Time) ANDALAN YASA MITRA")</f>
        <v>1306/FTSCY/WS95011 163359000 Fri Nov 06 2023 15:00:00 GMT+0700 (Western Indonesia Time) ANDALAN YASA MITRA</v>
      </c>
      <c r="D80" s="3">
        <f>IFERROR(__xludf.DUMMYFUNCTION("""COMPUTED_VALUE"""),1.63359E8)</f>
        <v>163359000</v>
      </c>
      <c r="E80" s="3"/>
      <c r="F80" s="3" t="str">
        <f>IFERROR(__xludf.DUMMYFUNCTION("""COMPUTED_VALUE"""),"DB")</f>
        <v>DB</v>
      </c>
      <c r="G80" s="3">
        <f>IFERROR(__xludf.DUMMYFUNCTION("""COMPUTED_VALUE"""),4.580382075999999E7)</f>
        <v>45803820.76</v>
      </c>
      <c r="H80" s="3"/>
      <c r="I80" s="3" t="str">
        <f>IFERROR(__xludf.DUMMYFUNCTION("""COMPUTED_VALUE"""),"PRODUKSI")</f>
        <v>PRODUKSI</v>
      </c>
    </row>
    <row r="81">
      <c r="A81" s="3" t="str">
        <f>IFERROR(__xludf.DUMMYFUNCTION("""COMPUTED_VALUE"""),"2023-13-13")</f>
        <v>2023-13-13</v>
      </c>
      <c r="B81" s="3" t="str">
        <f>IFERROR(__xludf.DUMMYFUNCTION("""COMPUTED_VALUE"""),"TRSF E-BANKING DB")</f>
        <v>TRSF E-BANKING DB</v>
      </c>
      <c r="C81" s="3" t="str">
        <f>IFERROR(__xludf.DUMMYFUNCTION("""COMPUTED_VALUE"""),"1306/FTSCY/WS95271 73545400 Fri Nov 06 2023 15:00:00 GMT+0700 (Western Indonesia Time) ANUGERAH KARTIKA A")</f>
        <v>1306/FTSCY/WS95271 73545400 Fri Nov 06 2023 15:00:00 GMT+0700 (Western Indonesia Time) ANUGERAH KARTIKA A</v>
      </c>
      <c r="D81" s="3">
        <f>IFERROR(__xludf.DUMMYFUNCTION("""COMPUTED_VALUE"""),7.35454E7)</f>
        <v>73545400</v>
      </c>
      <c r="E81" s="3"/>
      <c r="F81" s="3" t="str">
        <f>IFERROR(__xludf.DUMMYFUNCTION("""COMPUTED_VALUE"""),"DB")</f>
        <v>DB</v>
      </c>
      <c r="G81" s="3">
        <f>IFERROR(__xludf.DUMMYFUNCTION("""COMPUTED_VALUE"""),2.6688454076E8)</f>
        <v>266884540.8</v>
      </c>
      <c r="H81" s="3"/>
      <c r="I81" s="3" t="str">
        <f>IFERROR(__xludf.DUMMYFUNCTION("""COMPUTED_VALUE"""),"PRODUKSI")</f>
        <v>PRODUKSI</v>
      </c>
    </row>
    <row r="82">
      <c r="A82" s="3" t="str">
        <f>IFERROR(__xludf.DUMMYFUNCTION("""COMPUTED_VALUE"""),"2023-13-13")</f>
        <v>2023-13-13</v>
      </c>
      <c r="B82" s="3" t="str">
        <f>IFERROR(__xludf.DUMMYFUNCTION("""COMPUTED_VALUE"""),"TRSF E-BANKING DB")</f>
        <v>TRSF E-BANKING DB</v>
      </c>
      <c r="C82" s="3" t="str">
        <f>IFERROR(__xludf.DUMMYFUNCTION("""COMPUTED_VALUE"""),"1306/FTSCY/WS95271 59851000 Fri Nov 06 2023 15:00:00 GMT+0700 (Western Indonesia Time) BINTANG TAMA SANTO")</f>
        <v>1306/FTSCY/WS95271 59851000 Fri Nov 06 2023 15:00:00 GMT+0700 (Western Indonesia Time) BINTANG TAMA SANTO</v>
      </c>
      <c r="D82" s="3">
        <f>IFERROR(__xludf.DUMMYFUNCTION("""COMPUTED_VALUE"""),5.9851E7)</f>
        <v>59851000</v>
      </c>
      <c r="E82" s="3"/>
      <c r="F82" s="3" t="str">
        <f>IFERROR(__xludf.DUMMYFUNCTION("""COMPUTED_VALUE"""),"DB")</f>
        <v>DB</v>
      </c>
      <c r="G82" s="3">
        <f>IFERROR(__xludf.DUMMYFUNCTION("""COMPUTED_VALUE"""),2.0703354076E8)</f>
        <v>207033540.8</v>
      </c>
      <c r="H82" s="3"/>
      <c r="I82" s="3" t="str">
        <f>IFERROR(__xludf.DUMMYFUNCTION("""COMPUTED_VALUE"""),"PRODUKSI")</f>
        <v>PRODUKSI</v>
      </c>
    </row>
    <row r="83">
      <c r="A83" s="3" t="str">
        <f>IFERROR(__xludf.DUMMYFUNCTION("""COMPUTED_VALUE"""),"2023-13-13")</f>
        <v>2023-13-13</v>
      </c>
      <c r="B83" s="3" t="str">
        <f>IFERROR(__xludf.DUMMYFUNCTION("""COMPUTED_VALUE"""),"BI-FAST DB")</f>
        <v>BI-FAST DB</v>
      </c>
      <c r="C83" s="3" t="str">
        <f>IFERROR(__xludf.DUMMYFUNCTION("""COMPUTED_VALUE"""),"BIF TRANSFER KE 8 SEMBILAN BINTANG L M-BCA")</f>
        <v>BIF TRANSFER KE 8 SEMBILAN BINTANG L M-BCA</v>
      </c>
      <c r="D83" s="3">
        <f>IFERROR(__xludf.DUMMYFUNCTION("""COMPUTED_VALUE"""),1.025E7)</f>
        <v>10250000</v>
      </c>
      <c r="E83" s="3"/>
      <c r="F83" s="3" t="str">
        <f>IFERROR(__xludf.DUMMYFUNCTION("""COMPUTED_VALUE"""),"DB")</f>
        <v>DB</v>
      </c>
      <c r="G83" s="3">
        <f>IFERROR(__xludf.DUMMYFUNCTION("""COMPUTED_VALUE"""),1.9629354076E8)</f>
        <v>196293540.8</v>
      </c>
      <c r="H83" s="3"/>
      <c r="I83" s="3" t="str">
        <f>IFERROR(__xludf.DUMMYFUNCTION("""COMPUTED_VALUE"""),"PRODUKSI")</f>
        <v>PRODUKSI</v>
      </c>
    </row>
    <row r="84">
      <c r="A84" s="3" t="str">
        <f>IFERROR(__xludf.DUMMYFUNCTION("""COMPUTED_VALUE"""),"2023-13-13")</f>
        <v>2023-13-13</v>
      </c>
      <c r="B84" s="3" t="str">
        <f>IFERROR(__xludf.DUMMYFUNCTION("""COMPUTED_VALUE"""),"BI-FAST DB")</f>
        <v>BI-FAST DB</v>
      </c>
      <c r="C84" s="3" t="str">
        <f>IFERROR(__xludf.DUMMYFUNCTION("""COMPUTED_VALUE"""),"BIF BIAYA TXN KE 8 SEMBILAN BINTANG L M-BCA")</f>
        <v>BIF BIAYA TXN KE 8 SEMBILAN BINTANG L M-BCA</v>
      </c>
      <c r="D84" s="3">
        <f>IFERROR(__xludf.DUMMYFUNCTION("""COMPUTED_VALUE"""),2500.0)</f>
        <v>2500</v>
      </c>
      <c r="E84" s="3"/>
      <c r="F84" s="3" t="str">
        <f>IFERROR(__xludf.DUMMYFUNCTION("""COMPUTED_VALUE"""),"DB")</f>
        <v>DB</v>
      </c>
      <c r="G84" s="3">
        <f>IFERROR(__xludf.DUMMYFUNCTION("""COMPUTED_VALUE"""),1.9629104076E8)</f>
        <v>196291040.8</v>
      </c>
      <c r="H84" s="3"/>
      <c r="I84" s="3" t="str">
        <f>IFERROR(__xludf.DUMMYFUNCTION("""COMPUTED_VALUE"""),"PRODUKSI")</f>
        <v>PRODUKSI</v>
      </c>
    </row>
    <row r="85">
      <c r="A85" s="3" t="str">
        <f>IFERROR(__xludf.DUMMYFUNCTION("""COMPUTED_VALUE"""),"2023-13-13")</f>
        <v>2023-13-13</v>
      </c>
      <c r="B85" s="3" t="str">
        <f>IFERROR(__xludf.DUMMYFUNCTION("""COMPUTED_VALUE"""),"BI-FAST DB")</f>
        <v>BI-FAST DB</v>
      </c>
      <c r="C85" s="3" t="str">
        <f>IFERROR(__xludf.DUMMYFUNCTION("""COMPUTED_VALUE"""),"BIF TRANSFER KE 2 TURYADI M-BCA")</f>
        <v>BIF TRANSFER KE 2 TURYADI M-BCA</v>
      </c>
      <c r="D85" s="3">
        <f>IFERROR(__xludf.DUMMYFUNCTION("""COMPUTED_VALUE"""),1525000.0)</f>
        <v>1525000</v>
      </c>
      <c r="E85" s="3"/>
      <c r="F85" s="3" t="str">
        <f>IFERROR(__xludf.DUMMYFUNCTION("""COMPUTED_VALUE"""),"DB")</f>
        <v>DB</v>
      </c>
      <c r="G85" s="3">
        <f>IFERROR(__xludf.DUMMYFUNCTION("""COMPUTED_VALUE"""),1.9401604076E8)</f>
        <v>194016040.8</v>
      </c>
      <c r="H85" s="3"/>
      <c r="I85" s="3" t="str">
        <f>IFERROR(__xludf.DUMMYFUNCTION("""COMPUTED_VALUE"""),"PRODUKSI")</f>
        <v>PRODUKSI</v>
      </c>
    </row>
    <row r="86">
      <c r="A86" s="3" t="str">
        <f>IFERROR(__xludf.DUMMYFUNCTION("""COMPUTED_VALUE"""),"2023-13-13")</f>
        <v>2023-13-13</v>
      </c>
      <c r="B86" s="3" t="str">
        <f>IFERROR(__xludf.DUMMYFUNCTION("""COMPUTED_VALUE"""),"BI-FAST DB")</f>
        <v>BI-FAST DB</v>
      </c>
      <c r="C86" s="3" t="str">
        <f>IFERROR(__xludf.DUMMYFUNCTION("""COMPUTED_VALUE"""),"BIF TRANSFER KE 11 ADIRA MUHAMMAD HAI M-BCA")</f>
        <v>BIF TRANSFER KE 11 ADIRA MUHAMMAD HAI M-BCA</v>
      </c>
      <c r="D86" s="3">
        <f>IFERROR(__xludf.DUMMYFUNCTION("""COMPUTED_VALUE"""),2741000.0)</f>
        <v>2741000</v>
      </c>
      <c r="E86" s="3"/>
      <c r="F86" s="3" t="str">
        <f>IFERROR(__xludf.DUMMYFUNCTION("""COMPUTED_VALUE"""),"DB")</f>
        <v>DB</v>
      </c>
      <c r="G86" s="3">
        <f>IFERROR(__xludf.DUMMYFUNCTION("""COMPUTED_VALUE"""),1.9127254076E8)</f>
        <v>191272540.8</v>
      </c>
      <c r="H86" s="3"/>
      <c r="I86" s="3" t="str">
        <f>IFERROR(__xludf.DUMMYFUNCTION("""COMPUTED_VALUE"""),"PRODUKSI")</f>
        <v>PRODUKSI</v>
      </c>
    </row>
    <row r="87">
      <c r="A87" s="3" t="str">
        <f>IFERROR(__xludf.DUMMYFUNCTION("""COMPUTED_VALUE"""),"2023-13-13")</f>
        <v>2023-13-13</v>
      </c>
      <c r="B87" s="3" t="str">
        <f>IFERROR(__xludf.DUMMYFUNCTION("""COMPUTED_VALUE"""),"BI-FAST DB")</f>
        <v>BI-FAST DB</v>
      </c>
      <c r="C87" s="3" t="str">
        <f>IFERROR(__xludf.DUMMYFUNCTION("""COMPUTED_VALUE"""),"BIF BIAYA TXN KE 11 ADIRA MUHAMMAD HAI M-BCA")</f>
        <v>BIF BIAYA TXN KE 11 ADIRA MUHAMMAD HAI M-BCA</v>
      </c>
      <c r="D87" s="3">
        <f>IFERROR(__xludf.DUMMYFUNCTION("""COMPUTED_VALUE"""),2500.0)</f>
        <v>2500</v>
      </c>
      <c r="E87" s="3"/>
      <c r="F87" s="3" t="str">
        <f>IFERROR(__xludf.DUMMYFUNCTION("""COMPUTED_VALUE"""),"DB")</f>
        <v>DB</v>
      </c>
      <c r="G87" s="3">
        <f>IFERROR(__xludf.DUMMYFUNCTION("""COMPUTED_VALUE"""),1.9127004076E8)</f>
        <v>191270040.8</v>
      </c>
      <c r="H87" s="3"/>
      <c r="I87" s="3" t="str">
        <f>IFERROR(__xludf.DUMMYFUNCTION("""COMPUTED_VALUE"""),"PRODUKSI")</f>
        <v>PRODUKSI</v>
      </c>
    </row>
    <row r="88">
      <c r="A88" s="3" t="str">
        <f>IFERROR(__xludf.DUMMYFUNCTION("""COMPUTED_VALUE"""),"2023-13-13")</f>
        <v>2023-13-13</v>
      </c>
      <c r="B88" s="3" t="str">
        <f>IFERROR(__xludf.DUMMYFUNCTION("""COMPUTED_VALUE"""),"TRSF E-BANKING DB")</f>
        <v>TRSF E-BANKING DB</v>
      </c>
      <c r="C88" s="3" t="str">
        <f>IFERROR(__xludf.DUMMYFUNCTION("""COMPUTED_VALUE"""),"1306/FTSCY/WS95271 157375350 Fri Nov 06 2023 15:00:00 GMT+0700 (Western Indonesia Time) BROILER MAKMUR TAN")</f>
        <v>1306/FTSCY/WS95271 157375350 Fri Nov 06 2023 15:00:00 GMT+0700 (Western Indonesia Time) BROILER MAKMUR TAN</v>
      </c>
      <c r="D88" s="3">
        <f>IFERROR(__xludf.DUMMYFUNCTION("""COMPUTED_VALUE"""),1.5737535E8)</f>
        <v>157375350</v>
      </c>
      <c r="E88" s="3"/>
      <c r="F88" s="3" t="str">
        <f>IFERROR(__xludf.DUMMYFUNCTION("""COMPUTED_VALUE"""),"DB")</f>
        <v>DB</v>
      </c>
      <c r="G88" s="3">
        <f>IFERROR(__xludf.DUMMYFUNCTION("""COMPUTED_VALUE"""),3.5549259076E8)</f>
        <v>355492590.8</v>
      </c>
      <c r="H88" s="3"/>
      <c r="I88" s="3" t="str">
        <f>IFERROR(__xludf.DUMMYFUNCTION("""COMPUTED_VALUE"""),"PRODUKSI")</f>
        <v>PRODUKSI</v>
      </c>
    </row>
    <row r="89">
      <c r="A89" s="3" t="str">
        <f>IFERROR(__xludf.DUMMYFUNCTION("""COMPUTED_VALUE"""),"2023-13-13")</f>
        <v>2023-13-13</v>
      </c>
      <c r="B89" s="3" t="str">
        <f>IFERROR(__xludf.DUMMYFUNCTION("""COMPUTED_VALUE"""),"TRSF E-BANKING DB")</f>
        <v>TRSF E-BANKING DB</v>
      </c>
      <c r="C89" s="3" t="str">
        <f>IFERROR(__xludf.DUMMYFUNCTION("""COMPUTED_VALUE"""),"1306/FTFVA/WS95031 55569/PT PRIMA FAJ malang 2900x2 , pr ob. 3500kg 40190")</f>
        <v>1306/FTFVA/WS95031 55569/PT PRIMA FAJ malang 2900x2 , pr ob. 3500kg 40190</v>
      </c>
      <c r="D89" s="3">
        <f>IFERROR(__xludf.DUMMYFUNCTION("""COMPUTED_VALUE"""),2.0372E8)</f>
        <v>203720000</v>
      </c>
      <c r="E89" s="3"/>
      <c r="F89" s="3" t="str">
        <f>IFERROR(__xludf.DUMMYFUNCTION("""COMPUTED_VALUE"""),"DB")</f>
        <v>DB</v>
      </c>
      <c r="G89" s="3">
        <f>IFERROR(__xludf.DUMMYFUNCTION("""COMPUTED_VALUE"""),2.5157259076E8)</f>
        <v>251572590.8</v>
      </c>
      <c r="H89" s="3"/>
      <c r="I89" s="3" t="str">
        <f>IFERROR(__xludf.DUMMYFUNCTION("""COMPUTED_VALUE"""),"PRODUKSI")</f>
        <v>PRODUKSI</v>
      </c>
    </row>
    <row r="90">
      <c r="A90" s="3" t="str">
        <f>IFERROR(__xludf.DUMMYFUNCTION("""COMPUTED_VALUE"""),"2023-13-13")</f>
        <v>2023-13-13</v>
      </c>
      <c r="B90" s="3" t="str">
        <f>IFERROR(__xludf.DUMMYFUNCTION("""COMPUTED_VALUE"""),"TRSF E-BANKING DB")</f>
        <v>TRSF E-BANKING DB</v>
      </c>
      <c r="C90" s="3" t="str">
        <f>IFERROR(__xludf.DUMMYFUNCTION("""COMPUTED_VALUE"""),"1306/FTSCY/WS95271 300000000 Sun Dec 06 2023 15:00:00 GMT+0700 (Western Indonesia Time) MUHAMMAD HAIRUL MA")</f>
        <v>1306/FTSCY/WS95271 300000000 Sun Dec 06 2023 15:00:00 GMT+0700 (Western Indonesia Time) MUHAMMAD HAIRUL MA</v>
      </c>
      <c r="D90" s="3">
        <f>IFERROR(__xludf.DUMMYFUNCTION("""COMPUTED_VALUE"""),3.0E8)</f>
        <v>300000000</v>
      </c>
      <c r="E90" s="3"/>
      <c r="F90" s="3" t="str">
        <f>IFERROR(__xludf.DUMMYFUNCTION("""COMPUTED_VALUE"""),"DB")</f>
        <v>DB</v>
      </c>
      <c r="G90" s="3">
        <f>IFERROR(__xludf.DUMMYFUNCTION("""COMPUTED_VALUE"""),7.728499075999999E7)</f>
        <v>77284990.76</v>
      </c>
      <c r="H90" s="3"/>
      <c r="I90" s="3" t="str">
        <f>IFERROR(__xludf.DUMMYFUNCTION("""COMPUTED_VALUE"""),"PRODUKSI")</f>
        <v>PRODUKSI</v>
      </c>
    </row>
    <row r="91">
      <c r="A91" s="3" t="str">
        <f>IFERROR(__xludf.DUMMYFUNCTION("""COMPUTED_VALUE"""),"2023-14-14")</f>
        <v>2023-14-14</v>
      </c>
      <c r="B91" s="3" t="str">
        <f>IFERROR(__xludf.DUMMYFUNCTION("""COMPUTED_VALUE"""),"TRSF E-BANKING DB")</f>
        <v>TRSF E-BANKING DB</v>
      </c>
      <c r="C91" s="3" t="str">
        <f>IFERROR(__xludf.DUMMYFUNCTION("""COMPUTED_VALUE"""),"1306/FTSCY/WS95011 335824740 Sun Dec 06 2023 15:00:00 GMT+0700 (Western Indonesia Time) SUPER UNGGAS JAYA")</f>
        <v>1306/FTSCY/WS95011 335824740 Sun Dec 06 2023 15:00:00 GMT+0700 (Western Indonesia Time) SUPER UNGGAS JAYA</v>
      </c>
      <c r="D91" s="3">
        <f>IFERROR(__xludf.DUMMYFUNCTION("""COMPUTED_VALUE"""),3.3582474E8)</f>
        <v>335824740</v>
      </c>
      <c r="E91" s="3"/>
      <c r="F91" s="3" t="str">
        <f>IFERROR(__xludf.DUMMYFUNCTION("""COMPUTED_VALUE"""),"DB")</f>
        <v>DB</v>
      </c>
      <c r="G91" s="3">
        <f>IFERROR(__xludf.DUMMYFUNCTION("""COMPUTED_VALUE"""),4.146025075999999E7)</f>
        <v>41460250.76</v>
      </c>
      <c r="H91" s="3"/>
      <c r="I91" s="3" t="str">
        <f>IFERROR(__xludf.DUMMYFUNCTION("""COMPUTED_VALUE"""),"PRODUKSI")</f>
        <v>PRODUKSI</v>
      </c>
    </row>
    <row r="92">
      <c r="A92" s="3" t="str">
        <f>IFERROR(__xludf.DUMMYFUNCTION("""COMPUTED_VALUE"""),"2023-14-14")</f>
        <v>2023-14-14</v>
      </c>
      <c r="B92" s="3" t="str">
        <f>IFERROR(__xludf.DUMMYFUNCTION("""COMPUTED_VALUE"""),"TRSF E-BANKING DB")</f>
        <v>TRSF E-BANKING DB</v>
      </c>
      <c r="C92" s="3" t="str">
        <f>IFERROR(__xludf.DUMMYFUNCTION("""COMPUTED_VALUE"""),"1406/FTSCY/WS95271 50000000 pelunasan BROILER MAKMUR TAN")</f>
        <v>1406/FTSCY/WS95271 50000000 pelunasan BROILER MAKMUR TAN</v>
      </c>
      <c r="D92" s="3">
        <f>IFERROR(__xludf.DUMMYFUNCTION("""COMPUTED_VALUE"""),5.0E7)</f>
        <v>50000000</v>
      </c>
      <c r="E92" s="3"/>
      <c r="F92" s="3" t="str">
        <f>IFERROR(__xludf.DUMMYFUNCTION("""COMPUTED_VALUE"""),"DB")</f>
        <v>DB</v>
      </c>
      <c r="G92" s="3">
        <f>IFERROR(__xludf.DUMMYFUNCTION("""COMPUTED_VALUE"""),6.992143075999999E7)</f>
        <v>69921430.76</v>
      </c>
      <c r="H92" s="3"/>
      <c r="I92" s="3" t="str">
        <f>IFERROR(__xludf.DUMMYFUNCTION("""COMPUTED_VALUE"""),"PRODUKSI")</f>
        <v>PRODUKSI</v>
      </c>
    </row>
    <row r="93">
      <c r="A93" s="3" t="str">
        <f>IFERROR(__xludf.DUMMYFUNCTION("""COMPUTED_VALUE"""),"2023-14-14")</f>
        <v>2023-14-14</v>
      </c>
      <c r="B93" s="3" t="str">
        <f>IFERROR(__xludf.DUMMYFUNCTION("""COMPUTED_VALUE"""),"TRSF E-BANKING DB")</f>
        <v>TRSF E-BANKING DB</v>
      </c>
      <c r="C93" s="3" t="str">
        <f>IFERROR(__xludf.DUMMYFUNCTION("""COMPUTED_VALUE"""),"1406/FTSCY/WS95271 10000000 pelunasan SUPER UNGGAS JAYA")</f>
        <v>1406/FTSCY/WS95271 10000000 pelunasan SUPER UNGGAS JAYA</v>
      </c>
      <c r="D93" s="3">
        <f>IFERROR(__xludf.DUMMYFUNCTION("""COMPUTED_VALUE"""),1.0E7)</f>
        <v>10000000</v>
      </c>
      <c r="E93" s="3"/>
      <c r="F93" s="3" t="str">
        <f>IFERROR(__xludf.DUMMYFUNCTION("""COMPUTED_VALUE"""),"DB")</f>
        <v>DB</v>
      </c>
      <c r="G93" s="3">
        <f>IFERROR(__xludf.DUMMYFUNCTION("""COMPUTED_VALUE"""),5.992143075999999E7)</f>
        <v>59921430.76</v>
      </c>
      <c r="H93" s="3">
        <f>IFERROR(__xludf.DUMMYFUNCTION("""COMPUTED_VALUE"""),5.992143076E7)</f>
        <v>59921430.76</v>
      </c>
      <c r="I93" s="3" t="str">
        <f>IFERROR(__xludf.DUMMYFUNCTION("""COMPUTED_VALUE"""),"PRODUKSI")</f>
        <v>PRODUKSI</v>
      </c>
    </row>
    <row r="94">
      <c r="A94" s="3" t="str">
        <f>IFERROR(__xludf.DUMMYFUNCTION("""COMPUTED_VALUE"""),"2023-14-14")</f>
        <v>2023-14-14</v>
      </c>
      <c r="B94" s="3" t="str">
        <f>IFERROR(__xludf.DUMMYFUNCTION("""COMPUTED_VALUE"""),"TRSF E-BANKING DB")</f>
        <v>TRSF E-BANKING DB</v>
      </c>
      <c r="C94" s="3" t="str">
        <f>IFERROR(__xludf.DUMMYFUNCTION("""COMPUTED_VALUE"""),"1406/FTSCY/WS95271 79779510 Sun Dec 06 2023 15:00:00 GMT+0700 (Western Indonesia Time) PT BERLIAN INDOMIT")</f>
        <v>1406/FTSCY/WS95271 79779510 Sun Dec 06 2023 15:00:00 GMT+0700 (Western Indonesia Time) PT BERLIAN INDOMIT</v>
      </c>
      <c r="D94" s="3">
        <f>IFERROR(__xludf.DUMMYFUNCTION("""COMPUTED_VALUE"""),7.977951E7)</f>
        <v>79779510</v>
      </c>
      <c r="E94" s="3"/>
      <c r="F94" s="3" t="str">
        <f>IFERROR(__xludf.DUMMYFUNCTION("""COMPUTED_VALUE"""),"DB")</f>
        <v>DB</v>
      </c>
      <c r="G94" s="3">
        <f>IFERROR(__xludf.DUMMYFUNCTION("""COMPUTED_VALUE"""),3.3519042076E8)</f>
        <v>335190420.8</v>
      </c>
      <c r="H94" s="3"/>
      <c r="I94" s="3" t="str">
        <f>IFERROR(__xludf.DUMMYFUNCTION("""COMPUTED_VALUE"""),"PRODUKSI")</f>
        <v>PRODUKSI</v>
      </c>
    </row>
    <row r="95">
      <c r="A95" s="3" t="str">
        <f>IFERROR(__xludf.DUMMYFUNCTION("""COMPUTED_VALUE"""),"2023-14-14")</f>
        <v>2023-14-14</v>
      </c>
      <c r="B95" s="3" t="str">
        <f>IFERROR(__xludf.DUMMYFUNCTION("""COMPUTED_VALUE"""),"TRSF E-BANKING DB")</f>
        <v>TRSF E-BANKING DB</v>
      </c>
      <c r="C95" s="3" t="str">
        <f>IFERROR(__xludf.DUMMYFUNCTION("""COMPUTED_VALUE"""),"1406/FTSCY/WS95271 76765400 Sun Dec 06 2023 15:00:00 GMT+0700 (Western Indonesia Time) LAJU SATWA WISESA")</f>
        <v>1406/FTSCY/WS95271 76765400 Sun Dec 06 2023 15:00:00 GMT+0700 (Western Indonesia Time) LAJU SATWA WISESA</v>
      </c>
      <c r="D95" s="3">
        <f>IFERROR(__xludf.DUMMYFUNCTION("""COMPUTED_VALUE"""),7.67654E7)</f>
        <v>76765400</v>
      </c>
      <c r="E95" s="3"/>
      <c r="F95" s="3" t="str">
        <f>IFERROR(__xludf.DUMMYFUNCTION("""COMPUTED_VALUE"""),"DB")</f>
        <v>DB</v>
      </c>
      <c r="G95" s="3">
        <f>IFERROR(__xludf.DUMMYFUNCTION("""COMPUTED_VALUE"""),2.5842502076E8)</f>
        <v>258425020.8</v>
      </c>
      <c r="H95" s="3"/>
      <c r="I95" s="3" t="str">
        <f>IFERROR(__xludf.DUMMYFUNCTION("""COMPUTED_VALUE"""),"PRODUKSI")</f>
        <v>PRODUKSI</v>
      </c>
    </row>
    <row r="96">
      <c r="A96" s="3" t="str">
        <f>IFERROR(__xludf.DUMMYFUNCTION("""COMPUTED_VALUE"""),"2023-14-14")</f>
        <v>2023-14-14</v>
      </c>
      <c r="B96" s="3" t="str">
        <f>IFERROR(__xludf.DUMMYFUNCTION("""COMPUTED_VALUE"""),"TRSF E-BANKING DB")</f>
        <v>TRSF E-BANKING DB</v>
      </c>
      <c r="C96" s="3" t="str">
        <f>IFERROR(__xludf.DUMMYFUNCTION("""COMPUTED_VALUE"""),"1406/FTSCY/WS95271 63910000 Sun Dec 06 2023 15:00:00 GMT+0700 (Western Indonesia Time) BROILER MAKMUR TAN")</f>
        <v>1406/FTSCY/WS95271 63910000 Sun Dec 06 2023 15:00:00 GMT+0700 (Western Indonesia Time) BROILER MAKMUR TAN</v>
      </c>
      <c r="D96" s="3">
        <f>IFERROR(__xludf.DUMMYFUNCTION("""COMPUTED_VALUE"""),6.391E7)</f>
        <v>63910000</v>
      </c>
      <c r="E96" s="3"/>
      <c r="F96" s="3" t="str">
        <f>IFERROR(__xludf.DUMMYFUNCTION("""COMPUTED_VALUE"""),"DB")</f>
        <v>DB</v>
      </c>
      <c r="G96" s="3">
        <f>IFERROR(__xludf.DUMMYFUNCTION("""COMPUTED_VALUE"""),1.9451502076E8)</f>
        <v>194515020.8</v>
      </c>
      <c r="H96" s="3"/>
      <c r="I96" s="3" t="str">
        <f>IFERROR(__xludf.DUMMYFUNCTION("""COMPUTED_VALUE"""),"PRODUKSI")</f>
        <v>PRODUKSI</v>
      </c>
    </row>
    <row r="97">
      <c r="A97" s="3" t="str">
        <f>IFERROR(__xludf.DUMMYFUNCTION("""COMPUTED_VALUE"""),"2023-14-14")</f>
        <v>2023-14-14</v>
      </c>
      <c r="B97" s="3" t="str">
        <f>IFERROR(__xludf.DUMMYFUNCTION("""COMPUTED_VALUE"""),"TRSF E-BANKING DB")</f>
        <v>TRSF E-BANKING DB</v>
      </c>
      <c r="C97" s="3" t="str">
        <f>IFERROR(__xludf.DUMMYFUNCTION("""COMPUTED_VALUE"""),"1406/FTSCY/WS95031 61600000 12.06 ANDALAN YASA MITRA")</f>
        <v>1406/FTSCY/WS95031 61600000 12.06 ANDALAN YASA MITRA</v>
      </c>
      <c r="D97" s="3">
        <f>IFERROR(__xludf.DUMMYFUNCTION("""COMPUTED_VALUE"""),6.16E7)</f>
        <v>61600000</v>
      </c>
      <c r="E97" s="3"/>
      <c r="F97" s="3" t="str">
        <f>IFERROR(__xludf.DUMMYFUNCTION("""COMPUTED_VALUE"""),"DB")</f>
        <v>DB</v>
      </c>
      <c r="G97" s="3">
        <f>IFERROR(__xludf.DUMMYFUNCTION("""COMPUTED_VALUE"""),1.3291502075999999E8)</f>
        <v>132915020.8</v>
      </c>
      <c r="H97" s="3"/>
      <c r="I97" s="3" t="str">
        <f>IFERROR(__xludf.DUMMYFUNCTION("""COMPUTED_VALUE"""),"PRODUKSI")</f>
        <v>PRODUKSI</v>
      </c>
    </row>
    <row r="98">
      <c r="A98" s="3" t="str">
        <f>IFERROR(__xludf.DUMMYFUNCTION("""COMPUTED_VALUE"""),"2023-14-14")</f>
        <v>2023-14-14</v>
      </c>
      <c r="B98" s="3" t="str">
        <f>IFERROR(__xludf.DUMMYFUNCTION("""COMPUTED_VALUE"""),"TRSF E-BANKING DB")</f>
        <v>TRSF E-BANKING DB</v>
      </c>
      <c r="C98" s="3" t="str">
        <f>IFERROR(__xludf.DUMMYFUNCTION("""COMPUTED_VALUE"""),"1406/FTFVA/WS95031 55574/GUNA MITRA S galek 7.4 ton - 200177")</f>
        <v>1406/FTFVA/WS95031 55574/GUNA MITRA S galek 7.4 ton - 200177</v>
      </c>
      <c r="D98" s="3">
        <f>IFERROR(__xludf.DUMMYFUNCTION("""COMPUTED_VALUE"""),1.665E8)</f>
        <v>166500000</v>
      </c>
      <c r="E98" s="3"/>
      <c r="F98" s="3" t="str">
        <f>IFERROR(__xludf.DUMMYFUNCTION("""COMPUTED_VALUE"""),"DB")</f>
        <v>DB</v>
      </c>
      <c r="G98" s="3">
        <f>IFERROR(__xludf.DUMMYFUNCTION("""COMPUTED_VALUE"""),3.302091075999999E7)</f>
        <v>33020910.76</v>
      </c>
      <c r="H98" s="3"/>
      <c r="I98" s="3" t="str">
        <f>IFERROR(__xludf.DUMMYFUNCTION("""COMPUTED_VALUE"""),"PRODUKSI")</f>
        <v>PRODUKSI</v>
      </c>
    </row>
    <row r="99">
      <c r="A99" s="3" t="str">
        <f>IFERROR(__xludf.DUMMYFUNCTION("""COMPUTED_VALUE"""),"2023-14-14")</f>
        <v>2023-14-14</v>
      </c>
      <c r="B99" s="3" t="str">
        <f>IFERROR(__xludf.DUMMYFUNCTION("""COMPUTED_VALUE"""),"TRSF E-BANKING DB")</f>
        <v>TRSF E-BANKING DB</v>
      </c>
      <c r="C99" s="3" t="str">
        <f>IFERROR(__xludf.DUMMYFUNCTION("""COMPUTED_VALUE"""),"1406/FTSCY/WS95031 940000 DIDIK HARYADI")</f>
        <v>1406/FTSCY/WS95031 940000 DIDIK HARYADI</v>
      </c>
      <c r="D99" s="3">
        <f>IFERROR(__xludf.DUMMYFUNCTION("""COMPUTED_VALUE"""),940000.0)</f>
        <v>940000</v>
      </c>
      <c r="E99" s="3"/>
      <c r="F99" s="3" t="str">
        <f>IFERROR(__xludf.DUMMYFUNCTION("""COMPUTED_VALUE"""),"DB")</f>
        <v>DB</v>
      </c>
      <c r="G99" s="3">
        <f>IFERROR(__xludf.DUMMYFUNCTION("""COMPUTED_VALUE"""),3.208091075999999E7)</f>
        <v>32080910.76</v>
      </c>
      <c r="H99" s="3"/>
      <c r="I99" s="3" t="str">
        <f>IFERROR(__xludf.DUMMYFUNCTION("""COMPUTED_VALUE"""),"PRODUKSI")</f>
        <v>PRODUKSI</v>
      </c>
    </row>
    <row r="100">
      <c r="A100" s="3" t="str">
        <f>IFERROR(__xludf.DUMMYFUNCTION("""COMPUTED_VALUE"""),"2023-06-14")</f>
        <v>2023-06-14</v>
      </c>
      <c r="B100" s="3" t="str">
        <f>IFERROR(__xludf.DUMMYFUNCTION("""COMPUTED_VALUE"""),"TRSF E-BANKING DB")</f>
        <v>TRSF E-BANKING DB</v>
      </c>
      <c r="C100" s="3" t="str">
        <f>IFERROR(__xludf.DUMMYFUNCTION("""COMPUTED_VALUE"""),"1406/FTFVA/WS95031 55569/PT PRIMA FAJ pelunasan - 40190")</f>
        <v>1406/FTFVA/WS95031 55569/PT PRIMA FAJ pelunasan - 40190</v>
      </c>
      <c r="D100" s="3">
        <f>IFERROR(__xludf.DUMMYFUNCTION("""COMPUTED_VALUE"""),4556400.0)</f>
        <v>4556400</v>
      </c>
      <c r="E100" s="3"/>
      <c r="F100" s="3" t="str">
        <f>IFERROR(__xludf.DUMMYFUNCTION("""COMPUTED_VALUE"""),"DB")</f>
        <v>DB</v>
      </c>
      <c r="G100" s="3">
        <f>IFERROR(__xludf.DUMMYFUNCTION("""COMPUTED_VALUE"""),2.2891687076E8)</f>
        <v>228916870.8</v>
      </c>
      <c r="H100" s="3">
        <f>IFERROR(__xludf.DUMMYFUNCTION("""COMPUTED_VALUE"""),2.2891687076E8)</f>
        <v>228916870.8</v>
      </c>
      <c r="I100" s="3" t="str">
        <f>IFERROR(__xludf.DUMMYFUNCTION("""COMPUTED_VALUE"""),"PRODUKSI")</f>
        <v>PRODUKSI</v>
      </c>
    </row>
    <row r="101">
      <c r="A101" s="3" t="str">
        <f>IFERROR(__xludf.DUMMYFUNCTION("""COMPUTED_VALUE"""),"2023-06-14")</f>
        <v>2023-06-14</v>
      </c>
      <c r="B101" s="3" t="str">
        <f>IFERROR(__xludf.DUMMYFUNCTION("""COMPUTED_VALUE"""),"TRSF E-BANKING DB")</f>
        <v>TRSF E-BANKING DB</v>
      </c>
      <c r="C101" s="3" t="str">
        <f>IFERROR(__xludf.DUMMYFUNCTION("""COMPUTED_VALUE"""),"1406/FTSCY/WS95011 65000000.00 titip SUGENG RIADI")</f>
        <v>1406/FTSCY/WS95011 65000000.00 titip SUGENG RIADI</v>
      </c>
      <c r="D101" s="3">
        <f>IFERROR(__xludf.DUMMYFUNCTION("""COMPUTED_VALUE"""),6.5E7)</f>
        <v>65000000</v>
      </c>
      <c r="E101" s="3"/>
      <c r="F101" s="3" t="str">
        <f>IFERROR(__xludf.DUMMYFUNCTION("""COMPUTED_VALUE"""),"DB")</f>
        <v>DB</v>
      </c>
      <c r="G101" s="3">
        <f>IFERROR(__xludf.DUMMYFUNCTION("""COMPUTED_VALUE"""),1.6233997076E8)</f>
        <v>162339970.8</v>
      </c>
      <c r="H101" s="3"/>
      <c r="I101" s="3" t="str">
        <f>IFERROR(__xludf.DUMMYFUNCTION("""COMPUTED_VALUE"""),"PRODUKSI")</f>
        <v>PRODUKSI</v>
      </c>
    </row>
    <row r="102">
      <c r="A102" s="3" t="str">
        <f>IFERROR(__xludf.DUMMYFUNCTION("""COMPUTED_VALUE"""),"2023-06-14")</f>
        <v>2023-06-14</v>
      </c>
      <c r="B102" s="3" t="str">
        <f>IFERROR(__xludf.DUMMYFUNCTION("""COMPUTED_VALUE"""),"TRSF E-BANKING DB")</f>
        <v>TRSF E-BANKING DB</v>
      </c>
      <c r="C102" s="3" t="str">
        <f>IFERROR(__xludf.DUMMYFUNCTION("""COMPUTED_VALUE"""),"1406/FTSCY/WS95011 134179020.00 Sat Jun 13 2023 14:00:00 GMT+0700 (Western Indonesia Time) ANDALAN YASA MITRA")</f>
        <v>1406/FTSCY/WS95011 134179020.00 Sat Jun 13 2023 14:00:00 GMT+0700 (Western Indonesia Time) ANDALAN YASA MITRA</v>
      </c>
      <c r="D102" s="3">
        <f>IFERROR(__xludf.DUMMYFUNCTION("""COMPUTED_VALUE"""),1.3417902E8)</f>
        <v>134179020</v>
      </c>
      <c r="E102" s="3"/>
      <c r="F102" s="3" t="str">
        <f>IFERROR(__xludf.DUMMYFUNCTION("""COMPUTED_VALUE"""),"DB")</f>
        <v>DB</v>
      </c>
      <c r="G102" s="3">
        <f>IFERROR(__xludf.DUMMYFUNCTION("""COMPUTED_VALUE"""),2.816095075999999E7)</f>
        <v>28160950.76</v>
      </c>
      <c r="H102" s="3">
        <f>IFERROR(__xludf.DUMMYFUNCTION("""COMPUTED_VALUE"""),2.816095076E7)</f>
        <v>28160950.76</v>
      </c>
      <c r="I102" s="3" t="str">
        <f>IFERROR(__xludf.DUMMYFUNCTION("""COMPUTED_VALUE"""),"PRODUKSI")</f>
        <v>PRODUKSI</v>
      </c>
    </row>
    <row r="103">
      <c r="A103" s="3" t="str">
        <f>IFERROR(__xludf.DUMMYFUNCTION("""COMPUTED_VALUE"""),"2023-06-15")</f>
        <v>2023-06-15</v>
      </c>
      <c r="B103" s="3" t="str">
        <f>IFERROR(__xludf.DUMMYFUNCTION("""COMPUTED_VALUE"""),"TRSF E-BANKING DB")</f>
        <v>TRSF E-BANKING DB</v>
      </c>
      <c r="C103" s="3" t="str">
        <f>IFERROR(__xludf.DUMMYFUNCTION("""COMPUTED_VALUE"""),"1506/FTFVA/WS95031 55574/GUNA MITRA S pelunasan - 200177")</f>
        <v>1506/FTFVA/WS95031 55574/GUNA MITRA S pelunasan - 200177</v>
      </c>
      <c r="D103" s="3">
        <f>IFERROR(__xludf.DUMMYFUNCTION("""COMPUTED_VALUE"""),9056250.0)</f>
        <v>9056250</v>
      </c>
      <c r="E103" s="3"/>
      <c r="F103" s="3" t="str">
        <f>IFERROR(__xludf.DUMMYFUNCTION("""COMPUTED_VALUE"""),"DB")</f>
        <v>DB</v>
      </c>
      <c r="G103" s="3">
        <f>IFERROR(__xludf.DUMMYFUNCTION("""COMPUTED_VALUE"""),3.3166380076E8)</f>
        <v>331663800.8</v>
      </c>
      <c r="H103" s="3"/>
      <c r="I103" s="3" t="str">
        <f>IFERROR(__xludf.DUMMYFUNCTION("""COMPUTED_VALUE"""),"PRODUKSI")</f>
        <v>PRODUKSI</v>
      </c>
    </row>
    <row r="104">
      <c r="A104" s="3" t="str">
        <f>IFERROR(__xludf.DUMMYFUNCTION("""COMPUTED_VALUE"""),"2023-06-15")</f>
        <v>2023-06-15</v>
      </c>
      <c r="B104" s="3" t="str">
        <f>IFERROR(__xludf.DUMMYFUNCTION("""COMPUTED_VALUE"""),"TRSF E-BANKING DB")</f>
        <v>TRSF E-BANKING DB</v>
      </c>
      <c r="C104" s="3" t="str">
        <f>IFERROR(__xludf.DUMMYFUNCTION("""COMPUTED_VALUE"""),"1506/FTSCY/WS95031 81803500.00 pelunasan SUGENG RIADI")</f>
        <v>1506/FTSCY/WS95031 81803500.00 pelunasan SUGENG RIADI</v>
      </c>
      <c r="D104" s="3">
        <f>IFERROR(__xludf.DUMMYFUNCTION("""COMPUTED_VALUE"""),8.18035E7)</f>
        <v>81803500</v>
      </c>
      <c r="E104" s="3"/>
      <c r="F104" s="3" t="str">
        <f>IFERROR(__xludf.DUMMYFUNCTION("""COMPUTED_VALUE"""),"DB")</f>
        <v>DB</v>
      </c>
      <c r="G104" s="3">
        <f>IFERROR(__xludf.DUMMYFUNCTION("""COMPUTED_VALUE"""),2.4986030076E8)</f>
        <v>249860300.8</v>
      </c>
      <c r="H104" s="3"/>
      <c r="I104" s="3" t="str">
        <f>IFERROR(__xludf.DUMMYFUNCTION("""COMPUTED_VALUE"""),"PRODUKSI")</f>
        <v>PRODUKSI</v>
      </c>
    </row>
    <row r="105">
      <c r="A105" s="3" t="str">
        <f>IFERROR(__xludf.DUMMYFUNCTION("""COMPUTED_VALUE"""),"2023-06-15")</f>
        <v>2023-06-15</v>
      </c>
      <c r="B105" s="3" t="str">
        <f>IFERROR(__xludf.DUMMYFUNCTION("""COMPUTED_VALUE"""),"TRSF E-BANKING DB")</f>
        <v>TRSF E-BANKING DB</v>
      </c>
      <c r="C105" s="3" t="str">
        <f>IFERROR(__xludf.DUMMYFUNCTION("""COMPUTED_VALUE"""),"1506/FTSCY/WS95271 133866000.00 Sat Jun 13 2023 14:00:00 GMT+0700 (Western Indonesia Time) GANESHA SATRIA NUS")</f>
        <v>1506/FTSCY/WS95271 133866000.00 Sat Jun 13 2023 14:00:00 GMT+0700 (Western Indonesia Time) GANESHA SATRIA NUS</v>
      </c>
      <c r="D105" s="3">
        <f>IFERROR(__xludf.DUMMYFUNCTION("""COMPUTED_VALUE"""),1.33866E8)</f>
        <v>133866000</v>
      </c>
      <c r="E105" s="3"/>
      <c r="F105" s="3" t="str">
        <f>IFERROR(__xludf.DUMMYFUNCTION("""COMPUTED_VALUE"""),"DB")</f>
        <v>DB</v>
      </c>
      <c r="G105" s="3">
        <f>IFERROR(__xludf.DUMMYFUNCTION("""COMPUTED_VALUE"""),5.6495164076E8)</f>
        <v>564951640.8</v>
      </c>
      <c r="H105" s="3">
        <f>IFERROR(__xludf.DUMMYFUNCTION("""COMPUTED_VALUE"""),5.6495164076E8)</f>
        <v>564951640.8</v>
      </c>
      <c r="I105" s="3" t="str">
        <f>IFERROR(__xludf.DUMMYFUNCTION("""COMPUTED_VALUE"""),"PRODUKSI")</f>
        <v>PRODUKSI</v>
      </c>
    </row>
    <row r="106">
      <c r="A106" s="3" t="str">
        <f>IFERROR(__xludf.DUMMYFUNCTION("""COMPUTED_VALUE"""),"2023-06-15")</f>
        <v>2023-06-15</v>
      </c>
      <c r="B106" s="3" t="str">
        <f>IFERROR(__xludf.DUMMYFUNCTION("""COMPUTED_VALUE"""),"TRSF E-BANKING DB")</f>
        <v>TRSF E-BANKING DB</v>
      </c>
      <c r="C106" s="3" t="str">
        <f>IFERROR(__xludf.DUMMYFUNCTION("""COMPUTED_VALUE"""),"1506/FTFVA/WS95031 55574/GUNA MITRA S blora 3.5 ton - 200177")</f>
        <v>1506/FTFVA/WS95031 55574/GUNA MITRA S blora 3.5 ton - 200177</v>
      </c>
      <c r="D106" s="3">
        <f>IFERROR(__xludf.DUMMYFUNCTION("""COMPUTED_VALUE"""),7.7E7)</f>
        <v>77000000</v>
      </c>
      <c r="E106" s="3"/>
      <c r="F106" s="3" t="str">
        <f>IFERROR(__xludf.DUMMYFUNCTION("""COMPUTED_VALUE"""),"DB")</f>
        <v>DB</v>
      </c>
      <c r="G106" s="3">
        <f>IFERROR(__xludf.DUMMYFUNCTION("""COMPUTED_VALUE"""),2.7595164076E8)</f>
        <v>275951640.8</v>
      </c>
      <c r="H106" s="3"/>
      <c r="I106" s="3" t="str">
        <f>IFERROR(__xludf.DUMMYFUNCTION("""COMPUTED_VALUE"""),"PRODUKSI")</f>
        <v>PRODUKSI</v>
      </c>
    </row>
    <row r="107">
      <c r="A107" s="3" t="str">
        <f>IFERROR(__xludf.DUMMYFUNCTION("""COMPUTED_VALUE"""),"2023-06-15")</f>
        <v>2023-06-15</v>
      </c>
      <c r="B107" s="3" t="str">
        <f>IFERROR(__xludf.DUMMYFUNCTION("""COMPUTED_VALUE"""),"TRSF E-BANKING DB")</f>
        <v>TRSF E-BANKING DB</v>
      </c>
      <c r="C107" s="3" t="str">
        <f>IFERROR(__xludf.DUMMYFUNCTION("""COMPUTED_VALUE"""),"1506/FTSCY/WS95271 80306700.00 Sat Jun 13 2023 14:00:00 GMT+0700 (Western Indonesia Time) SUPER UNGGAS JAYA")</f>
        <v>1506/FTSCY/WS95271 80306700.00 Sat Jun 13 2023 14:00:00 GMT+0700 (Western Indonesia Time) SUPER UNGGAS JAYA</v>
      </c>
      <c r="D107" s="3">
        <f>IFERROR(__xludf.DUMMYFUNCTION("""COMPUTED_VALUE"""),8.03067E7)</f>
        <v>80306700</v>
      </c>
      <c r="E107" s="3"/>
      <c r="F107" s="3" t="str">
        <f>IFERROR(__xludf.DUMMYFUNCTION("""COMPUTED_VALUE"""),"DB")</f>
        <v>DB</v>
      </c>
      <c r="G107" s="3">
        <f>IFERROR(__xludf.DUMMYFUNCTION("""COMPUTED_VALUE"""),1.9564494076E8)</f>
        <v>195644940.8</v>
      </c>
      <c r="H107" s="3"/>
      <c r="I107" s="3" t="str">
        <f>IFERROR(__xludf.DUMMYFUNCTION("""COMPUTED_VALUE"""),"PRODUKSI")</f>
        <v>PRODUKSI</v>
      </c>
    </row>
    <row r="108">
      <c r="A108" s="3" t="str">
        <f>IFERROR(__xludf.DUMMYFUNCTION("""COMPUTED_VALUE"""),"2023-06-15")</f>
        <v>2023-06-15</v>
      </c>
      <c r="B108" s="3" t="str">
        <f>IFERROR(__xludf.DUMMYFUNCTION("""COMPUTED_VALUE"""),"TRSF E-BANKING DB")</f>
        <v>TRSF E-BANKING DB</v>
      </c>
      <c r="C108" s="3" t="str">
        <f>IFERROR(__xludf.DUMMYFUNCTION("""COMPUTED_VALUE"""),"1506/FTSCY/WS95011 121613140.00 krg 80 jt kd sunardi jbg LAJU SATWA WISESA")</f>
        <v>1506/FTSCY/WS95011 121613140.00 krg 80 jt kd sunardi jbg LAJU SATWA WISESA</v>
      </c>
      <c r="D108" s="3">
        <f>IFERROR(__xludf.DUMMYFUNCTION("""COMPUTED_VALUE"""),1.2161314E8)</f>
        <v>121613140</v>
      </c>
      <c r="E108" s="3"/>
      <c r="F108" s="3" t="str">
        <f>IFERROR(__xludf.DUMMYFUNCTION("""COMPUTED_VALUE"""),"DB")</f>
        <v>DB</v>
      </c>
      <c r="G108" s="3">
        <f>IFERROR(__xludf.DUMMYFUNCTION("""COMPUTED_VALUE"""),7.403180075999999E7)</f>
        <v>74031800.76</v>
      </c>
      <c r="H108" s="3"/>
      <c r="I108" s="3" t="str">
        <f>IFERROR(__xludf.DUMMYFUNCTION("""COMPUTED_VALUE"""),"PRODUKSI")</f>
        <v>PRODUKSI</v>
      </c>
    </row>
    <row r="109">
      <c r="A109" s="3" t="str">
        <f>IFERROR(__xludf.DUMMYFUNCTION("""COMPUTED_VALUE"""),"2023-06-15")</f>
        <v>2023-06-15</v>
      </c>
      <c r="B109" s="3" t="str">
        <f>IFERROR(__xludf.DUMMYFUNCTION("""COMPUTED_VALUE"""),"TRSF E-BANKING DB")</f>
        <v>TRSF E-BANKING DB</v>
      </c>
      <c r="C109" s="3" t="str">
        <f>IFERROR(__xludf.DUMMYFUNCTION("""COMPUTED_VALUE"""),"1506/FTSCY/WS95011 127267270.00 Sat Jun 13 2023 14:00:00 GMT+0700 (Western Indonesia Time) ANDALAN YASA MITRA")</f>
        <v>1506/FTSCY/WS95011 127267270.00 Sat Jun 13 2023 14:00:00 GMT+0700 (Western Indonesia Time) ANDALAN YASA MITRA</v>
      </c>
      <c r="D109" s="3">
        <f>IFERROR(__xludf.DUMMYFUNCTION("""COMPUTED_VALUE"""),1.2726727E8)</f>
        <v>127267270</v>
      </c>
      <c r="E109" s="3"/>
      <c r="F109" s="3" t="str">
        <f>IFERROR(__xludf.DUMMYFUNCTION("""COMPUTED_VALUE"""),"DB")</f>
        <v>DB</v>
      </c>
      <c r="G109" s="3">
        <f>IFERROR(__xludf.DUMMYFUNCTION("""COMPUTED_VALUE"""),1.6026576076E8)</f>
        <v>160265760.8</v>
      </c>
      <c r="H109" s="3">
        <f>IFERROR(__xludf.DUMMYFUNCTION("""COMPUTED_VALUE"""),1.6026576076E8)</f>
        <v>160265760.8</v>
      </c>
      <c r="I109" s="3" t="str">
        <f>IFERROR(__xludf.DUMMYFUNCTION("""COMPUTED_VALUE"""),"PRODUKSI")</f>
        <v>PRODUKSI</v>
      </c>
    </row>
    <row r="110">
      <c r="A110" s="3" t="str">
        <f>IFERROR(__xludf.DUMMYFUNCTION("""COMPUTED_VALUE"""),"2023-06-16")</f>
        <v>2023-06-16</v>
      </c>
      <c r="B110" s="3" t="str">
        <f>IFERROR(__xludf.DUMMYFUNCTION("""COMPUTED_VALUE"""),"TRSF E-BANKING DB TANGGAL :15/06")</f>
        <v>TRSF E-BANKING DB TANGGAL :15/06</v>
      </c>
      <c r="C110" s="3" t="str">
        <f>IFERROR(__xludf.DUMMYFUNCTION("""COMPUTED_VALUE"""),"1506/FTSCY/WS95271 Sun Jun 14 2023 14:00:00 GMT+0700 (Western Indonesia Time) BINTANG TAMA SANTO")</f>
        <v>1506/FTSCY/WS95271 Sun Jun 14 2023 14:00:00 GMT+0700 (Western Indonesia Time) BINTANG TAMA SANTO</v>
      </c>
      <c r="D110" s="3">
        <f>IFERROR(__xludf.DUMMYFUNCTION("""COMPUTED_VALUE"""),6.75E7)</f>
        <v>67500000</v>
      </c>
      <c r="E110" s="3"/>
      <c r="F110" s="3" t="str">
        <f>IFERROR(__xludf.DUMMYFUNCTION("""COMPUTED_VALUE"""),"DB")</f>
        <v>DB</v>
      </c>
      <c r="G110" s="3">
        <f>IFERROR(__xludf.DUMMYFUNCTION("""COMPUTED_VALUE"""),9.276576075999999E7)</f>
        <v>92765760.76</v>
      </c>
      <c r="H110" s="3"/>
      <c r="I110" s="3" t="str">
        <f>IFERROR(__xludf.DUMMYFUNCTION("""COMPUTED_VALUE"""),"PRODUKSI")</f>
        <v>PRODUKSI</v>
      </c>
    </row>
    <row r="111">
      <c r="A111" s="3" t="str">
        <f>IFERROR(__xludf.DUMMYFUNCTION("""COMPUTED_VALUE"""),"2023-06-16")</f>
        <v>2023-06-16</v>
      </c>
      <c r="B111" s="3" t="str">
        <f>IFERROR(__xludf.DUMMYFUNCTION("""COMPUTED_VALUE"""),"TRSF E-BANKING DB TANGGAL :15/06")</f>
        <v>TRSF E-BANKING DB TANGGAL :15/06</v>
      </c>
      <c r="C111" s="3" t="str">
        <f>IFERROR(__xludf.DUMMYFUNCTION("""COMPUTED_VALUE"""),"1506/FTSCY/WS95011 Mon Jun 15 2023 14:00:00 GMT+0700 (Western Indonesia Time) PITIK DIGITAL INDO")</f>
        <v>1506/FTSCY/WS95011 Mon Jun 15 2023 14:00:00 GMT+0700 (Western Indonesia Time) PITIK DIGITAL INDO</v>
      </c>
      <c r="D111" s="3">
        <f>IFERROR(__xludf.DUMMYFUNCTION("""COMPUTED_VALUE"""),8.6805E7)</f>
        <v>86805000</v>
      </c>
      <c r="E111" s="3"/>
      <c r="F111" s="3" t="str">
        <f>IFERROR(__xludf.DUMMYFUNCTION("""COMPUTED_VALUE"""),"DB")</f>
        <v>DB</v>
      </c>
      <c r="G111" s="3">
        <f>IFERROR(__xludf.DUMMYFUNCTION("""COMPUTED_VALUE"""),5960760.75999999)</f>
        <v>5960760.76</v>
      </c>
      <c r="H111" s="3"/>
      <c r="I111" s="3" t="str">
        <f>IFERROR(__xludf.DUMMYFUNCTION("""COMPUTED_VALUE"""),"PRODUKSI")</f>
        <v>PRODUKSI</v>
      </c>
    </row>
    <row r="112">
      <c r="A112" s="3" t="str">
        <f>IFERROR(__xludf.DUMMYFUNCTION("""COMPUTED_VALUE"""),"2023-06-16")</f>
        <v>2023-06-16</v>
      </c>
      <c r="B112" s="3" t="str">
        <f>IFERROR(__xludf.DUMMYFUNCTION("""COMPUTED_VALUE"""),"TRSF E-BANKING DB")</f>
        <v>TRSF E-BANKING DB</v>
      </c>
      <c r="C112" s="3" t="str">
        <f>IFERROR(__xludf.DUMMYFUNCTION("""COMPUTED_VALUE"""),"1606/FTSCY/WS95011 80000000.00 pelunasan jombang LAJU SATWA WISESA")</f>
        <v>1606/FTSCY/WS95011 80000000.00 pelunasan jombang LAJU SATWA WISESA</v>
      </c>
      <c r="D112" s="3">
        <f>IFERROR(__xludf.DUMMYFUNCTION("""COMPUTED_VALUE"""),8.0E7)</f>
        <v>80000000</v>
      </c>
      <c r="E112" s="3"/>
      <c r="F112" s="3" t="str">
        <f>IFERROR(__xludf.DUMMYFUNCTION("""COMPUTED_VALUE"""),"DB")</f>
        <v>DB</v>
      </c>
      <c r="G112" s="3">
        <f>IFERROR(__xludf.DUMMYFUNCTION("""COMPUTED_VALUE"""),4.9915558076E8)</f>
        <v>499155580.8</v>
      </c>
      <c r="H112" s="3"/>
      <c r="I112" s="3" t="str">
        <f>IFERROR(__xludf.DUMMYFUNCTION("""COMPUTED_VALUE"""),"PRODUKSI")</f>
        <v>PRODUKSI</v>
      </c>
    </row>
    <row r="113">
      <c r="A113" s="3" t="str">
        <f>IFERROR(__xludf.DUMMYFUNCTION("""COMPUTED_VALUE"""),"2023-06-16")</f>
        <v>2023-06-16</v>
      </c>
      <c r="B113" s="3" t="str">
        <f>IFERROR(__xludf.DUMMYFUNCTION("""COMPUTED_VALUE"""),"TRSF E-BANKING DB")</f>
        <v>TRSF E-BANKING DB</v>
      </c>
      <c r="C113" s="3" t="str">
        <f>IFERROR(__xludf.DUMMYFUNCTION("""COMPUTED_VALUE"""),"1606/FTSCY/WS95011 87018800.00 Sun Jun 14 2023 14:00:00 GMT+0700 (Western Indonesia Time) LAJU SATWA WISESA")</f>
        <v>1606/FTSCY/WS95011 87018800.00 Sun Jun 14 2023 14:00:00 GMT+0700 (Western Indonesia Time) LAJU SATWA WISESA</v>
      </c>
      <c r="D113" s="3">
        <f>IFERROR(__xludf.DUMMYFUNCTION("""COMPUTED_VALUE"""),8.70188E7)</f>
        <v>87018800</v>
      </c>
      <c r="E113" s="3"/>
      <c r="F113" s="3" t="str">
        <f>IFERROR(__xludf.DUMMYFUNCTION("""COMPUTED_VALUE"""),"DB")</f>
        <v>DB</v>
      </c>
      <c r="G113" s="3">
        <f>IFERROR(__xludf.DUMMYFUNCTION("""COMPUTED_VALUE"""),4.1213678076E8)</f>
        <v>412136780.8</v>
      </c>
      <c r="H113" s="3"/>
      <c r="I113" s="3" t="str">
        <f>IFERROR(__xludf.DUMMYFUNCTION("""COMPUTED_VALUE"""),"PRODUKSI")</f>
        <v>PRODUKSI</v>
      </c>
    </row>
    <row r="114">
      <c r="A114" s="3" t="str">
        <f>IFERROR(__xludf.DUMMYFUNCTION("""COMPUTED_VALUE"""),"2023-06-16")</f>
        <v>2023-06-16</v>
      </c>
      <c r="B114" s="3" t="str">
        <f>IFERROR(__xludf.DUMMYFUNCTION("""COMPUTED_VALUE"""),"TRSF E-BANKING DB")</f>
        <v>TRSF E-BANKING DB</v>
      </c>
      <c r="C114" s="3" t="str">
        <f>IFERROR(__xludf.DUMMYFUNCTION("""COMPUTED_VALUE"""),"1606/FTSCY/WS95011 110700000.00 Sun Jun 14 2023 14:00:00 GMT+0700 (Western Indonesia Time) BINTANG TAMA SANTO")</f>
        <v>1606/FTSCY/WS95011 110700000.00 Sun Jun 14 2023 14:00:00 GMT+0700 (Western Indonesia Time) BINTANG TAMA SANTO</v>
      </c>
      <c r="D114" s="3">
        <f>IFERROR(__xludf.DUMMYFUNCTION("""COMPUTED_VALUE"""),1.107E8)</f>
        <v>110700000</v>
      </c>
      <c r="E114" s="3"/>
      <c r="F114" s="3" t="str">
        <f>IFERROR(__xludf.DUMMYFUNCTION("""COMPUTED_VALUE"""),"DB")</f>
        <v>DB</v>
      </c>
      <c r="G114" s="3">
        <f>IFERROR(__xludf.DUMMYFUNCTION("""COMPUTED_VALUE"""),3.0143678076E8)</f>
        <v>301436780.8</v>
      </c>
      <c r="H114" s="3"/>
      <c r="I114" s="3" t="str">
        <f>IFERROR(__xludf.DUMMYFUNCTION("""COMPUTED_VALUE"""),"PRODUKSI")</f>
        <v>PRODUKSI</v>
      </c>
    </row>
    <row r="115">
      <c r="A115" s="3" t="str">
        <f>IFERROR(__xludf.DUMMYFUNCTION("""COMPUTED_VALUE"""),"2023-06-16")</f>
        <v>2023-06-16</v>
      </c>
      <c r="B115" s="3" t="str">
        <f>IFERROR(__xludf.DUMMYFUNCTION("""COMPUTED_VALUE"""),"TRSF E-BANKING DB")</f>
        <v>TRSF E-BANKING DB</v>
      </c>
      <c r="C115" s="3" t="str">
        <f>IFERROR(__xludf.DUMMYFUNCTION("""COMPUTED_VALUE"""),"1606/FTSCY/WS95011 51832000.00 Tue Jun 16 2023 14:00:00 GMT+0700 (Western Indonesia Time) ANUGERAH KARTIKA A")</f>
        <v>1606/FTSCY/WS95011 51832000.00 Tue Jun 16 2023 14:00:00 GMT+0700 (Western Indonesia Time) ANUGERAH KARTIKA A</v>
      </c>
      <c r="D115" s="3">
        <f>IFERROR(__xludf.DUMMYFUNCTION("""COMPUTED_VALUE"""),5.1832E7)</f>
        <v>51832000</v>
      </c>
      <c r="E115" s="3"/>
      <c r="F115" s="3" t="str">
        <f>IFERROR(__xludf.DUMMYFUNCTION("""COMPUTED_VALUE"""),"DB")</f>
        <v>DB</v>
      </c>
      <c r="G115" s="3">
        <f>IFERROR(__xludf.DUMMYFUNCTION("""COMPUTED_VALUE"""),2.4960478076E8)</f>
        <v>249604780.8</v>
      </c>
      <c r="H115" s="3"/>
      <c r="I115" s="3" t="str">
        <f>IFERROR(__xludf.DUMMYFUNCTION("""COMPUTED_VALUE"""),"PRODUKSI")</f>
        <v>PRODUKSI</v>
      </c>
    </row>
    <row r="116">
      <c r="A116" s="3" t="str">
        <f>IFERROR(__xludf.DUMMYFUNCTION("""COMPUTED_VALUE"""),"2023-06-16")</f>
        <v>2023-06-16</v>
      </c>
      <c r="B116" s="3" t="str">
        <f>IFERROR(__xludf.DUMMYFUNCTION("""COMPUTED_VALUE"""),"TRSF E-BANKING DB")</f>
        <v>TRSF E-BANKING DB</v>
      </c>
      <c r="C116" s="3" t="str">
        <f>IFERROR(__xludf.DUMMYFUNCTION("""COMPUTED_VALUE"""),"1606/FTSCY/WS95011 64462500.00 Mon Sep 14 2023 14:00:00 GMT+0700 (Western Indonesia Time) BINTANG TAMA SANTO")</f>
        <v>1606/FTSCY/WS95011 64462500.00 Mon Sep 14 2023 14:00:00 GMT+0700 (Western Indonesia Time) BINTANG TAMA SANTO</v>
      </c>
      <c r="D116" s="3">
        <f>IFERROR(__xludf.DUMMYFUNCTION("""COMPUTED_VALUE"""),6.44625E7)</f>
        <v>64462500</v>
      </c>
      <c r="E116" s="3"/>
      <c r="F116" s="3" t="str">
        <f>IFERROR(__xludf.DUMMYFUNCTION("""COMPUTED_VALUE"""),"DB")</f>
        <v>DB</v>
      </c>
      <c r="G116" s="3">
        <f>IFERROR(__xludf.DUMMYFUNCTION("""COMPUTED_VALUE"""),1.8514228076E8)</f>
        <v>185142280.8</v>
      </c>
      <c r="H116" s="3"/>
      <c r="I116" s="3" t="str">
        <f>IFERROR(__xludf.DUMMYFUNCTION("""COMPUTED_VALUE"""),"PRODUKSI")</f>
        <v>PRODUKSI</v>
      </c>
    </row>
    <row r="117">
      <c r="A117" s="3" t="str">
        <f>IFERROR(__xludf.DUMMYFUNCTION("""COMPUTED_VALUE"""),"2023-06-16")</f>
        <v>2023-06-16</v>
      </c>
      <c r="B117" s="3" t="str">
        <f>IFERROR(__xludf.DUMMYFUNCTION("""COMPUTED_VALUE"""),"TRSF E-BANKING DB")</f>
        <v>TRSF E-BANKING DB</v>
      </c>
      <c r="C117" s="3" t="str">
        <f>IFERROR(__xludf.DUMMYFUNCTION("""COMPUTED_VALUE"""),"1606/FTSCY/WS95011 67013520.00 Sun Jun 14 2023 14:00:00 GMT+0700 (Western Indonesia Time) ANDALAN YASA MITRA")</f>
        <v>1606/FTSCY/WS95011 67013520.00 Sun Jun 14 2023 14:00:00 GMT+0700 (Western Indonesia Time) ANDALAN YASA MITRA</v>
      </c>
      <c r="D117" s="3">
        <f>IFERROR(__xludf.DUMMYFUNCTION("""COMPUTED_VALUE"""),6.701352E7)</f>
        <v>67013520</v>
      </c>
      <c r="E117" s="3"/>
      <c r="F117" s="3" t="str">
        <f>IFERROR(__xludf.DUMMYFUNCTION("""COMPUTED_VALUE"""),"DB")</f>
        <v>DB</v>
      </c>
      <c r="G117" s="3">
        <f>IFERROR(__xludf.DUMMYFUNCTION("""COMPUTED_VALUE"""),1.1812876075999999E8)</f>
        <v>118128760.8</v>
      </c>
      <c r="H117" s="3"/>
      <c r="I117" s="3" t="str">
        <f>IFERROR(__xludf.DUMMYFUNCTION("""COMPUTED_VALUE"""),"PRODUKSI")</f>
        <v>PRODUKSI</v>
      </c>
    </row>
    <row r="118">
      <c r="A118" s="3" t="str">
        <f>IFERROR(__xludf.DUMMYFUNCTION("""COMPUTED_VALUE"""),"2023-06-16")</f>
        <v>2023-06-16</v>
      </c>
      <c r="B118" s="3" t="str">
        <f>IFERROR(__xludf.DUMMYFUNCTION("""COMPUTED_VALUE"""),"TRSF E-BANKING DB")</f>
        <v>TRSF E-BANKING DB</v>
      </c>
      <c r="C118" s="3" t="str">
        <f>IFERROR(__xludf.DUMMYFUNCTION("""COMPUTED_VALUE"""),"1606/FTSCY/WS95271 70400000.00 Mon Jun 15 2023 14:00:00 GMT+0700 (Western Indonesia Time) LAWU ABADI NUSA PT")</f>
        <v>1606/FTSCY/WS95271 70400000.00 Mon Jun 15 2023 14:00:00 GMT+0700 (Western Indonesia Time) LAWU ABADI NUSA PT</v>
      </c>
      <c r="D118" s="3">
        <f>IFERROR(__xludf.DUMMYFUNCTION("""COMPUTED_VALUE"""),7.04E7)</f>
        <v>70400000</v>
      </c>
      <c r="E118" s="3"/>
      <c r="F118" s="3" t="str">
        <f>IFERROR(__xludf.DUMMYFUNCTION("""COMPUTED_VALUE"""),"DB")</f>
        <v>DB</v>
      </c>
      <c r="G118" s="3">
        <f>IFERROR(__xludf.DUMMYFUNCTION("""COMPUTED_VALUE"""),2.8339616076E8)</f>
        <v>283396160.8</v>
      </c>
      <c r="H118" s="3">
        <f>IFERROR(__xludf.DUMMYFUNCTION("""COMPUTED_VALUE"""),2.8339616076E8)</f>
        <v>283396160.8</v>
      </c>
      <c r="I118" s="3" t="str">
        <f>IFERROR(__xludf.DUMMYFUNCTION("""COMPUTED_VALUE"""),"PRODUKSI")</f>
        <v>PRODUKSI</v>
      </c>
    </row>
    <row r="119">
      <c r="A119" s="3" t="str">
        <f>IFERROR(__xludf.DUMMYFUNCTION("""COMPUTED_VALUE"""),"2023-06-16")</f>
        <v>2023-06-16</v>
      </c>
      <c r="B119" s="3" t="str">
        <f>IFERROR(__xludf.DUMMYFUNCTION("""COMPUTED_VALUE"""),"TRSF E-BANKING DB")</f>
        <v>TRSF E-BANKING DB</v>
      </c>
      <c r="C119" s="3" t="str">
        <f>IFERROR(__xludf.DUMMYFUNCTION("""COMPUTED_VALUE"""),"1606/FTSCY/WS95271 138369200.00 Sun Jun 14 2023 14:00:00 GMT+0700 (Western Indonesia Time) BROILER MAKMUR TAN")</f>
        <v>1606/FTSCY/WS95271 138369200.00 Sun Jun 14 2023 14:00:00 GMT+0700 (Western Indonesia Time) BROILER MAKMUR TAN</v>
      </c>
      <c r="D119" s="3">
        <f>IFERROR(__xludf.DUMMYFUNCTION("""COMPUTED_VALUE"""),1.383692E8)</f>
        <v>138369200</v>
      </c>
      <c r="E119" s="3"/>
      <c r="F119" s="3" t="str">
        <f>IFERROR(__xludf.DUMMYFUNCTION("""COMPUTED_VALUE"""),"DB")</f>
        <v>DB</v>
      </c>
      <c r="G119" s="3">
        <f>IFERROR(__xludf.DUMMYFUNCTION("""COMPUTED_VALUE"""),1.4502696076E8)</f>
        <v>145026960.8</v>
      </c>
      <c r="H119" s="3"/>
      <c r="I119" s="3" t="str">
        <f>IFERROR(__xludf.DUMMYFUNCTION("""COMPUTED_VALUE"""),"PRODUKSI")</f>
        <v>PRODUKSI</v>
      </c>
    </row>
    <row r="120">
      <c r="A120" s="3" t="str">
        <f>IFERROR(__xludf.DUMMYFUNCTION("""COMPUTED_VALUE"""),"2023-06-16")</f>
        <v>2023-06-16</v>
      </c>
      <c r="B120" s="3" t="str">
        <f>IFERROR(__xludf.DUMMYFUNCTION("""COMPUTED_VALUE"""),"BIAYA ADM")</f>
        <v>BIAYA ADM</v>
      </c>
      <c r="C120" s="3" t="str">
        <f>IFERROR(__xludf.DUMMYFUNCTION("""COMPUTED_VALUE"""),"BIAYA ADM")</f>
        <v>BIAYA ADM</v>
      </c>
      <c r="D120" s="3">
        <f>IFERROR(__xludf.DUMMYFUNCTION("""COMPUTED_VALUE"""),19000.0)</f>
        <v>19000</v>
      </c>
      <c r="E120" s="3"/>
      <c r="F120" s="3"/>
      <c r="G120" s="3">
        <f>IFERROR(__xludf.DUMMYFUNCTION("""COMPUTED_VALUE"""),2.5770878076E8)</f>
        <v>257708780.8</v>
      </c>
      <c r="H120" s="3">
        <f>IFERROR(__xludf.DUMMYFUNCTION("""COMPUTED_VALUE"""),2.5770878076E8)</f>
        <v>257708780.8</v>
      </c>
      <c r="I120" s="3" t="str">
        <f>IFERROR(__xludf.DUMMYFUNCTION("""COMPUTED_VALUE"""),"PRODUKSI")</f>
        <v>PRODUKSI</v>
      </c>
    </row>
    <row r="121">
      <c r="A121" s="3" t="str">
        <f>IFERROR(__xludf.DUMMYFUNCTION("""COMPUTED_VALUE"""),"2023-06-17")</f>
        <v>2023-06-17</v>
      </c>
      <c r="B121" s="3" t="str">
        <f>IFERROR(__xludf.DUMMYFUNCTION("""COMPUTED_VALUE"""),"TRSF E-BANKING DB")</f>
        <v>TRSF E-BANKING DB</v>
      </c>
      <c r="C121" s="3" t="str">
        <f>IFERROR(__xludf.DUMMYFUNCTION("""COMPUTED_VALUE"""),"1706/FTSCY/WS95031 60000000.00 titip TERNAK SEJATI TABA")</f>
        <v>1706/FTSCY/WS95031 60000000.00 titip TERNAK SEJATI TABA</v>
      </c>
      <c r="D121" s="3">
        <f>IFERROR(__xludf.DUMMYFUNCTION("""COMPUTED_VALUE"""),6.0E7)</f>
        <v>60000000</v>
      </c>
      <c r="E121" s="3"/>
      <c r="F121" s="3" t="str">
        <f>IFERROR(__xludf.DUMMYFUNCTION("""COMPUTED_VALUE"""),"DB")</f>
        <v>DB</v>
      </c>
      <c r="G121" s="3">
        <f>IFERROR(__xludf.DUMMYFUNCTION("""COMPUTED_VALUE"""),1.9770878076E8)</f>
        <v>197708780.8</v>
      </c>
      <c r="H121" s="3"/>
      <c r="I121" s="3" t="str">
        <f>IFERROR(__xludf.DUMMYFUNCTION("""COMPUTED_VALUE"""),"PRODUKSI")</f>
        <v>PRODUKSI</v>
      </c>
    </row>
    <row r="122">
      <c r="A122" s="3" t="str">
        <f>IFERROR(__xludf.DUMMYFUNCTION("""COMPUTED_VALUE"""),"2023-06-17")</f>
        <v>2023-06-17</v>
      </c>
      <c r="B122" s="3" t="str">
        <f>IFERROR(__xludf.DUMMYFUNCTION("""COMPUTED_VALUE"""),"TRSF E-BANKING DB")</f>
        <v>TRSF E-BANKING DB</v>
      </c>
      <c r="C122" s="3" t="str">
        <f>IFERROR(__xludf.DUMMYFUNCTION("""COMPUTED_VALUE"""),"1706/FTSCY/WS95031 10754200.00 pelunasan TERNAK SEJATI TABA")</f>
        <v>1706/FTSCY/WS95031 10754200.00 pelunasan TERNAK SEJATI TABA</v>
      </c>
      <c r="D122" s="3">
        <f>IFERROR(__xludf.DUMMYFUNCTION("""COMPUTED_VALUE"""),1.07542E7)</f>
        <v>10754200</v>
      </c>
      <c r="E122" s="3"/>
      <c r="F122" s="3" t="str">
        <f>IFERROR(__xludf.DUMMYFUNCTION("""COMPUTED_VALUE"""),"DB")</f>
        <v>DB</v>
      </c>
      <c r="G122" s="3">
        <f>IFERROR(__xludf.DUMMYFUNCTION("""COMPUTED_VALUE"""),1.8695458076E8)</f>
        <v>186954580.8</v>
      </c>
      <c r="H122" s="3"/>
      <c r="I122" s="3" t="str">
        <f>IFERROR(__xludf.DUMMYFUNCTION("""COMPUTED_VALUE"""),"PRODUKSI")</f>
        <v>PRODUKSI</v>
      </c>
    </row>
    <row r="123">
      <c r="A123" s="3" t="str">
        <f>IFERROR(__xludf.DUMMYFUNCTION("""COMPUTED_VALUE"""),"2023-06-17")</f>
        <v>2023-06-17</v>
      </c>
      <c r="B123" s="3" t="str">
        <f>IFERROR(__xludf.DUMMYFUNCTION("""COMPUTED_VALUE"""),"TRSF E-BANKING DB")</f>
        <v>TRSF E-BANKING DB</v>
      </c>
      <c r="C123" s="3" t="str">
        <f>IFERROR(__xludf.DUMMYFUNCTION("""COMPUTED_VALUE"""),"1706/FTSCY/WS95271 140936700.00 Mon Jun 15 2023 14:00:00 GMT+0700 (Western Indonesia Time) BINTANG TAMA SANTO")</f>
        <v>1706/FTSCY/WS95271 140936700.00 Mon Jun 15 2023 14:00:00 GMT+0700 (Western Indonesia Time) BINTANG TAMA SANTO</v>
      </c>
      <c r="D123" s="3">
        <f>IFERROR(__xludf.DUMMYFUNCTION("""COMPUTED_VALUE"""),1.409367E8)</f>
        <v>140936700</v>
      </c>
      <c r="E123" s="3"/>
      <c r="F123" s="3" t="str">
        <f>IFERROR(__xludf.DUMMYFUNCTION("""COMPUTED_VALUE"""),"DB")</f>
        <v>DB</v>
      </c>
      <c r="G123" s="3">
        <f>IFERROR(__xludf.DUMMYFUNCTION("""COMPUTED_VALUE"""),4.601788075999999E7)</f>
        <v>46017880.76</v>
      </c>
      <c r="H123" s="3"/>
      <c r="I123" s="3" t="str">
        <f>IFERROR(__xludf.DUMMYFUNCTION("""COMPUTED_VALUE"""),"PRODUKSI")</f>
        <v>PRODUKSI</v>
      </c>
    </row>
    <row r="124">
      <c r="A124" s="3" t="str">
        <f>IFERROR(__xludf.DUMMYFUNCTION("""COMPUTED_VALUE"""),"2023-06-17")</f>
        <v>2023-06-17</v>
      </c>
      <c r="B124" s="3" t="str">
        <f>IFERROR(__xludf.DUMMYFUNCTION("""COMPUTED_VALUE"""),"TRSF E-BANKING DB")</f>
        <v>TRSF E-BANKING DB</v>
      </c>
      <c r="C124" s="3" t="str">
        <f>IFERROR(__xludf.DUMMYFUNCTION("""COMPUTED_VALUE"""),"1706/FTSCY/WS95271 64001250.00 Mon Jun 15 2023 14:00:00 GMT+0700 (Western Indonesia Time) ANUGERAH KARTIKA A")</f>
        <v>1706/FTSCY/WS95271 64001250.00 Mon Jun 15 2023 14:00:00 GMT+0700 (Western Indonesia Time) ANUGERAH KARTIKA A</v>
      </c>
      <c r="D124" s="3">
        <f>IFERROR(__xludf.DUMMYFUNCTION("""COMPUTED_VALUE"""),6.400125E7)</f>
        <v>64001250</v>
      </c>
      <c r="E124" s="3"/>
      <c r="F124" s="3" t="str">
        <f>IFERROR(__xludf.DUMMYFUNCTION("""COMPUTED_VALUE"""),"DB")</f>
        <v>DB</v>
      </c>
      <c r="G124" s="3">
        <f>IFERROR(__xludf.DUMMYFUNCTION("""COMPUTED_VALUE"""),7.3713638076E8)</f>
        <v>737136380.8</v>
      </c>
      <c r="H124" s="3">
        <f>IFERROR(__xludf.DUMMYFUNCTION("""COMPUTED_VALUE"""),7.3713638076E8)</f>
        <v>737136380.8</v>
      </c>
      <c r="I124" s="3" t="str">
        <f>IFERROR(__xludf.DUMMYFUNCTION("""COMPUTED_VALUE"""),"PRODUKSI")</f>
        <v>PRODUKSI</v>
      </c>
    </row>
    <row r="125">
      <c r="A125" s="3" t="str">
        <f>IFERROR(__xludf.DUMMYFUNCTION("""COMPUTED_VALUE"""),"2023-06-17")</f>
        <v>2023-06-17</v>
      </c>
      <c r="B125" s="3" t="str">
        <f>IFERROR(__xludf.DUMMYFUNCTION("""COMPUTED_VALUE"""),"TRSF E-BANKING DB")</f>
        <v>TRSF E-BANKING DB</v>
      </c>
      <c r="C125" s="3" t="str">
        <f>IFERROR(__xludf.DUMMYFUNCTION("""COMPUTED_VALUE"""),"1706/FTSCY/WS95011 172693400.00 Mon Jun 15 2023 14:00:00 GMT+0700 (Western Indonesia Time) LAJU SATWA WISESA")</f>
        <v>1706/FTSCY/WS95011 172693400.00 Mon Jun 15 2023 14:00:00 GMT+0700 (Western Indonesia Time) LAJU SATWA WISESA</v>
      </c>
      <c r="D125" s="3">
        <f>IFERROR(__xludf.DUMMYFUNCTION("""COMPUTED_VALUE"""),1.726934E8)</f>
        <v>172693400</v>
      </c>
      <c r="E125" s="3"/>
      <c r="F125" s="3" t="str">
        <f>IFERROR(__xludf.DUMMYFUNCTION("""COMPUTED_VALUE"""),"DB")</f>
        <v>DB</v>
      </c>
      <c r="G125" s="3">
        <f>IFERROR(__xludf.DUMMYFUNCTION("""COMPUTED_VALUE"""),5.6444298076E8)</f>
        <v>564442980.8</v>
      </c>
      <c r="H125" s="3">
        <f>IFERROR(__xludf.DUMMYFUNCTION("""COMPUTED_VALUE"""),5.6444298076E8)</f>
        <v>564442980.8</v>
      </c>
      <c r="I125" s="3" t="str">
        <f>IFERROR(__xludf.DUMMYFUNCTION("""COMPUTED_VALUE"""),"PRODUKSI")</f>
        <v>PRODUKSI</v>
      </c>
    </row>
    <row r="126">
      <c r="A126" s="3" t="str">
        <f>IFERROR(__xludf.DUMMYFUNCTION("""COMPUTED_VALUE"""),"2023-06-17")</f>
        <v>2023-06-17</v>
      </c>
      <c r="B126" s="3" t="str">
        <f>IFERROR(__xludf.DUMMYFUNCTION("""COMPUTED_VALUE"""),"TRSF E-BANKING DB")</f>
        <v>TRSF E-BANKING DB</v>
      </c>
      <c r="C126" s="3" t="str">
        <f>IFERROR(__xludf.DUMMYFUNCTION("""COMPUTED_VALUE"""),"1706/FTSCY/WS95011 159461330.00 Mon Jun 15 2023 14:00:00 GMT+0700 (Western Indonesia Time) BROILER MAKMUR TAN")</f>
        <v>1706/FTSCY/WS95011 159461330.00 Mon Jun 15 2023 14:00:00 GMT+0700 (Western Indonesia Time) BROILER MAKMUR TAN</v>
      </c>
      <c r="D126" s="3">
        <f>IFERROR(__xludf.DUMMYFUNCTION("""COMPUTED_VALUE"""),1.5946133E8)</f>
        <v>159461330</v>
      </c>
      <c r="E126" s="3"/>
      <c r="F126" s="3" t="str">
        <f>IFERROR(__xludf.DUMMYFUNCTION("""COMPUTED_VALUE"""),"DB")</f>
        <v>DB</v>
      </c>
      <c r="G126" s="3">
        <f>IFERROR(__xludf.DUMMYFUNCTION("""COMPUTED_VALUE"""),4.0498165076E8)</f>
        <v>404981650.8</v>
      </c>
      <c r="H126" s="3"/>
      <c r="I126" s="3" t="str">
        <f>IFERROR(__xludf.DUMMYFUNCTION("""COMPUTED_VALUE"""),"PRODUKSI")</f>
        <v>PRODUKSI</v>
      </c>
    </row>
    <row r="127">
      <c r="A127" s="3" t="str">
        <f>IFERROR(__xludf.DUMMYFUNCTION("""COMPUTED_VALUE"""),"2023-06-17")</f>
        <v>2023-06-17</v>
      </c>
      <c r="B127" s="3" t="str">
        <f>IFERROR(__xludf.DUMMYFUNCTION("""COMPUTED_VALUE"""),"TRSF E-BANKING DB")</f>
        <v>TRSF E-BANKING DB</v>
      </c>
      <c r="C127" s="3" t="str">
        <f>IFERROR(__xludf.DUMMYFUNCTION("""COMPUTED_VALUE"""),"1706/FTSCY/WS95011 66105000.00 Mon Jun 15 2023 14:00:00 GMT+0700 (Western Indonesia Time) ANUGERAH KARTIKA A")</f>
        <v>1706/FTSCY/WS95011 66105000.00 Mon Jun 15 2023 14:00:00 GMT+0700 (Western Indonesia Time) ANUGERAH KARTIKA A</v>
      </c>
      <c r="D127" s="3">
        <f>IFERROR(__xludf.DUMMYFUNCTION("""COMPUTED_VALUE"""),6.6105E7)</f>
        <v>66105000</v>
      </c>
      <c r="E127" s="3"/>
      <c r="F127" s="3" t="str">
        <f>IFERROR(__xludf.DUMMYFUNCTION("""COMPUTED_VALUE"""),"DB")</f>
        <v>DB</v>
      </c>
      <c r="G127" s="3">
        <f>IFERROR(__xludf.DUMMYFUNCTION("""COMPUTED_VALUE"""),3.3887665076E8)</f>
        <v>338876650.8</v>
      </c>
      <c r="H127" s="3"/>
      <c r="I127" s="3" t="str">
        <f>IFERROR(__xludf.DUMMYFUNCTION("""COMPUTED_VALUE"""),"PRODUKSI")</f>
        <v>PRODUKSI</v>
      </c>
    </row>
    <row r="128">
      <c r="A128" s="3" t="str">
        <f>IFERROR(__xludf.DUMMYFUNCTION("""COMPUTED_VALUE"""),"2023-06-17")</f>
        <v>2023-06-17</v>
      </c>
      <c r="B128" s="3" t="str">
        <f>IFERROR(__xludf.DUMMYFUNCTION("""COMPUTED_VALUE"""),"TRSF E-BANKING DB")</f>
        <v>TRSF E-BANKING DB</v>
      </c>
      <c r="C128" s="3" t="str">
        <f>IFERROR(__xludf.DUMMYFUNCTION("""COMPUTED_VALUE"""),"1706/FTFVA/WS95031 55569/PT PRIMA FAJ mlg 3800kg - 40190")</f>
        <v>1706/FTFVA/WS95031 55569/PT PRIMA FAJ mlg 3800kg - 40190</v>
      </c>
      <c r="D128" s="3">
        <f>IFERROR(__xludf.DUMMYFUNCTION("""COMPUTED_VALUE"""),8.47945E7)</f>
        <v>84794500</v>
      </c>
      <c r="E128" s="3"/>
      <c r="F128" s="3" t="str">
        <f>IFERROR(__xludf.DUMMYFUNCTION("""COMPUTED_VALUE"""),"DB")</f>
        <v>DB</v>
      </c>
      <c r="G128" s="3">
        <f>IFERROR(__xludf.DUMMYFUNCTION("""COMPUTED_VALUE"""),4.0315809076E8)</f>
        <v>403158090.8</v>
      </c>
      <c r="H128" s="3"/>
      <c r="I128" s="3" t="str">
        <f>IFERROR(__xludf.DUMMYFUNCTION("""COMPUTED_VALUE"""),"PRODUKSI")</f>
        <v>PRODUKSI</v>
      </c>
    </row>
    <row r="129">
      <c r="A129" s="3" t="str">
        <f>IFERROR(__xludf.DUMMYFUNCTION("""COMPUTED_VALUE"""),"2023-06-17")</f>
        <v>2023-06-17</v>
      </c>
      <c r="B129" s="3" t="str">
        <f>IFERROR(__xludf.DUMMYFUNCTION("""COMPUTED_VALUE"""),"TRSF E-BANKING DB")</f>
        <v>TRSF E-BANKING DB</v>
      </c>
      <c r="C129" s="3" t="str">
        <f>IFERROR(__xludf.DUMMYFUNCTION("""COMPUTED_VALUE"""),"1706/FTSCY/WS95271 40000000.00 SANDI FAJAR PRASET")</f>
        <v>1706/FTSCY/WS95271 40000000.00 SANDI FAJAR PRASET</v>
      </c>
      <c r="D129" s="3">
        <f>IFERROR(__xludf.DUMMYFUNCTION("""COMPUTED_VALUE"""),4.0E7)</f>
        <v>40000000</v>
      </c>
      <c r="E129" s="3"/>
      <c r="F129" s="3" t="str">
        <f>IFERROR(__xludf.DUMMYFUNCTION("""COMPUTED_VALUE"""),"DB")</f>
        <v>DB</v>
      </c>
      <c r="G129" s="3">
        <f>IFERROR(__xludf.DUMMYFUNCTION("""COMPUTED_VALUE"""),3.6315809076E8)</f>
        <v>363158090.8</v>
      </c>
      <c r="H129" s="3"/>
      <c r="I129" s="3" t="str">
        <f>IFERROR(__xludf.DUMMYFUNCTION("""COMPUTED_VALUE"""),"PRODUKSI")</f>
        <v>PRODUKSI</v>
      </c>
    </row>
    <row r="130">
      <c r="A130" s="3" t="str">
        <f>IFERROR(__xludf.DUMMYFUNCTION("""COMPUTED_VALUE"""),"2023-06-18")</f>
        <v>2023-06-18</v>
      </c>
      <c r="B130" s="3" t="str">
        <f>IFERROR(__xludf.DUMMYFUNCTION("""COMPUTED_VALUE"""),"TRSF E-BANKING DB")</f>
        <v>TRSF E-BANKING DB</v>
      </c>
      <c r="C130" s="3" t="str">
        <f>IFERROR(__xludf.DUMMYFUNCTION("""COMPUTED_VALUE"""),"1806/FTSCY/WS95031 81435200.00 Tue Jun 16 2023 14:00:00 GMT+0700 (Western Indonesia Time) LAWU ABADI NUSA PT")</f>
        <v>1806/FTSCY/WS95031 81435200.00 Tue Jun 16 2023 14:00:00 GMT+0700 (Western Indonesia Time) LAWU ABADI NUSA PT</v>
      </c>
      <c r="D130" s="3">
        <f>IFERROR(__xludf.DUMMYFUNCTION("""COMPUTED_VALUE"""),8.14352E7)</f>
        <v>81435200</v>
      </c>
      <c r="E130" s="3"/>
      <c r="F130" s="3" t="str">
        <f>IFERROR(__xludf.DUMMYFUNCTION("""COMPUTED_VALUE"""),"DB")</f>
        <v>DB</v>
      </c>
      <c r="G130" s="3">
        <f>IFERROR(__xludf.DUMMYFUNCTION("""COMPUTED_VALUE"""),2.8131289076E8)</f>
        <v>281312890.8</v>
      </c>
      <c r="H130" s="3">
        <f>IFERROR(__xludf.DUMMYFUNCTION("""COMPUTED_VALUE"""),2.8131289076E8)</f>
        <v>281312890.8</v>
      </c>
      <c r="I130" s="3" t="str">
        <f>IFERROR(__xludf.DUMMYFUNCTION("""COMPUTED_VALUE"""),"PRODUKSI")</f>
        <v>PRODUKSI</v>
      </c>
    </row>
    <row r="131">
      <c r="A131" s="3" t="str">
        <f>IFERROR(__xludf.DUMMYFUNCTION("""COMPUTED_VALUE"""),"2023-06-18")</f>
        <v>2023-06-18</v>
      </c>
      <c r="B131" s="3" t="str">
        <f>IFERROR(__xludf.DUMMYFUNCTION("""COMPUTED_VALUE"""),"TRSF E-BANKING DB")</f>
        <v>TRSF E-BANKING DB</v>
      </c>
      <c r="C131" s="3" t="str">
        <f>IFERROR(__xludf.DUMMYFUNCTION("""COMPUTED_VALUE"""),"1806/FTSCY/WS95271 86811900.00 Thu Jun 11 2023 14:00:00 GMT+0700 (Western Indonesia Time) SUPER UNGGAS JAYA")</f>
        <v>1806/FTSCY/WS95271 86811900.00 Thu Jun 11 2023 14:00:00 GMT+0700 (Western Indonesia Time) SUPER UNGGAS JAYA</v>
      </c>
      <c r="D131" s="3">
        <f>IFERROR(__xludf.DUMMYFUNCTION("""COMPUTED_VALUE"""),8.68119E7)</f>
        <v>86811900</v>
      </c>
      <c r="E131" s="3"/>
      <c r="F131" s="3" t="str">
        <f>IFERROR(__xludf.DUMMYFUNCTION("""COMPUTED_VALUE"""),"DB")</f>
        <v>DB</v>
      </c>
      <c r="G131" s="3">
        <f>IFERROR(__xludf.DUMMYFUNCTION("""COMPUTED_VALUE"""),2.8281418076E8)</f>
        <v>282814180.8</v>
      </c>
      <c r="H131" s="3"/>
      <c r="I131" s="3" t="str">
        <f>IFERROR(__xludf.DUMMYFUNCTION("""COMPUTED_VALUE"""),"PRODUKSI")</f>
        <v>PRODUKSI</v>
      </c>
    </row>
    <row r="132">
      <c r="A132" s="3" t="str">
        <f>IFERROR(__xludf.DUMMYFUNCTION("""COMPUTED_VALUE"""),"2023-06-18")</f>
        <v>2023-06-18</v>
      </c>
      <c r="B132" s="3" t="str">
        <f>IFERROR(__xludf.DUMMYFUNCTION("""COMPUTED_VALUE"""),"TRSF E-BANKING DB")</f>
        <v>TRSF E-BANKING DB</v>
      </c>
      <c r="C132" s="3" t="str">
        <f>IFERROR(__xludf.DUMMYFUNCTION("""COMPUTED_VALUE"""),"1806/FTSCY/WS95271 64732500.00 Tue Jun 16 2023 14:00:00 GMT+0700 (Western Indonesia Time) ANUGERAH KARTIKA A")</f>
        <v>1806/FTSCY/WS95271 64732500.00 Tue Jun 16 2023 14:00:00 GMT+0700 (Western Indonesia Time) ANUGERAH KARTIKA A</v>
      </c>
      <c r="D132" s="3">
        <f>IFERROR(__xludf.DUMMYFUNCTION("""COMPUTED_VALUE"""),6.47325E7)</f>
        <v>64732500</v>
      </c>
      <c r="E132" s="3"/>
      <c r="F132" s="3" t="str">
        <f>IFERROR(__xludf.DUMMYFUNCTION("""COMPUTED_VALUE"""),"DB")</f>
        <v>DB</v>
      </c>
      <c r="G132" s="3">
        <f>IFERROR(__xludf.DUMMYFUNCTION("""COMPUTED_VALUE"""),2.1808168076E8)</f>
        <v>218081680.8</v>
      </c>
      <c r="H132" s="3"/>
      <c r="I132" s="3" t="str">
        <f>IFERROR(__xludf.DUMMYFUNCTION("""COMPUTED_VALUE"""),"PRODUKSI")</f>
        <v>PRODUKSI</v>
      </c>
    </row>
    <row r="133">
      <c r="A133" s="3" t="str">
        <f>IFERROR(__xludf.DUMMYFUNCTION("""COMPUTED_VALUE"""),"2023-06-18")</f>
        <v>2023-06-18</v>
      </c>
      <c r="B133" s="3" t="str">
        <f>IFERROR(__xludf.DUMMYFUNCTION("""COMPUTED_VALUE"""),"TRSF E-BANKING DB")</f>
        <v>TRSF E-BANKING DB</v>
      </c>
      <c r="C133" s="3" t="str">
        <f>IFERROR(__xludf.DUMMYFUNCTION("""COMPUTED_VALUE"""),"1806/FTSCY/WS95271 60280000.00 Tue Jun 16 2023 14:00:00 GMT+0700 (Western Indonesia Time) ANUGERAH KARTIKA A")</f>
        <v>1806/FTSCY/WS95271 60280000.00 Tue Jun 16 2023 14:00:00 GMT+0700 (Western Indonesia Time) ANUGERAH KARTIKA A</v>
      </c>
      <c r="D133" s="3">
        <f>IFERROR(__xludf.DUMMYFUNCTION("""COMPUTED_VALUE"""),6.028E7)</f>
        <v>60280000</v>
      </c>
      <c r="E133" s="3"/>
      <c r="F133" s="3" t="str">
        <f>IFERROR(__xludf.DUMMYFUNCTION("""COMPUTED_VALUE"""),"DB")</f>
        <v>DB</v>
      </c>
      <c r="G133" s="3">
        <f>IFERROR(__xludf.DUMMYFUNCTION("""COMPUTED_VALUE"""),1.5780168076E8)</f>
        <v>157801680.8</v>
      </c>
      <c r="H133" s="3"/>
      <c r="I133" s="3" t="str">
        <f>IFERROR(__xludf.DUMMYFUNCTION("""COMPUTED_VALUE"""),"PRODUKSI")</f>
        <v>PRODUKSI</v>
      </c>
    </row>
    <row r="134">
      <c r="A134" s="3" t="str">
        <f>IFERROR(__xludf.DUMMYFUNCTION("""COMPUTED_VALUE"""),"2023-06-18")</f>
        <v>2023-06-18</v>
      </c>
      <c r="B134" s="3" t="str">
        <f>IFERROR(__xludf.DUMMYFUNCTION("""COMPUTED_VALUE"""),"TRSF E-BANKING DB")</f>
        <v>TRSF E-BANKING DB</v>
      </c>
      <c r="C134" s="3" t="str">
        <f>IFERROR(__xludf.DUMMYFUNCTION("""COMPUTED_VALUE"""),"1806/FTSCY/WS95011 118866300.00 Tue Jun 16 2023 14:00:00 GMT+0700 (Western Indonesia Time) SUPER UNGGAS JAYA")</f>
        <v>1806/FTSCY/WS95011 118866300.00 Tue Jun 16 2023 14:00:00 GMT+0700 (Western Indonesia Time) SUPER UNGGAS JAYA</v>
      </c>
      <c r="D134" s="3">
        <f>IFERROR(__xludf.DUMMYFUNCTION("""COMPUTED_VALUE"""),1.188663E8)</f>
        <v>118866300</v>
      </c>
      <c r="E134" s="3"/>
      <c r="F134" s="3" t="str">
        <f>IFERROR(__xludf.DUMMYFUNCTION("""COMPUTED_VALUE"""),"DB")</f>
        <v>DB</v>
      </c>
      <c r="G134" s="3">
        <f>IFERROR(__xludf.DUMMYFUNCTION("""COMPUTED_VALUE"""),1.1669538075999999E8)</f>
        <v>116695380.8</v>
      </c>
      <c r="H134" s="3"/>
      <c r="I134" s="3" t="str">
        <f>IFERROR(__xludf.DUMMYFUNCTION("""COMPUTED_VALUE"""),"PRODUKSI")</f>
        <v>PRODUKSI</v>
      </c>
    </row>
    <row r="135">
      <c r="A135" s="3" t="str">
        <f>IFERROR(__xludf.DUMMYFUNCTION("""COMPUTED_VALUE"""),"2023-06-18")</f>
        <v>2023-06-18</v>
      </c>
      <c r="B135" s="3" t="str">
        <f>IFERROR(__xludf.DUMMYFUNCTION("""COMPUTED_VALUE"""),"TRSF E-BANKING DB")</f>
        <v>TRSF E-BANKING DB</v>
      </c>
      <c r="C135" s="3" t="str">
        <f>IFERROR(__xludf.DUMMYFUNCTION("""COMPUTED_VALUE"""),"1806/FTSCY/WS95011 80049280.00 Tue Jun 16 2023 14:00:00 GMT+0700 (Western Indonesia Time) BROILER MAKMUR TAN")</f>
        <v>1806/FTSCY/WS95011 80049280.00 Tue Jun 16 2023 14:00:00 GMT+0700 (Western Indonesia Time) BROILER MAKMUR TAN</v>
      </c>
      <c r="D135" s="3">
        <f>IFERROR(__xludf.DUMMYFUNCTION("""COMPUTED_VALUE"""),8.004928E7)</f>
        <v>80049280</v>
      </c>
      <c r="E135" s="3"/>
      <c r="F135" s="3" t="str">
        <f>IFERROR(__xludf.DUMMYFUNCTION("""COMPUTED_VALUE"""),"DB")</f>
        <v>DB</v>
      </c>
      <c r="G135" s="3">
        <f>IFERROR(__xludf.DUMMYFUNCTION("""COMPUTED_VALUE"""),3.664610075999999E7)</f>
        <v>36646100.76</v>
      </c>
      <c r="H135" s="3"/>
      <c r="I135" s="3" t="str">
        <f>IFERROR(__xludf.DUMMYFUNCTION("""COMPUTED_VALUE"""),"PRODUKSI")</f>
        <v>PRODUKSI</v>
      </c>
    </row>
    <row r="136">
      <c r="A136" s="3" t="str">
        <f>IFERROR(__xludf.DUMMYFUNCTION("""COMPUTED_VALUE"""),"2023-06-19")</f>
        <v>2023-06-19</v>
      </c>
      <c r="B136" s="3" t="str">
        <f>IFERROR(__xludf.DUMMYFUNCTION("""COMPUTED_VALUE"""),"TRSF E-BANKING DB")</f>
        <v>TRSF E-BANKING DB</v>
      </c>
      <c r="C136" s="3" t="str">
        <f>IFERROR(__xludf.DUMMYFUNCTION("""COMPUTED_VALUE"""),"1906/FTSCY/WS95031 90607450.00 Wed Jun 17 2023 14:00:00 GMT+0700 (Western Indonesia Time) SUPER UNGGAS JAYA")</f>
        <v>1906/FTSCY/WS95031 90607450.00 Wed Jun 17 2023 14:00:00 GMT+0700 (Western Indonesia Time) SUPER UNGGAS JAYA</v>
      </c>
      <c r="D136" s="3">
        <f>IFERROR(__xludf.DUMMYFUNCTION("""COMPUTED_VALUE"""),9.060745E7)</f>
        <v>90607450</v>
      </c>
      <c r="E136" s="3"/>
      <c r="F136" s="3" t="str">
        <f>IFERROR(__xludf.DUMMYFUNCTION("""COMPUTED_VALUE"""),"DB")</f>
        <v>DB</v>
      </c>
      <c r="G136" s="3">
        <f>IFERROR(__xludf.DUMMYFUNCTION("""COMPUTED_VALUE"""),2.940909075999999E7)</f>
        <v>29409090.76</v>
      </c>
      <c r="H136" s="3"/>
      <c r="I136" s="3" t="str">
        <f>IFERROR(__xludf.DUMMYFUNCTION("""COMPUTED_VALUE"""),"PRODUKSI")</f>
        <v>PRODUKSI</v>
      </c>
    </row>
    <row r="137">
      <c r="A137" s="3" t="str">
        <f>IFERROR(__xludf.DUMMYFUNCTION("""COMPUTED_VALUE"""),"2023-06-19")</f>
        <v>2023-06-19</v>
      </c>
      <c r="B137" s="3" t="str">
        <f>IFERROR(__xludf.DUMMYFUNCTION("""COMPUTED_VALUE"""),"TRSF E-BANKING DB")</f>
        <v>TRSF E-BANKING DB</v>
      </c>
      <c r="C137" s="3" t="str">
        <f>IFERROR(__xludf.DUMMYFUNCTION("""COMPUTED_VALUE"""),"1906/FTSCY/WS95271 270393320.00 Tue Jun 16 2023 14:00:00 GMT+0700 (Western Indonesia Time) SUPER UNGGAS JAYA")</f>
        <v>1906/FTSCY/WS95271 270393320.00 Tue Jun 16 2023 14:00:00 GMT+0700 (Western Indonesia Time) SUPER UNGGAS JAYA</v>
      </c>
      <c r="D137" s="3">
        <f>IFERROR(__xludf.DUMMYFUNCTION("""COMPUTED_VALUE"""),2.7039332E8)</f>
        <v>270393320</v>
      </c>
      <c r="E137" s="3"/>
      <c r="F137" s="3" t="str">
        <f>IFERROR(__xludf.DUMMYFUNCTION("""COMPUTED_VALUE"""),"DB")</f>
        <v>DB</v>
      </c>
      <c r="G137" s="3">
        <f>IFERROR(__xludf.DUMMYFUNCTION("""COMPUTED_VALUE"""),3.8931446076E8)</f>
        <v>389314460.8</v>
      </c>
      <c r="H137" s="3"/>
      <c r="I137" s="3" t="str">
        <f>IFERROR(__xludf.DUMMYFUNCTION("""COMPUTED_VALUE"""),"PRODUKSI")</f>
        <v>PRODUKSI</v>
      </c>
    </row>
    <row r="138">
      <c r="A138" s="3" t="str">
        <f>IFERROR(__xludf.DUMMYFUNCTION("""COMPUTED_VALUE"""),"2023-06-19")</f>
        <v>2023-06-19</v>
      </c>
      <c r="B138" s="3" t="str">
        <f>IFERROR(__xludf.DUMMYFUNCTION("""COMPUTED_VALUE"""),"TRSF E-BANKING DB")</f>
        <v>TRSF E-BANKING DB</v>
      </c>
      <c r="C138" s="3" t="str">
        <f>IFERROR(__xludf.DUMMYFUNCTION("""COMPUTED_VALUE"""),"1906/FTFVA/WS95031 55569/PT PRIMA FAJ mlg 3.8 ton - 40190")</f>
        <v>1906/FTFVA/WS95031 55569/PT PRIMA FAJ mlg 3.8 ton - 40190</v>
      </c>
      <c r="D138" s="3">
        <f>IFERROR(__xludf.DUMMYFUNCTION("""COMPUTED_VALUE"""),8.93E7)</f>
        <v>89300000</v>
      </c>
      <c r="E138" s="3"/>
      <c r="F138" s="3" t="str">
        <f>IFERROR(__xludf.DUMMYFUNCTION("""COMPUTED_VALUE"""),"DB")</f>
        <v>DB</v>
      </c>
      <c r="G138" s="3">
        <f>IFERROR(__xludf.DUMMYFUNCTION("""COMPUTED_VALUE"""),5.2418054076E8)</f>
        <v>524180540.8</v>
      </c>
      <c r="H138" s="3">
        <f>IFERROR(__xludf.DUMMYFUNCTION("""COMPUTED_VALUE"""),5.2418054076E8)</f>
        <v>524180540.8</v>
      </c>
      <c r="I138" s="3" t="str">
        <f>IFERROR(__xludf.DUMMYFUNCTION("""COMPUTED_VALUE"""),"PRODUKSI")</f>
        <v>PRODUKSI</v>
      </c>
    </row>
    <row r="139">
      <c r="A139" s="3" t="str">
        <f>IFERROR(__xludf.DUMMYFUNCTION("""COMPUTED_VALUE"""),"2023-06-19")</f>
        <v>2023-06-19</v>
      </c>
      <c r="B139" s="3" t="str">
        <f>IFERROR(__xludf.DUMMYFUNCTION("""COMPUTED_VALUE"""),"TRSF E-BANKING DB")</f>
        <v>TRSF E-BANKING DB</v>
      </c>
      <c r="C139" s="3" t="str">
        <f>IFERROR(__xludf.DUMMYFUNCTION("""COMPUTED_VALUE"""),"1906/FTSCY/WS95011 78750000.00 Thu Jun 18 2023 14:00:00 GMT+0700 (Western Indonesia Time) TUMBUH OPTIMAL PRI")</f>
        <v>1906/FTSCY/WS95011 78750000.00 Thu Jun 18 2023 14:00:00 GMT+0700 (Western Indonesia Time) TUMBUH OPTIMAL PRI</v>
      </c>
      <c r="D139" s="3">
        <f>IFERROR(__xludf.DUMMYFUNCTION("""COMPUTED_VALUE"""),7.875E7)</f>
        <v>78750000</v>
      </c>
      <c r="E139" s="3"/>
      <c r="F139" s="3" t="str">
        <f>IFERROR(__xludf.DUMMYFUNCTION("""COMPUTED_VALUE"""),"DB")</f>
        <v>DB</v>
      </c>
      <c r="G139" s="3">
        <f>IFERROR(__xludf.DUMMYFUNCTION("""COMPUTED_VALUE"""),4.0129974076E8)</f>
        <v>401299740.8</v>
      </c>
      <c r="H139" s="3"/>
      <c r="I139" s="3" t="str">
        <f>IFERROR(__xludf.DUMMYFUNCTION("""COMPUTED_VALUE"""),"PRODUKSI")</f>
        <v>PRODUKSI</v>
      </c>
    </row>
    <row r="140">
      <c r="A140" s="3" t="str">
        <f>IFERROR(__xludf.DUMMYFUNCTION("""COMPUTED_VALUE"""),"2023-06-19")</f>
        <v>2023-06-19</v>
      </c>
      <c r="B140" s="3" t="str">
        <f>IFERROR(__xludf.DUMMYFUNCTION("""COMPUTED_VALUE"""),"TRSF E-BANKING DB")</f>
        <v>TRSF E-BANKING DB</v>
      </c>
      <c r="C140" s="3" t="str">
        <f>IFERROR(__xludf.DUMMYFUNCTION("""COMPUTED_VALUE"""),"1906/FTSCY/WS95011 102338500.00 Thu Jun 18 2023 14:00:00 GMT+0700 (Western Indonesia Time) BINTANG TAMA SANTO")</f>
        <v>1906/FTSCY/WS95011 102338500.00 Thu Jun 18 2023 14:00:00 GMT+0700 (Western Indonesia Time) BINTANG TAMA SANTO</v>
      </c>
      <c r="D140" s="3">
        <f>IFERROR(__xludf.DUMMYFUNCTION("""COMPUTED_VALUE"""),1.023385E8)</f>
        <v>102338500</v>
      </c>
      <c r="E140" s="3"/>
      <c r="F140" s="3" t="str">
        <f>IFERROR(__xludf.DUMMYFUNCTION("""COMPUTED_VALUE"""),"DB")</f>
        <v>DB</v>
      </c>
      <c r="G140" s="3">
        <f>IFERROR(__xludf.DUMMYFUNCTION("""COMPUTED_VALUE"""),2.9896124076E8)</f>
        <v>298961240.8</v>
      </c>
      <c r="H140" s="3"/>
      <c r="I140" s="3" t="str">
        <f>IFERROR(__xludf.DUMMYFUNCTION("""COMPUTED_VALUE"""),"PRODUKSI")</f>
        <v>PRODUKSI</v>
      </c>
    </row>
    <row r="141">
      <c r="A141" s="3" t="str">
        <f>IFERROR(__xludf.DUMMYFUNCTION("""COMPUTED_VALUE"""),"2023-06-19")</f>
        <v>2023-06-19</v>
      </c>
      <c r="B141" s="3" t="str">
        <f>IFERROR(__xludf.DUMMYFUNCTION("""COMPUTED_VALUE"""),"TRSF E-BANKING DB")</f>
        <v>TRSF E-BANKING DB</v>
      </c>
      <c r="C141" s="3" t="str">
        <f>IFERROR(__xludf.DUMMYFUNCTION("""COMPUTED_VALUE"""),"1906/FTSCY/WS95011 68961060.00 Thu Jun 18 2023 14:00:00 GMT+0700 (Western Indonesia Time) SUPER UNGGAS JAYA")</f>
        <v>1906/FTSCY/WS95011 68961060.00 Thu Jun 18 2023 14:00:00 GMT+0700 (Western Indonesia Time) SUPER UNGGAS JAYA</v>
      </c>
      <c r="D141" s="3">
        <f>IFERROR(__xludf.DUMMYFUNCTION("""COMPUTED_VALUE"""),6.896106E7)</f>
        <v>68961060</v>
      </c>
      <c r="E141" s="3"/>
      <c r="F141" s="3" t="str">
        <f>IFERROR(__xludf.DUMMYFUNCTION("""COMPUTED_VALUE"""),"DB")</f>
        <v>DB</v>
      </c>
      <c r="G141" s="3">
        <f>IFERROR(__xludf.DUMMYFUNCTION("""COMPUTED_VALUE"""),2.3000018076E8)</f>
        <v>230000180.8</v>
      </c>
      <c r="H141" s="3"/>
      <c r="I141" s="3" t="str">
        <f>IFERROR(__xludf.DUMMYFUNCTION("""COMPUTED_VALUE"""),"PRODUKSI")</f>
        <v>PRODUKSI</v>
      </c>
    </row>
    <row r="142">
      <c r="A142" s="3" t="str">
        <f>IFERROR(__xludf.DUMMYFUNCTION("""COMPUTED_VALUE"""),"2023-06-19")</f>
        <v>2023-06-19</v>
      </c>
      <c r="B142" s="3" t="str">
        <f>IFERROR(__xludf.DUMMYFUNCTION("""COMPUTED_VALUE"""),"TRSF E-BANKING DB")</f>
        <v>TRSF E-BANKING DB</v>
      </c>
      <c r="C142" s="3" t="str">
        <f>IFERROR(__xludf.DUMMYFUNCTION("""COMPUTED_VALUE"""),"1906/FTSCY/WS95011 162564000.00 Thu Jun 18 2023 14:00:00 GMT+0700 (Western Indonesia Time) ANDALAN YASA MITRA")</f>
        <v>1906/FTSCY/WS95011 162564000.00 Thu Jun 18 2023 14:00:00 GMT+0700 (Western Indonesia Time) ANDALAN YASA MITRA</v>
      </c>
      <c r="D142" s="3">
        <f>IFERROR(__xludf.DUMMYFUNCTION("""COMPUTED_VALUE"""),1.62564E8)</f>
        <v>162564000</v>
      </c>
      <c r="E142" s="3"/>
      <c r="F142" s="3" t="str">
        <f>IFERROR(__xludf.DUMMYFUNCTION("""COMPUTED_VALUE"""),"DB")</f>
        <v>DB</v>
      </c>
      <c r="G142" s="3">
        <f>IFERROR(__xludf.DUMMYFUNCTION("""COMPUTED_VALUE"""),6.743618075999999E7)</f>
        <v>67436180.76</v>
      </c>
      <c r="H142" s="3"/>
      <c r="I142" s="3" t="str">
        <f>IFERROR(__xludf.DUMMYFUNCTION("""COMPUTED_VALUE"""),"PRODUKSI")</f>
        <v>PRODUKSI</v>
      </c>
    </row>
    <row r="143">
      <c r="A143" s="3" t="str">
        <f>IFERROR(__xludf.DUMMYFUNCTION("""COMPUTED_VALUE"""),"2023-06-19")</f>
        <v>2023-06-19</v>
      </c>
      <c r="B143" s="3" t="str">
        <f>IFERROR(__xludf.DUMMYFUNCTION("""COMPUTED_VALUE"""),"TRSF E-BANKING DB")</f>
        <v>TRSF E-BANKING DB</v>
      </c>
      <c r="C143" s="3" t="str">
        <f>IFERROR(__xludf.DUMMYFUNCTION("""COMPUTED_VALUE"""),"1906/FTSCY/WS95011 56885900.00 Thu Jun 18 2023 14:00:00 GMT+0700 (Western Indonesia Time) ANUGERAH KARTIKA A")</f>
        <v>1906/FTSCY/WS95011 56885900.00 Thu Jun 18 2023 14:00:00 GMT+0700 (Western Indonesia Time) ANUGERAH KARTIKA A</v>
      </c>
      <c r="D143" s="3">
        <f>IFERROR(__xludf.DUMMYFUNCTION("""COMPUTED_VALUE"""),5.68859E7)</f>
        <v>56885900</v>
      </c>
      <c r="E143" s="3"/>
      <c r="F143" s="3" t="str">
        <f>IFERROR(__xludf.DUMMYFUNCTION("""COMPUTED_VALUE"""),"DB")</f>
        <v>DB</v>
      </c>
      <c r="G143" s="3">
        <f>IFERROR(__xludf.DUMMYFUNCTION("""COMPUTED_VALUE"""),1.055028075999999E7)</f>
        <v>10550280.76</v>
      </c>
      <c r="H143" s="3"/>
      <c r="I143" s="3" t="str">
        <f>IFERROR(__xludf.DUMMYFUNCTION("""COMPUTED_VALUE"""),"PRODUKSI")</f>
        <v>PRODUKSI</v>
      </c>
    </row>
    <row r="144">
      <c r="A144" s="3" t="str">
        <f>IFERROR(__xludf.DUMMYFUNCTION("""COMPUTED_VALUE"""),"2023-06-19")</f>
        <v>2023-06-19</v>
      </c>
      <c r="B144" s="3" t="str">
        <f>IFERROR(__xludf.DUMMYFUNCTION("""COMPUTED_VALUE"""),"TRSF E-BANKING DB")</f>
        <v>TRSF E-BANKING DB</v>
      </c>
      <c r="C144" s="3" t="str">
        <f>IFERROR(__xludf.DUMMYFUNCTION("""COMPUTED_VALUE"""),"1906/FTSCY/WS95031 550000.00 tpt. stor 13.050.0 SANDI FAJAR PRASET")</f>
        <v>1906/FTSCY/WS95031 550000.00 tpt. stor 13.050.0 SANDI FAJAR PRASET</v>
      </c>
      <c r="D144" s="3">
        <f>IFERROR(__xludf.DUMMYFUNCTION("""COMPUTED_VALUE"""),550000.0)</f>
        <v>550000</v>
      </c>
      <c r="E144" s="3"/>
      <c r="F144" s="3" t="str">
        <f>IFERROR(__xludf.DUMMYFUNCTION("""COMPUTED_VALUE"""),"DB")</f>
        <v>DB</v>
      </c>
      <c r="G144" s="3">
        <f>IFERROR(__xludf.DUMMYFUNCTION("""COMPUTED_VALUE"""),9650280.75999999)</f>
        <v>9650280.76</v>
      </c>
      <c r="H144" s="3"/>
      <c r="I144" s="3" t="str">
        <f>IFERROR(__xludf.DUMMYFUNCTION("""COMPUTED_VALUE"""),"PRODUKSI")</f>
        <v>PRODUKSI</v>
      </c>
    </row>
    <row r="145">
      <c r="A145" s="3" t="str">
        <f>IFERROR(__xludf.DUMMYFUNCTION("""COMPUTED_VALUE"""),"2023-06-19")</f>
        <v>2023-06-19</v>
      </c>
      <c r="B145" s="3" t="str">
        <f>IFERROR(__xludf.DUMMYFUNCTION("""COMPUTED_VALUE"""),"TRSF E-BANKING DB")</f>
        <v>TRSF E-BANKING DB</v>
      </c>
      <c r="C145" s="3" t="str">
        <f>IFERROR(__xludf.DUMMYFUNCTION("""COMPUTED_VALUE"""),"1906/FTSCY/WS95031 575400.00 pelunasan ANUGERAH KARTIKA A")</f>
        <v>1906/FTSCY/WS95031 575400.00 pelunasan ANUGERAH KARTIKA A</v>
      </c>
      <c r="D145" s="3">
        <f>IFERROR(__xludf.DUMMYFUNCTION("""COMPUTED_VALUE"""),575400.0)</f>
        <v>575400</v>
      </c>
      <c r="E145" s="3"/>
      <c r="F145" s="3" t="str">
        <f>IFERROR(__xludf.DUMMYFUNCTION("""COMPUTED_VALUE"""),"DB")</f>
        <v>DB</v>
      </c>
      <c r="G145" s="3">
        <f>IFERROR(__xludf.DUMMYFUNCTION("""COMPUTED_VALUE"""),9074880.75999999)</f>
        <v>9074880.76</v>
      </c>
      <c r="H145" s="3"/>
      <c r="I145" s="3" t="str">
        <f>IFERROR(__xludf.DUMMYFUNCTION("""COMPUTED_VALUE"""),"PRODUKSI")</f>
        <v>PRODUKSI</v>
      </c>
    </row>
    <row r="146">
      <c r="A146" s="3" t="str">
        <f>IFERROR(__xludf.DUMMYFUNCTION("""COMPUTED_VALUE"""),"2023-06-20")</f>
        <v>2023-06-20</v>
      </c>
      <c r="B146" s="3" t="str">
        <f>IFERROR(__xludf.DUMMYFUNCTION("""COMPUTED_VALUE"""),"TRSF E-BANKING DB")</f>
        <v>TRSF E-BANKING DB</v>
      </c>
      <c r="C146" s="3" t="str">
        <f>IFERROR(__xludf.DUMMYFUNCTION("""COMPUTED_VALUE"""),"2006/FTSCY/WS95031 86460100.00 Thu Jun 18 2023 14:00:00 GMT+0700 (Western Indonesia Time) SUPER UNGGAS JAYA")</f>
        <v>2006/FTSCY/WS95031 86460100.00 Thu Jun 18 2023 14:00:00 GMT+0700 (Western Indonesia Time) SUPER UNGGAS JAYA</v>
      </c>
      <c r="D146" s="3">
        <f>IFERROR(__xludf.DUMMYFUNCTION("""COMPUTED_VALUE"""),8.64601E7)</f>
        <v>86460100</v>
      </c>
      <c r="E146" s="3"/>
      <c r="F146" s="3" t="str">
        <f>IFERROR(__xludf.DUMMYFUNCTION("""COMPUTED_VALUE"""),"DB")</f>
        <v>DB</v>
      </c>
      <c r="G146" s="3">
        <f>IFERROR(__xludf.DUMMYFUNCTION("""COMPUTED_VALUE"""),1.7136762076E8)</f>
        <v>171367620.8</v>
      </c>
      <c r="H146" s="3"/>
      <c r="I146" s="3" t="str">
        <f>IFERROR(__xludf.DUMMYFUNCTION("""COMPUTED_VALUE"""),"PRODUKSI")</f>
        <v>PRODUKSI</v>
      </c>
    </row>
    <row r="147">
      <c r="A147" s="3" t="str">
        <f>IFERROR(__xludf.DUMMYFUNCTION("""COMPUTED_VALUE"""),"2023-06-20")</f>
        <v>2023-06-20</v>
      </c>
      <c r="B147" s="3" t="str">
        <f>IFERROR(__xludf.DUMMYFUNCTION("""COMPUTED_VALUE"""),"TRSF E-BANKING DB")</f>
        <v>TRSF E-BANKING DB</v>
      </c>
      <c r="C147" s="3" t="str">
        <f>IFERROR(__xludf.DUMMYFUNCTION("""COMPUTED_VALUE"""),"2006/FTFVA/WS95031 55569/PT PRIMA FAJ lamongan 3700kg - 40190")</f>
        <v>2006/FTFVA/WS95031 55569/PT PRIMA FAJ lamongan 3700kg - 40190</v>
      </c>
      <c r="D147" s="3">
        <f>IFERROR(__xludf.DUMMYFUNCTION("""COMPUTED_VALUE"""),8.626E7)</f>
        <v>86260000</v>
      </c>
      <c r="E147" s="3"/>
      <c r="F147" s="3" t="str">
        <f>IFERROR(__xludf.DUMMYFUNCTION("""COMPUTED_VALUE"""),"DB")</f>
        <v>DB</v>
      </c>
      <c r="G147" s="3">
        <f>IFERROR(__xludf.DUMMYFUNCTION("""COMPUTED_VALUE"""),1.7570561076E8)</f>
        <v>175705610.8</v>
      </c>
      <c r="H147" s="3"/>
      <c r="I147" s="3" t="str">
        <f>IFERROR(__xludf.DUMMYFUNCTION("""COMPUTED_VALUE"""),"PRODUKSI")</f>
        <v>PRODUKSI</v>
      </c>
    </row>
    <row r="148">
      <c r="A148" s="3" t="str">
        <f>IFERROR(__xludf.DUMMYFUNCTION("""COMPUTED_VALUE"""),"2023-06-20")</f>
        <v>2023-06-20</v>
      </c>
      <c r="B148" s="3" t="str">
        <f>IFERROR(__xludf.DUMMYFUNCTION("""COMPUTED_VALUE"""),"TRSF E-BANKING DB")</f>
        <v>TRSF E-BANKING DB</v>
      </c>
      <c r="C148" s="3" t="str">
        <f>IFERROR(__xludf.DUMMYFUNCTION("""COMPUTED_VALUE"""),"2006/FTFVA/WS95031 55569/PT PRIMA FAJ pelunasan mlg - 40190")</f>
        <v>2006/FTFVA/WS95031 55569/PT PRIMA FAJ pelunasan mlg - 40190</v>
      </c>
      <c r="D148" s="3">
        <f>IFERROR(__xludf.DUMMYFUNCTION("""COMPUTED_VALUE"""),533450.0)</f>
        <v>533450</v>
      </c>
      <c r="E148" s="3"/>
      <c r="F148" s="3" t="str">
        <f>IFERROR(__xludf.DUMMYFUNCTION("""COMPUTED_VALUE"""),"DB")</f>
        <v>DB</v>
      </c>
      <c r="G148" s="3">
        <f>IFERROR(__xludf.DUMMYFUNCTION("""COMPUTED_VALUE"""),1.7517216076E8)</f>
        <v>175172160.8</v>
      </c>
      <c r="H148" s="3"/>
      <c r="I148" s="3" t="str">
        <f>IFERROR(__xludf.DUMMYFUNCTION("""COMPUTED_VALUE"""),"PRODUKSI")</f>
        <v>PRODUKSI</v>
      </c>
    </row>
    <row r="149">
      <c r="A149" s="3" t="str">
        <f>IFERROR(__xludf.DUMMYFUNCTION("""COMPUTED_VALUE"""),"2023-06-20")</f>
        <v>2023-06-20</v>
      </c>
      <c r="B149" s="3" t="str">
        <f>IFERROR(__xludf.DUMMYFUNCTION("""COMPUTED_VALUE"""),"TRSF E-BANKING DB")</f>
        <v>TRSF E-BANKING DB</v>
      </c>
      <c r="C149" s="3" t="str">
        <f>IFERROR(__xludf.DUMMYFUNCTION("""COMPUTED_VALUE"""),"2006/FTSCY/WS95271 23000000.00 pelunasan ANUGERAH KARTIKA A")</f>
        <v>2006/FTSCY/WS95271 23000000.00 pelunasan ANUGERAH KARTIKA A</v>
      </c>
      <c r="D149" s="3">
        <f>IFERROR(__xludf.DUMMYFUNCTION("""COMPUTED_VALUE"""),2.3E7)</f>
        <v>23000000</v>
      </c>
      <c r="E149" s="3"/>
      <c r="F149" s="3" t="str">
        <f>IFERROR(__xludf.DUMMYFUNCTION("""COMPUTED_VALUE"""),"DB")</f>
        <v>DB</v>
      </c>
      <c r="G149" s="3">
        <f>IFERROR(__xludf.DUMMYFUNCTION("""COMPUTED_VALUE"""),5.0494251076E8)</f>
        <v>504942510.8</v>
      </c>
      <c r="H149" s="3"/>
      <c r="I149" s="3" t="str">
        <f>IFERROR(__xludf.DUMMYFUNCTION("""COMPUTED_VALUE"""),"PRODUKSI")</f>
        <v>PRODUKSI</v>
      </c>
    </row>
    <row r="150">
      <c r="A150" s="3" t="str">
        <f>IFERROR(__xludf.DUMMYFUNCTION("""COMPUTED_VALUE"""),"2023-06-20")</f>
        <v>2023-06-20</v>
      </c>
      <c r="B150" s="3" t="str">
        <f>IFERROR(__xludf.DUMMYFUNCTION("""COMPUTED_VALUE"""),"TRSF E-BANKING DB")</f>
        <v>TRSF E-BANKING DB</v>
      </c>
      <c r="C150" s="3" t="str">
        <f>IFERROR(__xludf.DUMMYFUNCTION("""COMPUTED_VALUE"""),"2006/FTSCY/WS95271 131600000.00 Sat Jun 20 2023 14:00:00 GMT+0700 (Western Indonesia Time) ANUGERAH KARTIKA A")</f>
        <v>2006/FTSCY/WS95271 131600000.00 Sat Jun 20 2023 14:00:00 GMT+0700 (Western Indonesia Time) ANUGERAH KARTIKA A</v>
      </c>
      <c r="D150" s="3">
        <f>IFERROR(__xludf.DUMMYFUNCTION("""COMPUTED_VALUE"""),1.316E8)</f>
        <v>131600000</v>
      </c>
      <c r="E150" s="3"/>
      <c r="F150" s="3" t="str">
        <f>IFERROR(__xludf.DUMMYFUNCTION("""COMPUTED_VALUE"""),"DB")</f>
        <v>DB</v>
      </c>
      <c r="G150" s="3">
        <f>IFERROR(__xludf.DUMMYFUNCTION("""COMPUTED_VALUE"""),3.7334251076E8)</f>
        <v>373342510.8</v>
      </c>
      <c r="H150" s="3"/>
      <c r="I150" s="3" t="str">
        <f>IFERROR(__xludf.DUMMYFUNCTION("""COMPUTED_VALUE"""),"PRODUKSI")</f>
        <v>PRODUKSI</v>
      </c>
    </row>
    <row r="151">
      <c r="A151" s="3" t="str">
        <f>IFERROR(__xludf.DUMMYFUNCTION("""COMPUTED_VALUE"""),"2023-06-20")</f>
        <v>2023-06-20</v>
      </c>
      <c r="B151" s="3" t="str">
        <f>IFERROR(__xludf.DUMMYFUNCTION("""COMPUTED_VALUE"""),"TRSF E-BANKING DB")</f>
        <v>TRSF E-BANKING DB</v>
      </c>
      <c r="C151" s="3" t="str">
        <f>IFERROR(__xludf.DUMMYFUNCTION("""COMPUTED_VALUE"""),"2006/FTSCY/WS95271 38505390.00 Sat Jun 20 2023 14:00:00 GMT+0700 (Western Indonesia Time) ROFIQ MASJHURI")</f>
        <v>2006/FTSCY/WS95271 38505390.00 Sat Jun 20 2023 14:00:00 GMT+0700 (Western Indonesia Time) ROFIQ MASJHURI</v>
      </c>
      <c r="D151" s="3">
        <f>IFERROR(__xludf.DUMMYFUNCTION("""COMPUTED_VALUE"""),3.850539E7)</f>
        <v>38505390</v>
      </c>
      <c r="E151" s="3"/>
      <c r="F151" s="3" t="str">
        <f>IFERROR(__xludf.DUMMYFUNCTION("""COMPUTED_VALUE"""),"DB")</f>
        <v>DB</v>
      </c>
      <c r="G151" s="3">
        <f>IFERROR(__xludf.DUMMYFUNCTION("""COMPUTED_VALUE"""),3.3483712076E8)</f>
        <v>334837120.8</v>
      </c>
      <c r="H151" s="3"/>
      <c r="I151" s="3" t="str">
        <f>IFERROR(__xludf.DUMMYFUNCTION("""COMPUTED_VALUE"""),"PRODUKSI")</f>
        <v>PRODUKSI</v>
      </c>
    </row>
    <row r="152">
      <c r="A152" s="3" t="str">
        <f>IFERROR(__xludf.DUMMYFUNCTION("""COMPUTED_VALUE"""),"2023-06-20")</f>
        <v>2023-06-20</v>
      </c>
      <c r="B152" s="3" t="str">
        <f>IFERROR(__xludf.DUMMYFUNCTION("""COMPUTED_VALUE"""),"TRSF E-BANKING DB")</f>
        <v>TRSF E-BANKING DB</v>
      </c>
      <c r="C152" s="3" t="str">
        <f>IFERROR(__xludf.DUMMYFUNCTION("""COMPUTED_VALUE"""),"2006/FTSCY/WS95011 241636400.00 Fri Jun 19 2023 14:00:00 GMT+0700 (Western Indonesia Time) SUPER UNGGAS JAYA")</f>
        <v>2006/FTSCY/WS95011 241636400.00 Fri Jun 19 2023 14:00:00 GMT+0700 (Western Indonesia Time) SUPER UNGGAS JAYA</v>
      </c>
      <c r="D152" s="3">
        <f>IFERROR(__xludf.DUMMYFUNCTION("""COMPUTED_VALUE"""),2.416364E8)</f>
        <v>241636400</v>
      </c>
      <c r="E152" s="3"/>
      <c r="F152" s="3" t="str">
        <f>IFERROR(__xludf.DUMMYFUNCTION("""COMPUTED_VALUE"""),"DB")</f>
        <v>DB</v>
      </c>
      <c r="G152" s="3">
        <f>IFERROR(__xludf.DUMMYFUNCTION("""COMPUTED_VALUE"""),9.320072075999999E7)</f>
        <v>93200720.76</v>
      </c>
      <c r="H152" s="3"/>
      <c r="I152" s="3" t="str">
        <f>IFERROR(__xludf.DUMMYFUNCTION("""COMPUTED_VALUE"""),"PRODUKSI")</f>
        <v>PRODUKSI</v>
      </c>
    </row>
    <row r="153">
      <c r="A153" s="3" t="str">
        <f>IFERROR(__xludf.DUMMYFUNCTION("""COMPUTED_VALUE"""),"2023-06-20")</f>
        <v>2023-06-20</v>
      </c>
      <c r="B153" s="3" t="str">
        <f>IFERROR(__xludf.DUMMYFUNCTION("""COMPUTED_VALUE"""),"TRSF E-BANKING DB")</f>
        <v>TRSF E-BANKING DB</v>
      </c>
      <c r="C153" s="3" t="str">
        <f>IFERROR(__xludf.DUMMYFUNCTION("""COMPUTED_VALUE"""),"2006/FTSCY/WS95271 60000000.00 titip lmjg TERNAK SEJATI TABA")</f>
        <v>2006/FTSCY/WS95271 60000000.00 titip lmjg TERNAK SEJATI TABA</v>
      </c>
      <c r="D153" s="3">
        <f>IFERROR(__xludf.DUMMYFUNCTION("""COMPUTED_VALUE"""),6.0E7)</f>
        <v>60000000</v>
      </c>
      <c r="E153" s="3"/>
      <c r="F153" s="3" t="str">
        <f>IFERROR(__xludf.DUMMYFUNCTION("""COMPUTED_VALUE"""),"DB")</f>
        <v>DB</v>
      </c>
      <c r="G153" s="3">
        <f>IFERROR(__xludf.DUMMYFUNCTION("""COMPUTED_VALUE"""),3.217248075999999E7)</f>
        <v>32172480.76</v>
      </c>
      <c r="H153" s="3">
        <f>IFERROR(__xludf.DUMMYFUNCTION("""COMPUTED_VALUE"""),3.217248076E7)</f>
        <v>32172480.76</v>
      </c>
      <c r="I153" s="3" t="str">
        <f>IFERROR(__xludf.DUMMYFUNCTION("""COMPUTED_VALUE"""),"PRODUKSI")</f>
        <v>PRODUKSI</v>
      </c>
    </row>
    <row r="154">
      <c r="A154" s="3" t="str">
        <f>IFERROR(__xludf.DUMMYFUNCTION("""COMPUTED_VALUE"""),"2023-06-21")</f>
        <v>2023-06-21</v>
      </c>
      <c r="B154" s="3" t="str">
        <f>IFERROR(__xludf.DUMMYFUNCTION("""COMPUTED_VALUE"""),"TRSF E-BANKING DB")</f>
        <v>TRSF E-BANKING DB</v>
      </c>
      <c r="C154" s="3" t="str">
        <f>IFERROR(__xludf.DUMMYFUNCTION("""COMPUTED_VALUE"""),"2106/FTSCY/WS95031 9900000.00 pelunasan TERNAK SEJATI TABA")</f>
        <v>2106/FTSCY/WS95031 9900000.00 pelunasan TERNAK SEJATI TABA</v>
      </c>
      <c r="D154" s="3">
        <f>IFERROR(__xludf.DUMMYFUNCTION("""COMPUTED_VALUE"""),9900000.0)</f>
        <v>9900000</v>
      </c>
      <c r="E154" s="3"/>
      <c r="F154" s="3" t="str">
        <f>IFERROR(__xludf.DUMMYFUNCTION("""COMPUTED_VALUE"""),"DB")</f>
        <v>DB</v>
      </c>
      <c r="G154" s="3">
        <f>IFERROR(__xludf.DUMMYFUNCTION("""COMPUTED_VALUE"""),2.227248075999999E7)</f>
        <v>22272480.76</v>
      </c>
      <c r="H154" s="3"/>
      <c r="I154" s="3" t="str">
        <f>IFERROR(__xludf.DUMMYFUNCTION("""COMPUTED_VALUE"""),"PRODUKSI")</f>
        <v>PRODUKSI</v>
      </c>
    </row>
    <row r="155">
      <c r="A155" s="3" t="str">
        <f>IFERROR(__xludf.DUMMYFUNCTION("""COMPUTED_VALUE"""),"2023-06-21")</f>
        <v>2023-06-21</v>
      </c>
      <c r="B155" s="3" t="str">
        <f>IFERROR(__xludf.DUMMYFUNCTION("""COMPUTED_VALUE"""),"TRSF E-BANKING DB")</f>
        <v>TRSF E-BANKING DB</v>
      </c>
      <c r="C155" s="3" t="str">
        <f>IFERROR(__xludf.DUMMYFUNCTION("""COMPUTED_VALUE"""),"2106/FTSCY/WS95031 70086400.00 Fri Jun 19 2023 14:00:00 GMT+0700 (Western Indonesia Time) ANDALAN YASA MITRA")</f>
        <v>2106/FTSCY/WS95031 70086400.00 Fri Jun 19 2023 14:00:00 GMT+0700 (Western Indonesia Time) ANDALAN YASA MITRA</v>
      </c>
      <c r="D155" s="3">
        <f>IFERROR(__xludf.DUMMYFUNCTION("""COMPUTED_VALUE"""),7.00864E7)</f>
        <v>70086400</v>
      </c>
      <c r="E155" s="3"/>
      <c r="F155" s="3" t="str">
        <f>IFERROR(__xludf.DUMMYFUNCTION("""COMPUTED_VALUE"""),"DB")</f>
        <v>DB</v>
      </c>
      <c r="G155" s="3">
        <f>IFERROR(__xludf.DUMMYFUNCTION("""COMPUTED_VALUE"""),2.651382575999999E7)</f>
        <v>26513825.76</v>
      </c>
      <c r="H155" s="3"/>
      <c r="I155" s="3" t="str">
        <f>IFERROR(__xludf.DUMMYFUNCTION("""COMPUTED_VALUE"""),"PRODUKSI")</f>
        <v>PRODUKSI</v>
      </c>
    </row>
    <row r="156">
      <c r="A156" s="3" t="str">
        <f>IFERROR(__xludf.DUMMYFUNCTION("""COMPUTED_VALUE"""),"2023-06-21")</f>
        <v>2023-06-21</v>
      </c>
      <c r="B156" s="3" t="str">
        <f>IFERROR(__xludf.DUMMYFUNCTION("""COMPUTED_VALUE"""),"TRSF E-BANKING DB")</f>
        <v>TRSF E-BANKING DB</v>
      </c>
      <c r="C156" s="3" t="str">
        <f>IFERROR(__xludf.DUMMYFUNCTION("""COMPUTED_VALUE"""),"2106/FTFVA/WS95031 55569/PT PRIMA FAJ 1430000 - 40190")</f>
        <v>2106/FTFVA/WS95031 55569/PT PRIMA FAJ 1430000 - 40190</v>
      </c>
      <c r="D156" s="3">
        <f>IFERROR(__xludf.DUMMYFUNCTION("""COMPUTED_VALUE"""),1430000.0)</f>
        <v>1430000</v>
      </c>
      <c r="E156" s="3"/>
      <c r="F156" s="3" t="str">
        <f>IFERROR(__xludf.DUMMYFUNCTION("""COMPUTED_VALUE"""),"DB")</f>
        <v>DB</v>
      </c>
      <c r="G156" s="3">
        <f>IFERROR(__xludf.DUMMYFUNCTION("""COMPUTED_VALUE"""),2.508382575999999E7)</f>
        <v>25083825.76</v>
      </c>
      <c r="H156" s="3"/>
      <c r="I156" s="3" t="str">
        <f>IFERROR(__xludf.DUMMYFUNCTION("""COMPUTED_VALUE"""),"PRODUKSI")</f>
        <v>PRODUKSI</v>
      </c>
    </row>
    <row r="157">
      <c r="A157" s="3" t="str">
        <f>IFERROR(__xludf.DUMMYFUNCTION("""COMPUTED_VALUE"""),"2023-06-21")</f>
        <v>2023-06-21</v>
      </c>
      <c r="B157" s="3" t="str">
        <f>IFERROR(__xludf.DUMMYFUNCTION("""COMPUTED_VALUE"""),"TRSF E-BANKING DB")</f>
        <v>TRSF E-BANKING DB</v>
      </c>
      <c r="C157" s="3" t="str">
        <f>IFERROR(__xludf.DUMMYFUNCTION("""COMPUTED_VALUE"""),"2106/FTFVA/WS95031 55569/PT PRIMA FAJ mlg dan lamongan - 40190")</f>
        <v>2106/FTFVA/WS95031 55569/PT PRIMA FAJ mlg dan lamongan - 40190</v>
      </c>
      <c r="D157" s="3">
        <f>IFERROR(__xludf.DUMMYFUNCTION("""COMPUTED_VALUE"""),2.3642E8)</f>
        <v>236420000</v>
      </c>
      <c r="E157" s="3"/>
      <c r="F157" s="3" t="str">
        <f>IFERROR(__xludf.DUMMYFUNCTION("""COMPUTED_VALUE"""),"DB")</f>
        <v>DB</v>
      </c>
      <c r="G157" s="3">
        <f>IFERROR(__xludf.DUMMYFUNCTION("""COMPUTED_VALUE"""),2.0153936776E8)</f>
        <v>201539367.8</v>
      </c>
      <c r="H157" s="3">
        <f>IFERROR(__xludf.DUMMYFUNCTION("""COMPUTED_VALUE"""),2.0153936776E8)</f>
        <v>201539367.8</v>
      </c>
      <c r="I157" s="3" t="str">
        <f>IFERROR(__xludf.DUMMYFUNCTION("""COMPUTED_VALUE"""),"PRODUKSI")</f>
        <v>PRODUKSI</v>
      </c>
    </row>
    <row r="158">
      <c r="A158" s="3" t="str">
        <f>IFERROR(__xludf.DUMMYFUNCTION("""COMPUTED_VALUE"""),"2023-06-21")</f>
        <v>2023-06-21</v>
      </c>
      <c r="B158" s="3" t="str">
        <f>IFERROR(__xludf.DUMMYFUNCTION("""COMPUTED_VALUE"""),"TRSF E-BANKING DB")</f>
        <v>TRSF E-BANKING DB</v>
      </c>
      <c r="C158" s="3" t="str">
        <f>IFERROR(__xludf.DUMMYFUNCTION("""COMPUTED_VALUE"""),"2106/FTFVA/WS95031 55574/GUNA MITRA S rembang 3500kg - 200177")</f>
        <v>2106/FTFVA/WS95031 55574/GUNA MITRA S rembang 3500kg - 200177</v>
      </c>
      <c r="D158" s="3">
        <f>IFERROR(__xludf.DUMMYFUNCTION("""COMPUTED_VALUE"""),7.80276E7)</f>
        <v>78027600</v>
      </c>
      <c r="E158" s="3"/>
      <c r="F158" s="3" t="str">
        <f>IFERROR(__xludf.DUMMYFUNCTION("""COMPUTED_VALUE"""),"DB")</f>
        <v>DB</v>
      </c>
      <c r="G158" s="3">
        <f>IFERROR(__xludf.DUMMYFUNCTION("""COMPUTED_VALUE"""),1.2351176775999999E8)</f>
        <v>123511767.8</v>
      </c>
      <c r="H158" s="3">
        <f>IFERROR(__xludf.DUMMYFUNCTION("""COMPUTED_VALUE"""),1.2351176776E8)</f>
        <v>123511767.8</v>
      </c>
      <c r="I158" s="3" t="str">
        <f>IFERROR(__xludf.DUMMYFUNCTION("""COMPUTED_VALUE"""),"PRODUKSI")</f>
        <v>PRODUKSI</v>
      </c>
    </row>
    <row r="159">
      <c r="A159" s="3" t="str">
        <f>IFERROR(__xludf.DUMMYFUNCTION("""COMPUTED_VALUE"""),"2023-06-21")</f>
        <v>2023-06-21</v>
      </c>
      <c r="B159" s="3" t="str">
        <f>IFERROR(__xludf.DUMMYFUNCTION("""COMPUTED_VALUE"""),"TRSF E-BANKING DB")</f>
        <v>TRSF E-BANKING DB</v>
      </c>
      <c r="C159" s="3" t="str">
        <f>IFERROR(__xludf.DUMMYFUNCTION("""COMPUTED_VALUE"""),"2106/FTSCY/WS95271 65000000.00 titip kd pasuruan TABASSAM AL HATTAK")</f>
        <v>2106/FTSCY/WS95271 65000000.00 titip kd pasuruan TABASSAM AL HATTAK</v>
      </c>
      <c r="D159" s="3">
        <f>IFERROR(__xludf.DUMMYFUNCTION("""COMPUTED_VALUE"""),6.5E7)</f>
        <v>65000000</v>
      </c>
      <c r="E159" s="3"/>
      <c r="F159" s="3" t="str">
        <f>IFERROR(__xludf.DUMMYFUNCTION("""COMPUTED_VALUE"""),"DB")</f>
        <v>DB</v>
      </c>
      <c r="G159" s="3">
        <f>IFERROR(__xludf.DUMMYFUNCTION("""COMPUTED_VALUE"""),5.079493775999999E7)</f>
        <v>50794937.76</v>
      </c>
      <c r="H159" s="3">
        <f>IFERROR(__xludf.DUMMYFUNCTION("""COMPUTED_VALUE"""),5.079493776E7)</f>
        <v>50794937.76</v>
      </c>
      <c r="I159" s="3" t="str">
        <f>IFERROR(__xludf.DUMMYFUNCTION("""COMPUTED_VALUE"""),"PRODUKSI")</f>
        <v>PRODUKSI</v>
      </c>
    </row>
    <row r="160">
      <c r="A160" s="3" t="str">
        <f>IFERROR(__xludf.DUMMYFUNCTION("""COMPUTED_VALUE"""),"2023-06-22")</f>
        <v>2023-06-22</v>
      </c>
      <c r="B160" s="3" t="str">
        <f>IFERROR(__xludf.DUMMYFUNCTION("""COMPUTED_VALUE"""),"TRSF E-BANKING DB")</f>
        <v>TRSF E-BANKING DB</v>
      </c>
      <c r="C160" s="3" t="str">
        <f>IFERROR(__xludf.DUMMYFUNCTION("""COMPUTED_VALUE"""),"2206/FTSCY/WS95271 67830000.00 Sat Jun 20 2023 14:00:00 GMT+0700 (Western Indonesia Time) BINTANG TAMA SANTO")</f>
        <v>2206/FTSCY/WS95271 67830000.00 Sat Jun 20 2023 14:00:00 GMT+0700 (Western Indonesia Time) BINTANG TAMA SANTO</v>
      </c>
      <c r="D160" s="3">
        <f>IFERROR(__xludf.DUMMYFUNCTION("""COMPUTED_VALUE"""),6.783E7)</f>
        <v>67830000</v>
      </c>
      <c r="E160" s="3"/>
      <c r="F160" s="3" t="str">
        <f>IFERROR(__xludf.DUMMYFUNCTION("""COMPUTED_VALUE"""),"DB")</f>
        <v>DB</v>
      </c>
      <c r="G160" s="3">
        <f>IFERROR(__xludf.DUMMYFUNCTION("""COMPUTED_VALUE"""),4.5375594776E8)</f>
        <v>453755947.8</v>
      </c>
      <c r="H160" s="3"/>
      <c r="I160" s="3" t="str">
        <f>IFERROR(__xludf.DUMMYFUNCTION("""COMPUTED_VALUE"""),"PRODUKSI")</f>
        <v>PRODUKSI</v>
      </c>
    </row>
    <row r="161">
      <c r="A161" s="3" t="str">
        <f>IFERROR(__xludf.DUMMYFUNCTION("""COMPUTED_VALUE"""),"2023-06-22")</f>
        <v>2023-06-22</v>
      </c>
      <c r="B161" s="3" t="str">
        <f>IFERROR(__xludf.DUMMYFUNCTION("""COMPUTED_VALUE"""),"TRSF E-BANKING DB")</f>
        <v>TRSF E-BANKING DB</v>
      </c>
      <c r="C161" s="3" t="str">
        <f>IFERROR(__xludf.DUMMYFUNCTION("""COMPUTED_VALUE"""),"2206/FTSCY/WS95271 156093750.00 Sat Jun 20 2023 14:00:00 GMT+0700 (Western Indonesia Time) BINTANG TAMA SANTO")</f>
        <v>2206/FTSCY/WS95271 156093750.00 Sat Jun 20 2023 14:00:00 GMT+0700 (Western Indonesia Time) BINTANG TAMA SANTO</v>
      </c>
      <c r="D161" s="3">
        <f>IFERROR(__xludf.DUMMYFUNCTION("""COMPUTED_VALUE"""),1.5609375E8)</f>
        <v>156093750</v>
      </c>
      <c r="E161" s="3"/>
      <c r="F161" s="3" t="str">
        <f>IFERROR(__xludf.DUMMYFUNCTION("""COMPUTED_VALUE"""),"DB")</f>
        <v>DB</v>
      </c>
      <c r="G161" s="3">
        <f>IFERROR(__xludf.DUMMYFUNCTION("""COMPUTED_VALUE"""),2.9766219776E8)</f>
        <v>297662197.8</v>
      </c>
      <c r="H161" s="3"/>
      <c r="I161" s="3" t="str">
        <f>IFERROR(__xludf.DUMMYFUNCTION("""COMPUTED_VALUE"""),"PRODUKSI")</f>
        <v>PRODUKSI</v>
      </c>
    </row>
    <row r="162">
      <c r="A162" s="3" t="str">
        <f>IFERROR(__xludf.DUMMYFUNCTION("""COMPUTED_VALUE"""),"2023-06-22")</f>
        <v>2023-06-22</v>
      </c>
      <c r="B162" s="3" t="str">
        <f>IFERROR(__xludf.DUMMYFUNCTION("""COMPUTED_VALUE"""),"TRSF E-BANKING DB")</f>
        <v>TRSF E-BANKING DB</v>
      </c>
      <c r="C162" s="3" t="str">
        <f>IFERROR(__xludf.DUMMYFUNCTION("""COMPUTED_VALUE"""),"2206/FTSCY/WS95271 69105520.00 Sat Jun 20 2023 14:00:00 GMT+0700 (Western Indonesia Time) ANUGERAH KARTIKA A")</f>
        <v>2206/FTSCY/WS95271 69105520.00 Sat Jun 20 2023 14:00:00 GMT+0700 (Western Indonesia Time) ANUGERAH KARTIKA A</v>
      </c>
      <c r="D162" s="3">
        <f>IFERROR(__xludf.DUMMYFUNCTION("""COMPUTED_VALUE"""),6.910552E7)</f>
        <v>69105520</v>
      </c>
      <c r="E162" s="3"/>
      <c r="F162" s="3" t="str">
        <f>IFERROR(__xludf.DUMMYFUNCTION("""COMPUTED_VALUE"""),"DB")</f>
        <v>DB</v>
      </c>
      <c r="G162" s="3">
        <f>IFERROR(__xludf.DUMMYFUNCTION("""COMPUTED_VALUE"""),2.2855667776E8)</f>
        <v>228556677.8</v>
      </c>
      <c r="H162" s="3">
        <f>IFERROR(__xludf.DUMMYFUNCTION("""COMPUTED_VALUE"""),2.2855667776E8)</f>
        <v>228556677.8</v>
      </c>
      <c r="I162" s="3" t="str">
        <f>IFERROR(__xludf.DUMMYFUNCTION("""COMPUTED_VALUE"""),"PRODUKSI")</f>
        <v>PRODUKSI</v>
      </c>
    </row>
    <row r="163">
      <c r="A163" s="3" t="str">
        <f>IFERROR(__xludf.DUMMYFUNCTION("""COMPUTED_VALUE"""),"2023-06-22")</f>
        <v>2023-06-22</v>
      </c>
      <c r="B163" s="3" t="str">
        <f>IFERROR(__xludf.DUMMYFUNCTION("""COMPUTED_VALUE"""),"TRSF E-BANKING DB")</f>
        <v>TRSF E-BANKING DB</v>
      </c>
      <c r="C163" s="3" t="str">
        <f>IFERROR(__xludf.DUMMYFUNCTION("""COMPUTED_VALUE"""),"2206/FTSCY/WS95031 94277300.00 Sat Jun 20 2023 14:00:00 GMT+0700 (Western Indonesia Time) BROILER MAKMUR TAN")</f>
        <v>2206/FTSCY/WS95031 94277300.00 Sat Jun 20 2023 14:00:00 GMT+0700 (Western Indonesia Time) BROILER MAKMUR TAN</v>
      </c>
      <c r="D163" s="3">
        <f>IFERROR(__xludf.DUMMYFUNCTION("""COMPUTED_VALUE"""),9.42773E7)</f>
        <v>94277300</v>
      </c>
      <c r="E163" s="3"/>
      <c r="F163" s="3" t="str">
        <f>IFERROR(__xludf.DUMMYFUNCTION("""COMPUTED_VALUE"""),"DB")</f>
        <v>DB</v>
      </c>
      <c r="G163" s="3">
        <f>IFERROR(__xludf.DUMMYFUNCTION("""COMPUTED_VALUE"""),1.3427937776E8)</f>
        <v>134279377.8</v>
      </c>
      <c r="H163" s="3">
        <f>IFERROR(__xludf.DUMMYFUNCTION("""COMPUTED_VALUE"""),1.3427937776E8)</f>
        <v>134279377.8</v>
      </c>
      <c r="I163" s="3" t="str">
        <f>IFERROR(__xludf.DUMMYFUNCTION("""COMPUTED_VALUE"""),"PRODUKSI")</f>
        <v>PRODUKSI</v>
      </c>
    </row>
    <row r="164">
      <c r="A164" s="3" t="str">
        <f>IFERROR(__xludf.DUMMYFUNCTION("""COMPUTED_VALUE"""),"2023-06-22")</f>
        <v>2023-06-22</v>
      </c>
      <c r="B164" s="3" t="str">
        <f>IFERROR(__xludf.DUMMYFUNCTION("""COMPUTED_VALUE"""),"TRSF E-BANKING DB")</f>
        <v>TRSF E-BANKING DB</v>
      </c>
      <c r="C164" s="3" t="str">
        <f>IFERROR(__xludf.DUMMYFUNCTION("""COMPUTED_VALUE"""),"2206/FTSCY/WS95011 84503650.00 Sat Jun 20 2023 14:00:00 GMT+0700 (Western Indonesia Time) SUPER UNGGAS JAYA")</f>
        <v>2206/FTSCY/WS95011 84503650.00 Sat Jun 20 2023 14:00:00 GMT+0700 (Western Indonesia Time) SUPER UNGGAS JAYA</v>
      </c>
      <c r="D164" s="3">
        <f>IFERROR(__xludf.DUMMYFUNCTION("""COMPUTED_VALUE"""),8.450365E7)</f>
        <v>84503650</v>
      </c>
      <c r="E164" s="3"/>
      <c r="F164" s="3" t="str">
        <f>IFERROR(__xludf.DUMMYFUNCTION("""COMPUTED_VALUE"""),"DB")</f>
        <v>DB</v>
      </c>
      <c r="G164" s="3">
        <f>IFERROR(__xludf.DUMMYFUNCTION("""COMPUTED_VALUE"""),4.969672775999999E7)</f>
        <v>49696727.76</v>
      </c>
      <c r="H164" s="3"/>
      <c r="I164" s="3" t="str">
        <f>IFERROR(__xludf.DUMMYFUNCTION("""COMPUTED_VALUE"""),"PRODUKSI")</f>
        <v>PRODUKSI</v>
      </c>
    </row>
    <row r="165">
      <c r="A165" s="3" t="str">
        <f>IFERROR(__xludf.DUMMYFUNCTION("""COMPUTED_VALUE"""),"2023-06-22")</f>
        <v>2023-06-22</v>
      </c>
      <c r="B165" s="3" t="str">
        <f>IFERROR(__xludf.DUMMYFUNCTION("""COMPUTED_VALUE"""),"TRSF E-BANKING DB")</f>
        <v>TRSF E-BANKING DB</v>
      </c>
      <c r="C165" s="3" t="str">
        <f>IFERROR(__xludf.DUMMYFUNCTION("""COMPUTED_VALUE"""),"2206/FTSCY/WS95031 3000000.00 SANDI FAJAR PRASET")</f>
        <v>2206/FTSCY/WS95031 3000000.00 SANDI FAJAR PRASET</v>
      </c>
      <c r="D165" s="3">
        <f>IFERROR(__xludf.DUMMYFUNCTION("""COMPUTED_VALUE"""),3000000.0)</f>
        <v>3000000</v>
      </c>
      <c r="E165" s="3"/>
      <c r="F165" s="3" t="str">
        <f>IFERROR(__xludf.DUMMYFUNCTION("""COMPUTED_VALUE"""),"DB")</f>
        <v>DB</v>
      </c>
      <c r="G165" s="3">
        <f>IFERROR(__xludf.DUMMYFUNCTION("""COMPUTED_VALUE"""),4.669672775999999E7)</f>
        <v>46696727.76</v>
      </c>
      <c r="H165" s="3"/>
      <c r="I165" s="3" t="str">
        <f>IFERROR(__xludf.DUMMYFUNCTION("""COMPUTED_VALUE"""),"PRODUKSI")</f>
        <v>PRODUKSI</v>
      </c>
    </row>
    <row r="166">
      <c r="A166" s="3" t="str">
        <f>IFERROR(__xludf.DUMMYFUNCTION("""COMPUTED_VALUE"""),"2023-06-22")</f>
        <v>2023-06-22</v>
      </c>
      <c r="B166" s="3" t="str">
        <f>IFERROR(__xludf.DUMMYFUNCTION("""COMPUTED_VALUE"""),"TRSF E-BANKING DB")</f>
        <v>TRSF E-BANKING DB</v>
      </c>
      <c r="C166" s="3" t="str">
        <f>IFERROR(__xludf.DUMMYFUNCTION("""COMPUTED_VALUE"""),"2206/FTFVA/WS95031 55574/GUNA MITRA S mjk 3500kg - 200177")</f>
        <v>2206/FTFVA/WS95031 55574/GUNA MITRA S mjk 3500kg - 200177</v>
      </c>
      <c r="D166" s="3">
        <f>IFERROR(__xludf.DUMMYFUNCTION("""COMPUTED_VALUE"""),8.4E7)</f>
        <v>84000000</v>
      </c>
      <c r="E166" s="3"/>
      <c r="F166" s="3" t="str">
        <f>IFERROR(__xludf.DUMMYFUNCTION("""COMPUTED_VALUE"""),"DB")</f>
        <v>DB</v>
      </c>
      <c r="G166" s="3">
        <f>IFERROR(__xludf.DUMMYFUNCTION("""COMPUTED_VALUE"""),1.4020453276E8)</f>
        <v>140204532.8</v>
      </c>
      <c r="H166" s="3">
        <f>IFERROR(__xludf.DUMMYFUNCTION("""COMPUTED_VALUE"""),1.4020453276E8)</f>
        <v>140204532.8</v>
      </c>
      <c r="I166" s="3" t="str">
        <f>IFERROR(__xludf.DUMMYFUNCTION("""COMPUTED_VALUE"""),"PRODUKSI")</f>
        <v>PRODUKSI</v>
      </c>
    </row>
    <row r="167">
      <c r="A167" s="3" t="str">
        <f>IFERROR(__xludf.DUMMYFUNCTION("""COMPUTED_VALUE"""),"2023-06-23")</f>
        <v>2023-06-23</v>
      </c>
      <c r="B167" s="3" t="str">
        <f>IFERROR(__xludf.DUMMYFUNCTION("""COMPUTED_VALUE"""),"TRSF E-BANKING DB TANGGAL :22/06")</f>
        <v>TRSF E-BANKING DB TANGGAL :22/06</v>
      </c>
      <c r="C167" s="3" t="str">
        <f>IFERROR(__xludf.DUMMYFUNCTION("""COMPUTED_VALUE"""),"2206/FTSCY/WS95011 ponorogo 3500kg UNGGAS MANDIRI BER")</f>
        <v>2206/FTSCY/WS95011 ponorogo 3500kg UNGGAS MANDIRI BER</v>
      </c>
      <c r="D167" s="3">
        <f>IFERROR(__xludf.DUMMYFUNCTION("""COMPUTED_VALUE"""),7.7628E7)</f>
        <v>77628000</v>
      </c>
      <c r="E167" s="3"/>
      <c r="F167" s="3" t="str">
        <f>IFERROR(__xludf.DUMMYFUNCTION("""COMPUTED_VALUE"""),"DB")</f>
        <v>DB</v>
      </c>
      <c r="G167" s="3">
        <f>IFERROR(__xludf.DUMMYFUNCTION("""COMPUTED_VALUE"""),6.257653275999999E7)</f>
        <v>62576532.76</v>
      </c>
      <c r="H167" s="3"/>
      <c r="I167" s="3" t="str">
        <f>IFERROR(__xludf.DUMMYFUNCTION("""COMPUTED_VALUE"""),"PRODUKSI")</f>
        <v>PRODUKSI</v>
      </c>
    </row>
    <row r="168">
      <c r="A168" s="3" t="str">
        <f>IFERROR(__xludf.DUMMYFUNCTION("""COMPUTED_VALUE"""),"2023-06-23")</f>
        <v>2023-06-23</v>
      </c>
      <c r="B168" s="3" t="str">
        <f>IFERROR(__xludf.DUMMYFUNCTION("""COMPUTED_VALUE"""),"TRSF E-BANKING DB TANGGAL :22/06")</f>
        <v>TRSF E-BANKING DB TANGGAL :22/06</v>
      </c>
      <c r="C168" s="3" t="str">
        <f>IFERROR(__xludf.DUMMYFUNCTION("""COMPUTED_VALUE"""),"2206/FTSCY/WS95011 titip 50 TABASSAM AL HATTAK")</f>
        <v>2206/FTSCY/WS95011 titip 50 TABASSAM AL HATTAK</v>
      </c>
      <c r="D168" s="3">
        <f>IFERROR(__xludf.DUMMYFUNCTION("""COMPUTED_VALUE"""),3.37104E7)</f>
        <v>33710400</v>
      </c>
      <c r="E168" s="3"/>
      <c r="F168" s="3" t="str">
        <f>IFERROR(__xludf.DUMMYFUNCTION("""COMPUTED_VALUE"""),"DB")</f>
        <v>DB</v>
      </c>
      <c r="G168" s="3">
        <f>IFERROR(__xludf.DUMMYFUNCTION("""COMPUTED_VALUE"""),2.886613275999999E7)</f>
        <v>28866132.76</v>
      </c>
      <c r="H168" s="3"/>
      <c r="I168" s="3" t="str">
        <f>IFERROR(__xludf.DUMMYFUNCTION("""COMPUTED_VALUE"""),"PRODUKSI")</f>
        <v>PRODUKSI</v>
      </c>
    </row>
    <row r="169">
      <c r="A169" s="3" t="str">
        <f>IFERROR(__xludf.DUMMYFUNCTION("""COMPUTED_VALUE"""),"2023-06-23")</f>
        <v>2023-06-23</v>
      </c>
      <c r="B169" s="3" t="str">
        <f>IFERROR(__xludf.DUMMYFUNCTION("""COMPUTED_VALUE"""),"TRSF E-BANKING DB")</f>
        <v>TRSF E-BANKING DB</v>
      </c>
      <c r="C169" s="3" t="str">
        <f>IFERROR(__xludf.DUMMYFUNCTION("""COMPUTED_VALUE"""),"2306/FTSCY/WS95031 28000000.00 titip TABASSAM AZ ZUFAR")</f>
        <v>2306/FTSCY/WS95031 28000000.00 titip TABASSAM AZ ZUFAR</v>
      </c>
      <c r="D169" s="3">
        <f>IFERROR(__xludf.DUMMYFUNCTION("""COMPUTED_VALUE"""),2.8E7)</f>
        <v>28000000</v>
      </c>
      <c r="E169" s="3"/>
      <c r="F169" s="3" t="str">
        <f>IFERROR(__xludf.DUMMYFUNCTION("""COMPUTED_VALUE"""),"DB")</f>
        <v>DB</v>
      </c>
      <c r="G169" s="3">
        <f>IFERROR(__xludf.DUMMYFUNCTION("""COMPUTED_VALUE"""),416132.75999999046)</f>
        <v>416132.76</v>
      </c>
      <c r="H169" s="3"/>
      <c r="I169" s="3" t="str">
        <f>IFERROR(__xludf.DUMMYFUNCTION("""COMPUTED_VALUE"""),"PRODUKSI")</f>
        <v>PRODUKSI</v>
      </c>
    </row>
    <row r="170">
      <c r="A170" s="3" t="str">
        <f>IFERROR(__xludf.DUMMYFUNCTION("""COMPUTED_VALUE"""),"2023-06-23")</f>
        <v>2023-06-23</v>
      </c>
      <c r="B170" s="3" t="str">
        <f>IFERROR(__xludf.DUMMYFUNCTION("""COMPUTED_VALUE"""),"TRSF E-BANKING DB")</f>
        <v>TRSF E-BANKING DB</v>
      </c>
      <c r="C170" s="3" t="str">
        <f>IFERROR(__xludf.DUMMYFUNCTION("""COMPUTED_VALUE"""),"2306/FTSCY/WS95031 50000000.00 TABASSAM AZ ZUFAR")</f>
        <v>2306/FTSCY/WS95031 50000000.00 TABASSAM AZ ZUFAR</v>
      </c>
      <c r="D170" s="3">
        <f>IFERROR(__xludf.DUMMYFUNCTION("""COMPUTED_VALUE"""),5.0E7)</f>
        <v>50000000</v>
      </c>
      <c r="E170" s="3"/>
      <c r="F170" s="3" t="str">
        <f>IFERROR(__xludf.DUMMYFUNCTION("""COMPUTED_VALUE"""),"DB")</f>
        <v>DB</v>
      </c>
      <c r="G170" s="3">
        <f>IFERROR(__xludf.DUMMYFUNCTION("""COMPUTED_VALUE"""),416132.75999999046)</f>
        <v>416132.76</v>
      </c>
      <c r="H170" s="3"/>
      <c r="I170" s="3" t="str">
        <f>IFERROR(__xludf.DUMMYFUNCTION("""COMPUTED_VALUE"""),"PRODUKSI")</f>
        <v>PRODUKSI</v>
      </c>
    </row>
    <row r="171">
      <c r="A171" s="3" t="str">
        <f>IFERROR(__xludf.DUMMYFUNCTION("""COMPUTED_VALUE"""),"2023-06-23")</f>
        <v>2023-06-23</v>
      </c>
      <c r="B171" s="3" t="str">
        <f>IFERROR(__xludf.DUMMYFUNCTION("""COMPUTED_VALUE"""),"TRSF E-BANKING DB")</f>
        <v>TRSF E-BANKING DB</v>
      </c>
      <c r="C171" s="3" t="str">
        <f>IFERROR(__xludf.DUMMYFUNCTION("""COMPUTED_VALUE"""),"2306/FTSCY/WS95031 1200000.00 pelunasan mjk TABASSAM AZ ZUFAR")</f>
        <v>2306/FTSCY/WS95031 1200000.00 pelunasan mjk TABASSAM AZ ZUFAR</v>
      </c>
      <c r="D171" s="3">
        <f>IFERROR(__xludf.DUMMYFUNCTION("""COMPUTED_VALUE"""),1200000.0)</f>
        <v>1200000</v>
      </c>
      <c r="E171" s="3"/>
      <c r="F171" s="3" t="str">
        <f>IFERROR(__xludf.DUMMYFUNCTION("""COMPUTED_VALUE"""),"DB")</f>
        <v>DB</v>
      </c>
      <c r="G171" s="3">
        <f>IFERROR(__xludf.DUMMYFUNCTION("""COMPUTED_VALUE"""),2.7855037276E8)</f>
        <v>278550372.8</v>
      </c>
      <c r="H171" s="3"/>
      <c r="I171" s="3" t="str">
        <f>IFERROR(__xludf.DUMMYFUNCTION("""COMPUTED_VALUE"""),"PRODUKSI")</f>
        <v>PRODUKSI</v>
      </c>
    </row>
    <row r="172">
      <c r="A172" s="3" t="str">
        <f>IFERROR(__xludf.DUMMYFUNCTION("""COMPUTED_VALUE"""),"2023-06-23")</f>
        <v>2023-06-23</v>
      </c>
      <c r="B172" s="3" t="str">
        <f>IFERROR(__xludf.DUMMYFUNCTION("""COMPUTED_VALUE"""),"TRSF E-BANKING DB")</f>
        <v>TRSF E-BANKING DB</v>
      </c>
      <c r="C172" s="3" t="str">
        <f>IFERROR(__xludf.DUMMYFUNCTION("""COMPUTED_VALUE"""),"2306/FTSCY/WS95031 17627700.00 pelunasan nganjuk TABASSAM AL HATTAK")</f>
        <v>2306/FTSCY/WS95031 17627700.00 pelunasan nganjuk TABASSAM AL HATTAK</v>
      </c>
      <c r="D172" s="3">
        <f>IFERROR(__xludf.DUMMYFUNCTION("""COMPUTED_VALUE"""),1.76277E7)</f>
        <v>17627700</v>
      </c>
      <c r="E172" s="3"/>
      <c r="F172" s="3" t="str">
        <f>IFERROR(__xludf.DUMMYFUNCTION("""COMPUTED_VALUE"""),"DB")</f>
        <v>DB</v>
      </c>
      <c r="G172" s="3">
        <f>IFERROR(__xludf.DUMMYFUNCTION("""COMPUTED_VALUE"""),2.6092267276E8)</f>
        <v>260922672.8</v>
      </c>
      <c r="H172" s="3"/>
      <c r="I172" s="3" t="str">
        <f>IFERROR(__xludf.DUMMYFUNCTION("""COMPUTED_VALUE"""),"PRODUKSI")</f>
        <v>PRODUKSI</v>
      </c>
    </row>
    <row r="173">
      <c r="A173" s="3" t="str">
        <f>IFERROR(__xludf.DUMMYFUNCTION("""COMPUTED_VALUE"""),"2023-06-23")</f>
        <v>2023-06-23</v>
      </c>
      <c r="B173" s="3" t="str">
        <f>IFERROR(__xludf.DUMMYFUNCTION("""COMPUTED_VALUE"""),"TRSF E-BANKING DB")</f>
        <v>TRSF E-BANKING DB</v>
      </c>
      <c r="C173" s="3" t="str">
        <f>IFERROR(__xludf.DUMMYFUNCTION("""COMPUTED_VALUE"""),"2306/FTSCY/WS95011 74687760.00 Sat Mar 21 2023 14:00:00 GMT+0700 (Western Indonesia Time) LAWU ABADI NUSA PT")</f>
        <v>2306/FTSCY/WS95011 74687760.00 Sat Mar 21 2023 14:00:00 GMT+0700 (Western Indonesia Time) LAWU ABADI NUSA PT</v>
      </c>
      <c r="D173" s="3">
        <f>IFERROR(__xludf.DUMMYFUNCTION("""COMPUTED_VALUE"""),7.468776E7)</f>
        <v>74687760</v>
      </c>
      <c r="E173" s="3"/>
      <c r="F173" s="3" t="str">
        <f>IFERROR(__xludf.DUMMYFUNCTION("""COMPUTED_VALUE"""),"DB")</f>
        <v>DB</v>
      </c>
      <c r="G173" s="3">
        <f>IFERROR(__xludf.DUMMYFUNCTION("""COMPUTED_VALUE"""),1.8623491276E8)</f>
        <v>186234912.8</v>
      </c>
      <c r="H173" s="3"/>
      <c r="I173" s="3" t="str">
        <f>IFERROR(__xludf.DUMMYFUNCTION("""COMPUTED_VALUE"""),"PRODUKSI")</f>
        <v>PRODUKSI</v>
      </c>
    </row>
    <row r="174">
      <c r="A174" s="3" t="str">
        <f>IFERROR(__xludf.DUMMYFUNCTION("""COMPUTED_VALUE"""),"2023-06-23")</f>
        <v>2023-06-23</v>
      </c>
      <c r="B174" s="3" t="str">
        <f>IFERROR(__xludf.DUMMYFUNCTION("""COMPUTED_VALUE"""),"TRSF E-BANKING DB")</f>
        <v>TRSF E-BANKING DB</v>
      </c>
      <c r="C174" s="3" t="str">
        <f>IFERROR(__xludf.DUMMYFUNCTION("""COMPUTED_VALUE"""),"2306/FTSCY/WS95011 109841850.00 Sat Mar 21 2023 14:00:00 GMT+0700 (Western Indonesia Time) GANESHA SATRIA NUS")</f>
        <v>2306/FTSCY/WS95011 109841850.00 Sat Mar 21 2023 14:00:00 GMT+0700 (Western Indonesia Time) GANESHA SATRIA NUS</v>
      </c>
      <c r="D174" s="3">
        <f>IFERROR(__xludf.DUMMYFUNCTION("""COMPUTED_VALUE"""),1.0984185E8)</f>
        <v>109841850</v>
      </c>
      <c r="E174" s="3"/>
      <c r="F174" s="3" t="str">
        <f>IFERROR(__xludf.DUMMYFUNCTION("""COMPUTED_VALUE"""),"DB")</f>
        <v>DB</v>
      </c>
      <c r="G174" s="3">
        <f>IFERROR(__xludf.DUMMYFUNCTION("""COMPUTED_VALUE"""),7.639306275999999E7)</f>
        <v>76393062.76</v>
      </c>
      <c r="H174" s="3"/>
      <c r="I174" s="3" t="str">
        <f>IFERROR(__xludf.DUMMYFUNCTION("""COMPUTED_VALUE"""),"PRODUKSI")</f>
        <v>PRODUKSI</v>
      </c>
    </row>
    <row r="175">
      <c r="A175" s="3" t="str">
        <f>IFERROR(__xludf.DUMMYFUNCTION("""COMPUTED_VALUE"""),"2023-06-23")</f>
        <v>2023-06-23</v>
      </c>
      <c r="B175" s="3" t="str">
        <f>IFERROR(__xludf.DUMMYFUNCTION("""COMPUTED_VALUE"""),"TRSF E-BANKING DB")</f>
        <v>TRSF E-BANKING DB</v>
      </c>
      <c r="C175" s="3" t="str">
        <f>IFERROR(__xludf.DUMMYFUNCTION("""COMPUTED_VALUE"""),"2306/FTSCY/WS95011 70500000.00 Sat Jun 20 2023 14:00:00 GMT+0700 (Western Indonesia Time) ANDALAN YASA MITRA")</f>
        <v>2306/FTSCY/WS95011 70500000.00 Sat Jun 20 2023 14:00:00 GMT+0700 (Western Indonesia Time) ANDALAN YASA MITRA</v>
      </c>
      <c r="D175" s="3">
        <f>IFERROR(__xludf.DUMMYFUNCTION("""COMPUTED_VALUE"""),7.05E7)</f>
        <v>70500000</v>
      </c>
      <c r="E175" s="3"/>
      <c r="F175" s="3" t="str">
        <f>IFERROR(__xludf.DUMMYFUNCTION("""COMPUTED_VALUE"""),"DB")</f>
        <v>DB</v>
      </c>
      <c r="G175" s="3">
        <f>IFERROR(__xludf.DUMMYFUNCTION("""COMPUTED_VALUE"""),5893062.75999999)</f>
        <v>5893062.76</v>
      </c>
      <c r="H175" s="3">
        <f>IFERROR(__xludf.DUMMYFUNCTION("""COMPUTED_VALUE"""),5893062.76)</f>
        <v>5893062.76</v>
      </c>
      <c r="I175" s="3" t="str">
        <f>IFERROR(__xludf.DUMMYFUNCTION("""COMPUTED_VALUE"""),"PRODUKSI")</f>
        <v>PRODUKSI</v>
      </c>
    </row>
    <row r="176">
      <c r="A176" s="3" t="str">
        <f>IFERROR(__xludf.DUMMYFUNCTION("""COMPUTED_VALUE"""),"2023-06-23")</f>
        <v>2023-06-23</v>
      </c>
      <c r="B176" s="3" t="str">
        <f>IFERROR(__xludf.DUMMYFUNCTION("""COMPUTED_VALUE"""),"TRSF E-BANKING DB")</f>
        <v>TRSF E-BANKING DB</v>
      </c>
      <c r="C176" s="3" t="str">
        <f>IFERROR(__xludf.DUMMYFUNCTION("""COMPUTED_VALUE"""),"2306/FTSCY/WS95271 65800000.00 Mon Jun 22 2023 14:00:00 GMT+0700 (Western Indonesia Time) BRANTAS ABADI SENT")</f>
        <v>2306/FTSCY/WS95271 65800000.00 Mon Jun 22 2023 14:00:00 GMT+0700 (Western Indonesia Time) BRANTAS ABADI SENT</v>
      </c>
      <c r="D176" s="3">
        <f>IFERROR(__xludf.DUMMYFUNCTION("""COMPUTED_VALUE"""),6.58E7)</f>
        <v>65800000</v>
      </c>
      <c r="E176" s="3"/>
      <c r="F176" s="3" t="str">
        <f>IFERROR(__xludf.DUMMYFUNCTION("""COMPUTED_VALUE"""),"DB")</f>
        <v>DB</v>
      </c>
      <c r="G176" s="3">
        <f>IFERROR(__xludf.DUMMYFUNCTION("""COMPUTED_VALUE"""),5.0031061276E8)</f>
        <v>500310612.8</v>
      </c>
      <c r="H176" s="3"/>
      <c r="I176" s="3" t="str">
        <f>IFERROR(__xludf.DUMMYFUNCTION("""COMPUTED_VALUE"""),"PRODUKSI")</f>
        <v>PRODUKSI</v>
      </c>
    </row>
    <row r="177">
      <c r="A177" s="3" t="str">
        <f>IFERROR(__xludf.DUMMYFUNCTION("""COMPUTED_VALUE"""),"2023-06-23")</f>
        <v>2023-06-23</v>
      </c>
      <c r="B177" s="3" t="str">
        <f>IFERROR(__xludf.DUMMYFUNCTION("""COMPUTED_VALUE"""),"TRSF E-BANKING DB")</f>
        <v>TRSF E-BANKING DB</v>
      </c>
      <c r="C177" s="3" t="str">
        <f>IFERROR(__xludf.DUMMYFUNCTION("""COMPUTED_VALUE"""),"2306/FTSCY/WS95271 50000000.00 GATUT SETYO WIBOWO")</f>
        <v>2306/FTSCY/WS95271 50000000.00 GATUT SETYO WIBOWO</v>
      </c>
      <c r="D177" s="3">
        <f>IFERROR(__xludf.DUMMYFUNCTION("""COMPUTED_VALUE"""),5.0E7)</f>
        <v>50000000</v>
      </c>
      <c r="E177" s="3"/>
      <c r="F177" s="3" t="str">
        <f>IFERROR(__xludf.DUMMYFUNCTION("""COMPUTED_VALUE"""),"DB")</f>
        <v>DB</v>
      </c>
      <c r="G177" s="3">
        <f>IFERROR(__xludf.DUMMYFUNCTION("""COMPUTED_VALUE"""),4.5031061276E8)</f>
        <v>450310612.8</v>
      </c>
      <c r="H177" s="3"/>
      <c r="I177" s="3" t="str">
        <f>IFERROR(__xludf.DUMMYFUNCTION("""COMPUTED_VALUE"""),"PRODUKSI")</f>
        <v>PRODUKSI</v>
      </c>
    </row>
    <row r="178">
      <c r="A178" s="3" t="str">
        <f>IFERROR(__xludf.DUMMYFUNCTION("""COMPUTED_VALUE"""),"2023-06-23")</f>
        <v>2023-06-23</v>
      </c>
      <c r="B178" s="3" t="str">
        <f>IFERROR(__xludf.DUMMYFUNCTION("""COMPUTED_VALUE"""),"TRSF E-BANKING DB")</f>
        <v>TRSF E-BANKING DB</v>
      </c>
      <c r="C178" s="3" t="str">
        <f>IFERROR(__xludf.DUMMYFUNCTION("""COMPUTED_VALUE"""),"2306/FTSCY/WS95271 76800000.00 Sun Jun 21 2023 14:00:00 GMT+0700 (Western Indonesia Time) LAJU SATWA WISESA")</f>
        <v>2306/FTSCY/WS95271 76800000.00 Sun Jun 21 2023 14:00:00 GMT+0700 (Western Indonesia Time) LAJU SATWA WISESA</v>
      </c>
      <c r="D178" s="3">
        <f>IFERROR(__xludf.DUMMYFUNCTION("""COMPUTED_VALUE"""),7.68E7)</f>
        <v>76800000</v>
      </c>
      <c r="E178" s="3"/>
      <c r="F178" s="3" t="str">
        <f>IFERROR(__xludf.DUMMYFUNCTION("""COMPUTED_VALUE"""),"DB")</f>
        <v>DB</v>
      </c>
      <c r="G178" s="3">
        <f>IFERROR(__xludf.DUMMYFUNCTION("""COMPUTED_VALUE"""),3.7351061276E8)</f>
        <v>373510612.8</v>
      </c>
      <c r="H178" s="3"/>
      <c r="I178" s="3" t="str">
        <f>IFERROR(__xludf.DUMMYFUNCTION("""COMPUTED_VALUE"""),"PRODUKSI")</f>
        <v>PRODUKSI</v>
      </c>
    </row>
    <row r="179">
      <c r="A179" s="3" t="str">
        <f>IFERROR(__xludf.DUMMYFUNCTION("""COMPUTED_VALUE"""),"2023-06-23")</f>
        <v>2023-06-23</v>
      </c>
      <c r="B179" s="3" t="str">
        <f>IFERROR(__xludf.DUMMYFUNCTION("""COMPUTED_VALUE"""),"TRSF E-BANKING DB")</f>
        <v>TRSF E-BANKING DB</v>
      </c>
      <c r="C179" s="3" t="str">
        <f>IFERROR(__xludf.DUMMYFUNCTION("""COMPUTED_VALUE"""),"2306/FTSCY/WS95271 86268500.00 Sun Jun 21 2023 14:00:00 GMT+0700 (Western Indonesia Time) BINTANG TAMA SANTO")</f>
        <v>2306/FTSCY/WS95271 86268500.00 Sun Jun 21 2023 14:00:00 GMT+0700 (Western Indonesia Time) BINTANG TAMA SANTO</v>
      </c>
      <c r="D179" s="3">
        <f>IFERROR(__xludf.DUMMYFUNCTION("""COMPUTED_VALUE"""),8.62685E7)</f>
        <v>86268500</v>
      </c>
      <c r="E179" s="3"/>
      <c r="F179" s="3" t="str">
        <f>IFERROR(__xludf.DUMMYFUNCTION("""COMPUTED_VALUE"""),"DB")</f>
        <v>DB</v>
      </c>
      <c r="G179" s="3">
        <f>IFERROR(__xludf.DUMMYFUNCTION("""COMPUTED_VALUE"""),2.8724211276E8)</f>
        <v>287242112.8</v>
      </c>
      <c r="H179" s="3"/>
      <c r="I179" s="3" t="str">
        <f>IFERROR(__xludf.DUMMYFUNCTION("""COMPUTED_VALUE"""),"PRODUKSI")</f>
        <v>PRODUKSI</v>
      </c>
    </row>
    <row r="180">
      <c r="A180" s="3" t="str">
        <f>IFERROR(__xludf.DUMMYFUNCTION("""COMPUTED_VALUE"""),"2023-06-23")</f>
        <v>2023-06-23</v>
      </c>
      <c r="B180" s="3" t="str">
        <f>IFERROR(__xludf.DUMMYFUNCTION("""COMPUTED_VALUE"""),"TRSF E-BANKING DB")</f>
        <v>TRSF E-BANKING DB</v>
      </c>
      <c r="C180" s="3" t="str">
        <f>IFERROR(__xludf.DUMMYFUNCTION("""COMPUTED_VALUE"""),"2306/FTFVA/WS95031 55569/PT PRIMA FAJ blitar 7 ton - 40190")</f>
        <v>2306/FTFVA/WS95031 55569/PT PRIMA FAJ blitar 7 ton - 40190</v>
      </c>
      <c r="D180" s="3">
        <f>IFERROR(__xludf.DUMMYFUNCTION("""COMPUTED_VALUE"""),1.433055E8)</f>
        <v>143305500</v>
      </c>
      <c r="E180" s="3"/>
      <c r="F180" s="3" t="str">
        <f>IFERROR(__xludf.DUMMYFUNCTION("""COMPUTED_VALUE"""),"DB")</f>
        <v>DB</v>
      </c>
      <c r="G180" s="3">
        <f>IFERROR(__xludf.DUMMYFUNCTION("""COMPUTED_VALUE"""),1.3140913275999999E8)</f>
        <v>131409132.8</v>
      </c>
      <c r="H180" s="3">
        <f>IFERROR(__xludf.DUMMYFUNCTION("""COMPUTED_VALUE"""),1.3140913276E8)</f>
        <v>131409132.8</v>
      </c>
      <c r="I180" s="3" t="str">
        <f>IFERROR(__xludf.DUMMYFUNCTION("""COMPUTED_VALUE"""),"PRODUKSI")</f>
        <v>PRODUKSI</v>
      </c>
    </row>
    <row r="181">
      <c r="A181" s="3" t="str">
        <f>IFERROR(__xludf.DUMMYFUNCTION("""COMPUTED_VALUE"""),"2023-06-23")</f>
        <v>2023-06-23</v>
      </c>
      <c r="B181" s="3" t="str">
        <f>IFERROR(__xludf.DUMMYFUNCTION("""COMPUTED_VALUE"""),"TRSF E-BANKING DB")</f>
        <v>TRSF E-BANKING DB</v>
      </c>
      <c r="C181" s="3" t="str">
        <f>IFERROR(__xludf.DUMMYFUNCTION("""COMPUTED_VALUE"""),"2306/FTSCY/WS95011 68513470.00 magetan 2900kg UNGGAS MANDIRI BER")</f>
        <v>2306/FTSCY/WS95011 68513470.00 magetan 2900kg UNGGAS MANDIRI BER</v>
      </c>
      <c r="D181" s="3">
        <f>IFERROR(__xludf.DUMMYFUNCTION("""COMPUTED_VALUE"""),6.851347E7)</f>
        <v>68513470</v>
      </c>
      <c r="E181" s="3"/>
      <c r="F181" s="3" t="str">
        <f>IFERROR(__xludf.DUMMYFUNCTION("""COMPUTED_VALUE"""),"DB")</f>
        <v>DB</v>
      </c>
      <c r="G181" s="3">
        <f>IFERROR(__xludf.DUMMYFUNCTION("""COMPUTED_VALUE"""),6.289566275999999E7)</f>
        <v>62895662.76</v>
      </c>
      <c r="H181" s="3"/>
      <c r="I181" s="3" t="str">
        <f>IFERROR(__xludf.DUMMYFUNCTION("""COMPUTED_VALUE"""),"PRODUKSI")</f>
        <v>PRODUKSI</v>
      </c>
    </row>
    <row r="182">
      <c r="A182" s="3" t="str">
        <f>IFERROR(__xludf.DUMMYFUNCTION("""COMPUTED_VALUE"""),"2023-06-23")</f>
        <v>2023-06-23</v>
      </c>
      <c r="B182" s="3" t="str">
        <f>IFERROR(__xludf.DUMMYFUNCTION("""COMPUTED_VALUE"""),"TRSF E-BANKING DB")</f>
        <v>TRSF E-BANKING DB</v>
      </c>
      <c r="C182" s="3" t="str">
        <f>IFERROR(__xludf.DUMMYFUNCTION("""COMPUTED_VALUE"""),"2306/FTSCY/WS95011 62780000.00 titip tuban TABASSAM AZ ZUFAR")</f>
        <v>2306/FTSCY/WS95011 62780000.00 titip tuban TABASSAM AZ ZUFAR</v>
      </c>
      <c r="D182" s="3">
        <f>IFERROR(__xludf.DUMMYFUNCTION("""COMPUTED_VALUE"""),6.278E7)</f>
        <v>62780000</v>
      </c>
      <c r="E182" s="3"/>
      <c r="F182" s="3" t="str">
        <f>IFERROR(__xludf.DUMMYFUNCTION("""COMPUTED_VALUE"""),"DB")</f>
        <v>DB</v>
      </c>
      <c r="G182" s="3">
        <f>IFERROR(__xludf.DUMMYFUNCTION("""COMPUTED_VALUE"""),115662.75999999046)</f>
        <v>115662.76</v>
      </c>
      <c r="H182" s="3">
        <f>IFERROR(__xludf.DUMMYFUNCTION("""COMPUTED_VALUE"""),115662.76)</f>
        <v>115662.76</v>
      </c>
      <c r="I182" s="3" t="str">
        <f>IFERROR(__xludf.DUMMYFUNCTION("""COMPUTED_VALUE"""),"PRODUKSI")</f>
        <v>PRODUKSI</v>
      </c>
    </row>
    <row r="183">
      <c r="A183" s="3" t="str">
        <f>IFERROR(__xludf.DUMMYFUNCTION("""COMPUTED_VALUE"""),"2023-06-24")</f>
        <v>2023-06-24</v>
      </c>
      <c r="B183" s="3" t="str">
        <f>IFERROR(__xludf.DUMMYFUNCTION("""COMPUTED_VALUE"""),"TRSF E-BANKING DB")</f>
        <v>TRSF E-BANKING DB</v>
      </c>
      <c r="C183" s="3" t="str">
        <f>IFERROR(__xludf.DUMMYFUNCTION("""COMPUTED_VALUE"""),"2406/FTSCY/WS95011 171103500.00 Sun Jun 21 2023 14:00:00 GMT+0700 (Western Indonesia Time) BROILER MAKMUR TAN")</f>
        <v>2406/FTSCY/WS95011 171103500.00 Sun Jun 21 2023 14:00:00 GMT+0700 (Western Indonesia Time) BROILER MAKMUR TAN</v>
      </c>
      <c r="D183" s="3">
        <f>IFERROR(__xludf.DUMMYFUNCTION("""COMPUTED_VALUE"""),1.711035E8)</f>
        <v>171103500</v>
      </c>
      <c r="E183" s="3"/>
      <c r="F183" s="3" t="str">
        <f>IFERROR(__xludf.DUMMYFUNCTION("""COMPUTED_VALUE"""),"DB")</f>
        <v>DB</v>
      </c>
      <c r="G183" s="3">
        <f>IFERROR(__xludf.DUMMYFUNCTION("""COMPUTED_VALUE"""),2.5949175276E8)</f>
        <v>259491752.8</v>
      </c>
      <c r="H183" s="3"/>
      <c r="I183" s="3" t="str">
        <f>IFERROR(__xludf.DUMMYFUNCTION("""COMPUTED_VALUE"""),"PRODUKSI")</f>
        <v>PRODUKSI</v>
      </c>
    </row>
    <row r="184">
      <c r="A184" s="3" t="str">
        <f>IFERROR(__xludf.DUMMYFUNCTION("""COMPUTED_VALUE"""),"2023-06-24")</f>
        <v>2023-06-24</v>
      </c>
      <c r="B184" s="3" t="str">
        <f>IFERROR(__xludf.DUMMYFUNCTION("""COMPUTED_VALUE"""),"TRSF E-BANKING DB")</f>
        <v>TRSF E-BANKING DB</v>
      </c>
      <c r="C184" s="3" t="str">
        <f>IFERROR(__xludf.DUMMYFUNCTION("""COMPUTED_VALUE"""),"2406/FTSCY/WS95011 135106590.00 Mon Jun 22 2023 14:00:00 GMT+0700 (Western Indonesia Time) SURYA INTI TERNAK")</f>
        <v>2406/FTSCY/WS95011 135106590.00 Mon Jun 22 2023 14:00:00 GMT+0700 (Western Indonesia Time) SURYA INTI TERNAK</v>
      </c>
      <c r="D184" s="3">
        <f>IFERROR(__xludf.DUMMYFUNCTION("""COMPUTED_VALUE"""),1.3510659E8)</f>
        <v>135106590</v>
      </c>
      <c r="E184" s="3"/>
      <c r="F184" s="3" t="str">
        <f>IFERROR(__xludf.DUMMYFUNCTION("""COMPUTED_VALUE"""),"DB")</f>
        <v>DB</v>
      </c>
      <c r="G184" s="3">
        <f>IFERROR(__xludf.DUMMYFUNCTION("""COMPUTED_VALUE"""),1.2438516275999999E8)</f>
        <v>124385162.8</v>
      </c>
      <c r="H184" s="3"/>
      <c r="I184" s="3" t="str">
        <f>IFERROR(__xludf.DUMMYFUNCTION("""COMPUTED_VALUE"""),"PRODUKSI")</f>
        <v>PRODUKSI</v>
      </c>
    </row>
    <row r="185">
      <c r="A185" s="3" t="str">
        <f>IFERROR(__xludf.DUMMYFUNCTION("""COMPUTED_VALUE"""),"2023-06-24")</f>
        <v>2023-06-24</v>
      </c>
      <c r="B185" s="3" t="str">
        <f>IFERROR(__xludf.DUMMYFUNCTION("""COMPUTED_VALUE"""),"TRSF E-BANKING DB")</f>
        <v>TRSF E-BANKING DB</v>
      </c>
      <c r="C185" s="3" t="str">
        <f>IFERROR(__xludf.DUMMYFUNCTION("""COMPUTED_VALUE"""),"2406/FTSCY/WS95011 93856740.00 Mon Jun 22 2023 14:00:00 GMT+0700 (Western Indonesia Time) PITIK DIGITAL INDO")</f>
        <v>2406/FTSCY/WS95011 93856740.00 Mon Jun 22 2023 14:00:00 GMT+0700 (Western Indonesia Time) PITIK DIGITAL INDO</v>
      </c>
      <c r="D185" s="3">
        <f>IFERROR(__xludf.DUMMYFUNCTION("""COMPUTED_VALUE"""),9.385674E7)</f>
        <v>93856740</v>
      </c>
      <c r="E185" s="3"/>
      <c r="F185" s="3" t="str">
        <f>IFERROR(__xludf.DUMMYFUNCTION("""COMPUTED_VALUE"""),"DB")</f>
        <v>DB</v>
      </c>
      <c r="G185" s="3">
        <f>IFERROR(__xludf.DUMMYFUNCTION("""COMPUTED_VALUE"""),3.052842275999999E7)</f>
        <v>30528422.76</v>
      </c>
      <c r="H185" s="3"/>
      <c r="I185" s="3" t="str">
        <f>IFERROR(__xludf.DUMMYFUNCTION("""COMPUTED_VALUE"""),"PRODUKSI")</f>
        <v>PRODUKSI</v>
      </c>
    </row>
    <row r="186">
      <c r="A186" s="3" t="str">
        <f>IFERROR(__xludf.DUMMYFUNCTION("""COMPUTED_VALUE"""),"2023-06-24")</f>
        <v>2023-06-24</v>
      </c>
      <c r="B186" s="3" t="str">
        <f>IFERROR(__xludf.DUMMYFUNCTION("""COMPUTED_VALUE"""),"TRSF E-BANKING DB")</f>
        <v>TRSF E-BANKING DB</v>
      </c>
      <c r="C186" s="3" t="str">
        <f>IFERROR(__xludf.DUMMYFUNCTION("""COMPUTED_VALUE"""),"2406/FTSCY/WS95031 25043890.00 pelunasan tuban TABASSAM AZ ZUFAR")</f>
        <v>2406/FTSCY/WS95031 25043890.00 pelunasan tuban TABASSAM AZ ZUFAR</v>
      </c>
      <c r="D186" s="3">
        <f>IFERROR(__xludf.DUMMYFUNCTION("""COMPUTED_VALUE"""),2.504389E7)</f>
        <v>25043890</v>
      </c>
      <c r="E186" s="3"/>
      <c r="F186" s="3" t="str">
        <f>IFERROR(__xludf.DUMMYFUNCTION("""COMPUTED_VALUE"""),"DB")</f>
        <v>DB</v>
      </c>
      <c r="G186" s="3">
        <f>IFERROR(__xludf.DUMMYFUNCTION("""COMPUTED_VALUE"""),6.2096644776E8)</f>
        <v>620966447.8</v>
      </c>
      <c r="H186" s="3"/>
      <c r="I186" s="3" t="str">
        <f>IFERROR(__xludf.DUMMYFUNCTION("""COMPUTED_VALUE"""),"PRODUKSI")</f>
        <v>PRODUKSI</v>
      </c>
    </row>
    <row r="187">
      <c r="A187" s="3" t="str">
        <f>IFERROR(__xludf.DUMMYFUNCTION("""COMPUTED_VALUE"""),"2023-06-24")</f>
        <v>2023-06-24</v>
      </c>
      <c r="B187" s="3" t="str">
        <f>IFERROR(__xludf.DUMMYFUNCTION("""COMPUTED_VALUE"""),"TRSF E-BANKING DB")</f>
        <v>TRSF E-BANKING DB</v>
      </c>
      <c r="C187" s="3" t="str">
        <f>IFERROR(__xludf.DUMMYFUNCTION("""COMPUTED_VALUE"""),"2406/FTSCY/WS95011 99560800.00 Mon Jun 22 2023 14:00:00 GMT+0700 (Western Indonesia Time) LAJU SATWA WISESA")</f>
        <v>2406/FTSCY/WS95011 99560800.00 Mon Jun 22 2023 14:00:00 GMT+0700 (Western Indonesia Time) LAJU SATWA WISESA</v>
      </c>
      <c r="D187" s="3">
        <f>IFERROR(__xludf.DUMMYFUNCTION("""COMPUTED_VALUE"""),9.95608E7)</f>
        <v>99560800</v>
      </c>
      <c r="E187" s="3"/>
      <c r="F187" s="3" t="str">
        <f>IFERROR(__xludf.DUMMYFUNCTION("""COMPUTED_VALUE"""),"DB")</f>
        <v>DB</v>
      </c>
      <c r="G187" s="3">
        <f>IFERROR(__xludf.DUMMYFUNCTION("""COMPUTED_VALUE"""),5.2140564776E8)</f>
        <v>521405647.8</v>
      </c>
      <c r="H187" s="3"/>
      <c r="I187" s="3" t="str">
        <f>IFERROR(__xludf.DUMMYFUNCTION("""COMPUTED_VALUE"""),"PRODUKSI")</f>
        <v>PRODUKSI</v>
      </c>
    </row>
    <row r="188">
      <c r="A188" s="3" t="str">
        <f>IFERROR(__xludf.DUMMYFUNCTION("""COMPUTED_VALUE"""),"2023-06-24")</f>
        <v>2023-06-24</v>
      </c>
      <c r="B188" s="3" t="str">
        <f>IFERROR(__xludf.DUMMYFUNCTION("""COMPUTED_VALUE"""),"TRSF E-BANKING DB")</f>
        <v>TRSF E-BANKING DB</v>
      </c>
      <c r="C188" s="3" t="str">
        <f>IFERROR(__xludf.DUMMYFUNCTION("""COMPUTED_VALUE"""),"2406/FTSCY/WS95271 125000000.00 pelunasan 22/06 LAJU SATWA WISESA")</f>
        <v>2406/FTSCY/WS95271 125000000.00 pelunasan 22/06 LAJU SATWA WISESA</v>
      </c>
      <c r="D188" s="3">
        <f>IFERROR(__xludf.DUMMYFUNCTION("""COMPUTED_VALUE"""),1.25E8)</f>
        <v>125000000</v>
      </c>
      <c r="E188" s="3"/>
      <c r="F188" s="3" t="str">
        <f>IFERROR(__xludf.DUMMYFUNCTION("""COMPUTED_VALUE"""),"DB")</f>
        <v>DB</v>
      </c>
      <c r="G188" s="3">
        <f>IFERROR(__xludf.DUMMYFUNCTION("""COMPUTED_VALUE"""),3.9640564776E8)</f>
        <v>396405647.8</v>
      </c>
      <c r="H188" s="3"/>
      <c r="I188" s="3" t="str">
        <f>IFERROR(__xludf.DUMMYFUNCTION("""COMPUTED_VALUE"""),"PRODUKSI")</f>
        <v>PRODUKSI</v>
      </c>
    </row>
    <row r="189">
      <c r="A189" s="3" t="str">
        <f>IFERROR(__xludf.DUMMYFUNCTION("""COMPUTED_VALUE"""),"2023-06-24")</f>
        <v>2023-06-24</v>
      </c>
      <c r="B189" s="3" t="str">
        <f>IFERROR(__xludf.DUMMYFUNCTION("""COMPUTED_VALUE"""),"TRSF E-BANKING DB")</f>
        <v>TRSF E-BANKING DB</v>
      </c>
      <c r="C189" s="3" t="str">
        <f>IFERROR(__xludf.DUMMYFUNCTION("""COMPUTED_VALUE"""),"2406/FTSCY/WS95271 174886260.00 Mon Jun 22 2023 14:00:00 GMT+0700 (Western Indonesia Time) SUPER UNGGAS JAYA")</f>
        <v>2406/FTSCY/WS95271 174886260.00 Mon Jun 22 2023 14:00:00 GMT+0700 (Western Indonesia Time) SUPER UNGGAS JAYA</v>
      </c>
      <c r="D189" s="3">
        <f>IFERROR(__xludf.DUMMYFUNCTION("""COMPUTED_VALUE"""),1.7488626E8)</f>
        <v>174886260</v>
      </c>
      <c r="E189" s="3"/>
      <c r="F189" s="3" t="str">
        <f>IFERROR(__xludf.DUMMYFUNCTION("""COMPUTED_VALUE"""),"DB")</f>
        <v>DB</v>
      </c>
      <c r="G189" s="3">
        <f>IFERROR(__xludf.DUMMYFUNCTION("""COMPUTED_VALUE"""),2.2151938776E8)</f>
        <v>221519387.8</v>
      </c>
      <c r="H189" s="3"/>
      <c r="I189" s="3" t="str">
        <f>IFERROR(__xludf.DUMMYFUNCTION("""COMPUTED_VALUE"""),"PRODUKSI")</f>
        <v>PRODUKSI</v>
      </c>
    </row>
    <row r="190">
      <c r="A190" s="3" t="str">
        <f>IFERROR(__xludf.DUMMYFUNCTION("""COMPUTED_VALUE"""),"2023-06-24")</f>
        <v>2023-06-24</v>
      </c>
      <c r="B190" s="3" t="str">
        <f>IFERROR(__xludf.DUMMYFUNCTION("""COMPUTED_VALUE"""),"TRSF E-BANKING DB")</f>
        <v>TRSF E-BANKING DB</v>
      </c>
      <c r="C190" s="3" t="str">
        <f>IFERROR(__xludf.DUMMYFUNCTION("""COMPUTED_VALUE"""),"2406/FTSCY/WS95031 57000000.00 pelunasan SUPER UNGGAS JAYA")</f>
        <v>2406/FTSCY/WS95031 57000000.00 pelunasan SUPER UNGGAS JAYA</v>
      </c>
      <c r="D190" s="3">
        <f>IFERROR(__xludf.DUMMYFUNCTION("""COMPUTED_VALUE"""),5.7E7)</f>
        <v>57000000</v>
      </c>
      <c r="E190" s="3"/>
      <c r="F190" s="3" t="str">
        <f>IFERROR(__xludf.DUMMYFUNCTION("""COMPUTED_VALUE"""),"DB")</f>
        <v>DB</v>
      </c>
      <c r="G190" s="3">
        <f>IFERROR(__xludf.DUMMYFUNCTION("""COMPUTED_VALUE"""),1.6451938776E8)</f>
        <v>164519387.8</v>
      </c>
      <c r="H190" s="3"/>
      <c r="I190" s="3" t="str">
        <f>IFERROR(__xludf.DUMMYFUNCTION("""COMPUTED_VALUE"""),"PRODUKSI")</f>
        <v>PRODUKSI</v>
      </c>
    </row>
    <row r="191">
      <c r="A191" s="3" t="str">
        <f>IFERROR(__xludf.DUMMYFUNCTION("""COMPUTED_VALUE"""),"2023-06-25")</f>
        <v>2023-06-25</v>
      </c>
      <c r="B191" s="3" t="str">
        <f>IFERROR(__xludf.DUMMYFUNCTION("""COMPUTED_VALUE"""),"BI-FAST DB")</f>
        <v>BI-FAST DB</v>
      </c>
      <c r="C191" s="3" t="str">
        <f>IFERROR(__xludf.DUMMYFUNCTION("""COMPUTED_VALUE"""),"BIF TRANSFER KE 9 MUHAMMAD SODIK M-BCA")</f>
        <v>BIF TRANSFER KE 9 MUHAMMAD SODIK M-BCA</v>
      </c>
      <c r="D191" s="3">
        <f>IFERROR(__xludf.DUMMYFUNCTION("""COMPUTED_VALUE"""),2000000.0)</f>
        <v>2000000</v>
      </c>
      <c r="E191" s="3"/>
      <c r="F191" s="3" t="str">
        <f>IFERROR(__xludf.DUMMYFUNCTION("""COMPUTED_VALUE"""),"DB")</f>
        <v>DB</v>
      </c>
      <c r="G191" s="3">
        <f>IFERROR(__xludf.DUMMYFUNCTION("""COMPUTED_VALUE"""),4.6898046776E8)</f>
        <v>468980467.8</v>
      </c>
      <c r="H191" s="3"/>
      <c r="I191" s="3" t="str">
        <f>IFERROR(__xludf.DUMMYFUNCTION("""COMPUTED_VALUE"""),"PRODUKSI")</f>
        <v>PRODUKSI</v>
      </c>
    </row>
    <row r="192">
      <c r="A192" s="3" t="str">
        <f>IFERROR(__xludf.DUMMYFUNCTION("""COMPUTED_VALUE"""),"2023-06-25")</f>
        <v>2023-06-25</v>
      </c>
      <c r="B192" s="3" t="str">
        <f>IFERROR(__xludf.DUMMYFUNCTION("""COMPUTED_VALUE"""),"BI-FAST DB")</f>
        <v>BI-FAST DB</v>
      </c>
      <c r="C192" s="3" t="str">
        <f>IFERROR(__xludf.DUMMYFUNCTION("""COMPUTED_VALUE"""),"BIF BIAYA TXN KE 9 MUHAMMAD SODIK M-BCA")</f>
        <v>BIF BIAYA TXN KE 9 MUHAMMAD SODIK M-BCA</v>
      </c>
      <c r="D192" s="3">
        <f>IFERROR(__xludf.DUMMYFUNCTION("""COMPUTED_VALUE"""),2500.0)</f>
        <v>2500</v>
      </c>
      <c r="E192" s="3"/>
      <c r="F192" s="3" t="str">
        <f>IFERROR(__xludf.DUMMYFUNCTION("""COMPUTED_VALUE"""),"DB")</f>
        <v>DB</v>
      </c>
      <c r="G192" s="3">
        <f>IFERROR(__xludf.DUMMYFUNCTION("""COMPUTED_VALUE"""),4.6897796776E8)</f>
        <v>468977967.8</v>
      </c>
      <c r="H192" s="3"/>
      <c r="I192" s="3" t="str">
        <f>IFERROR(__xludf.DUMMYFUNCTION("""COMPUTED_VALUE"""),"PRODUKSI")</f>
        <v>PRODUKSI</v>
      </c>
    </row>
    <row r="193">
      <c r="A193" s="3" t="str">
        <f>IFERROR(__xludf.DUMMYFUNCTION("""COMPUTED_VALUE"""),"2023-06-25")</f>
        <v>2023-06-25</v>
      </c>
      <c r="B193" s="3" t="str">
        <f>IFERROR(__xludf.DUMMYFUNCTION("""COMPUTED_VALUE"""),"TRSF E-BANKING DB")</f>
        <v>TRSF E-BANKING DB</v>
      </c>
      <c r="C193" s="3" t="str">
        <f>IFERROR(__xludf.DUMMYFUNCTION("""COMPUTED_VALUE"""),"2506/FTSCY/WS95031 1000000.00 setoran SANDI FAJAR PRASET")</f>
        <v>2506/FTSCY/WS95031 1000000.00 setoran SANDI FAJAR PRASET</v>
      </c>
      <c r="D193" s="3">
        <f>IFERROR(__xludf.DUMMYFUNCTION("""COMPUTED_VALUE"""),1000000.0)</f>
        <v>1000000</v>
      </c>
      <c r="E193" s="3"/>
      <c r="F193" s="3" t="str">
        <f>IFERROR(__xludf.DUMMYFUNCTION("""COMPUTED_VALUE"""),"DB")</f>
        <v>DB</v>
      </c>
      <c r="G193" s="3">
        <f>IFERROR(__xludf.DUMMYFUNCTION("""COMPUTED_VALUE"""),4.6797796776E8)</f>
        <v>467977967.8</v>
      </c>
      <c r="H193" s="3"/>
      <c r="I193" s="3" t="str">
        <f>IFERROR(__xludf.DUMMYFUNCTION("""COMPUTED_VALUE"""),"PRODUKSI")</f>
        <v>PRODUKSI</v>
      </c>
    </row>
    <row r="194">
      <c r="A194" s="3" t="str">
        <f>IFERROR(__xludf.DUMMYFUNCTION("""COMPUTED_VALUE"""),"2023-06-25")</f>
        <v>2023-06-25</v>
      </c>
      <c r="B194" s="3" t="str">
        <f>IFERROR(__xludf.DUMMYFUNCTION("""COMPUTED_VALUE"""),"TRSF E-BANKING DB")</f>
        <v>TRSF E-BANKING DB</v>
      </c>
      <c r="C194" s="3" t="str">
        <f>IFERROR(__xludf.DUMMYFUNCTION("""COMPUTED_VALUE"""),"2506/FTSCY/WS95271 90204380.00 Mon Jun 22 2023 14:00:00 GMT+0700 (Western Indonesia Time) ANDALAN YASA MITRA")</f>
        <v>2506/FTSCY/WS95271 90204380.00 Mon Jun 22 2023 14:00:00 GMT+0700 (Western Indonesia Time) ANDALAN YASA MITRA</v>
      </c>
      <c r="D194" s="3">
        <f>IFERROR(__xludf.DUMMYFUNCTION("""COMPUTED_VALUE"""),9.020438E7)</f>
        <v>90204380</v>
      </c>
      <c r="E194" s="3"/>
      <c r="F194" s="3" t="str">
        <f>IFERROR(__xludf.DUMMYFUNCTION("""COMPUTED_VALUE"""),"DB")</f>
        <v>DB</v>
      </c>
      <c r="G194" s="3">
        <f>IFERROR(__xludf.DUMMYFUNCTION("""COMPUTED_VALUE"""),3.7051089776E8)</f>
        <v>370510897.8</v>
      </c>
      <c r="H194" s="3"/>
      <c r="I194" s="3" t="str">
        <f>IFERROR(__xludf.DUMMYFUNCTION("""COMPUTED_VALUE"""),"PRODUKSI")</f>
        <v>PRODUKSI</v>
      </c>
    </row>
    <row r="195">
      <c r="A195" s="3" t="str">
        <f>IFERROR(__xludf.DUMMYFUNCTION("""COMPUTED_VALUE"""),"2023-06-25")</f>
        <v>2023-06-25</v>
      </c>
      <c r="B195" s="3" t="str">
        <f>IFERROR(__xludf.DUMMYFUNCTION("""COMPUTED_VALUE"""),"TRSF E-BANKING DB")</f>
        <v>TRSF E-BANKING DB</v>
      </c>
      <c r="C195" s="3" t="str">
        <f>IFERROR(__xludf.DUMMYFUNCTION("""COMPUTED_VALUE"""),"2506/FTFVA/WS95031 55569/PT PRIMA FAJ pelunasan blitar - 40190")</f>
        <v>2506/FTFVA/WS95031 55569/PT PRIMA FAJ pelunasan blitar - 40190</v>
      </c>
      <c r="D195" s="3">
        <f>IFERROR(__xludf.DUMMYFUNCTION("""COMPUTED_VALUE"""),8883040.0)</f>
        <v>8883040</v>
      </c>
      <c r="E195" s="3"/>
      <c r="F195" s="3" t="str">
        <f>IFERROR(__xludf.DUMMYFUNCTION("""COMPUTED_VALUE"""),"DB")</f>
        <v>DB</v>
      </c>
      <c r="G195" s="3">
        <f>IFERROR(__xludf.DUMMYFUNCTION("""COMPUTED_VALUE"""),3.6162785776E8)</f>
        <v>361627857.8</v>
      </c>
      <c r="H195" s="3"/>
      <c r="I195" s="3" t="str">
        <f>IFERROR(__xludf.DUMMYFUNCTION("""COMPUTED_VALUE"""),"PRODUKSI")</f>
        <v>PRODUKSI</v>
      </c>
    </row>
    <row r="196">
      <c r="A196" s="3" t="str">
        <f>IFERROR(__xludf.DUMMYFUNCTION("""COMPUTED_VALUE"""),"2023-06-25")</f>
        <v>2023-06-25</v>
      </c>
      <c r="B196" s="3" t="str">
        <f>IFERROR(__xludf.DUMMYFUNCTION("""COMPUTED_VALUE"""),"TRSF E-BANKING DB")</f>
        <v>TRSF E-BANKING DB</v>
      </c>
      <c r="C196" s="3" t="str">
        <f>IFERROR(__xludf.DUMMYFUNCTION("""COMPUTED_VALUE"""),"2506/FTSCY/WS95031 73470.00 pelunasan UNGGAS MANDIRI BER")</f>
        <v>2506/FTSCY/WS95031 73470.00 pelunasan UNGGAS MANDIRI BER</v>
      </c>
      <c r="D196" s="3">
        <f>IFERROR(__xludf.DUMMYFUNCTION("""COMPUTED_VALUE"""),73470.0)</f>
        <v>73470</v>
      </c>
      <c r="E196" s="3"/>
      <c r="F196" s="3" t="str">
        <f>IFERROR(__xludf.DUMMYFUNCTION("""COMPUTED_VALUE"""),"DB")</f>
        <v>DB</v>
      </c>
      <c r="G196" s="3">
        <f>IFERROR(__xludf.DUMMYFUNCTION("""COMPUTED_VALUE"""),3.6155438776E8)</f>
        <v>361554387.8</v>
      </c>
      <c r="H196" s="3"/>
      <c r="I196" s="3" t="str">
        <f>IFERROR(__xludf.DUMMYFUNCTION("""COMPUTED_VALUE"""),"PRODUKSI")</f>
        <v>PRODUKSI</v>
      </c>
    </row>
    <row r="197">
      <c r="A197" s="3" t="str">
        <f>IFERROR(__xludf.DUMMYFUNCTION("""COMPUTED_VALUE"""),"2023-06-25")</f>
        <v>2023-06-25</v>
      </c>
      <c r="B197" s="3" t="str">
        <f>IFERROR(__xludf.DUMMYFUNCTION("""COMPUTED_VALUE"""),"TRSF E-BANKING DB")</f>
        <v>TRSF E-BANKING DB</v>
      </c>
      <c r="C197" s="3" t="str">
        <f>IFERROR(__xludf.DUMMYFUNCTION("""COMPUTED_VALUE"""),"2506/FTSCY/WS95031 431570.00 pelunasan UNGGAS MANDIRI BER")</f>
        <v>2506/FTSCY/WS95031 431570.00 pelunasan UNGGAS MANDIRI BER</v>
      </c>
      <c r="D197" s="3">
        <f>IFERROR(__xludf.DUMMYFUNCTION("""COMPUTED_VALUE"""),431570.0)</f>
        <v>431570</v>
      </c>
      <c r="E197" s="3"/>
      <c r="F197" s="3" t="str">
        <f>IFERROR(__xludf.DUMMYFUNCTION("""COMPUTED_VALUE"""),"DB")</f>
        <v>DB</v>
      </c>
      <c r="G197" s="3">
        <f>IFERROR(__xludf.DUMMYFUNCTION("""COMPUTED_VALUE"""),3.6112281776E8)</f>
        <v>361122817.8</v>
      </c>
      <c r="H197" s="3">
        <f>IFERROR(__xludf.DUMMYFUNCTION("""COMPUTED_VALUE"""),3.6112281776E8)</f>
        <v>361122817.8</v>
      </c>
      <c r="I197" s="3" t="str">
        <f>IFERROR(__xludf.DUMMYFUNCTION("""COMPUTED_VALUE"""),"PRODUKSI")</f>
        <v>PRODUKSI</v>
      </c>
    </row>
    <row r="198">
      <c r="A198" s="3" t="str">
        <f>IFERROR(__xludf.DUMMYFUNCTION("""COMPUTED_VALUE"""),"2023-06-25")</f>
        <v>2023-06-25</v>
      </c>
      <c r="B198" s="3" t="str">
        <f>IFERROR(__xludf.DUMMYFUNCTION("""COMPUTED_VALUE"""),"TRSF E-BANKING DB")</f>
        <v>TRSF E-BANKING DB</v>
      </c>
      <c r="C198" s="3" t="str">
        <f>IFERROR(__xludf.DUMMYFUNCTION("""COMPUTED_VALUE"""),"2506/FTSCY/WS95271 75657900.00 Tue Jun 23 2023 14:00:00 GMT+0700 (Western Indonesia Time) LAJU SATWA WISESA")</f>
        <v>2506/FTSCY/WS95271 75657900.00 Tue Jun 23 2023 14:00:00 GMT+0700 (Western Indonesia Time) LAJU SATWA WISESA</v>
      </c>
      <c r="D198" s="3">
        <f>IFERROR(__xludf.DUMMYFUNCTION("""COMPUTED_VALUE"""),7.56579E7)</f>
        <v>75657900</v>
      </c>
      <c r="E198" s="3"/>
      <c r="F198" s="3" t="str">
        <f>IFERROR(__xludf.DUMMYFUNCTION("""COMPUTED_VALUE"""),"DB")</f>
        <v>DB</v>
      </c>
      <c r="G198" s="3">
        <f>IFERROR(__xludf.DUMMYFUNCTION("""COMPUTED_VALUE"""),4.5988090776E8)</f>
        <v>459880907.8</v>
      </c>
      <c r="H198" s="3"/>
      <c r="I198" s="3" t="str">
        <f>IFERROR(__xludf.DUMMYFUNCTION("""COMPUTED_VALUE"""),"PRODUKSI")</f>
        <v>PRODUKSI</v>
      </c>
    </row>
    <row r="199">
      <c r="A199" s="3" t="str">
        <f>IFERROR(__xludf.DUMMYFUNCTION("""COMPUTED_VALUE"""),"2023-06-25")</f>
        <v>2023-06-25</v>
      </c>
      <c r="B199" s="3" t="str">
        <f>IFERROR(__xludf.DUMMYFUNCTION("""COMPUTED_VALUE"""),"TRSF E-BANKING DB")</f>
        <v>TRSF E-BANKING DB</v>
      </c>
      <c r="C199" s="3" t="str">
        <f>IFERROR(__xludf.DUMMYFUNCTION("""COMPUTED_VALUE"""),"2506/FTSCY/WS95271 127700000.00 Tue Jun 23 2023 14:00:00 GMT+0700 (Western Indonesia Time) BINTANG TAMA SANTO")</f>
        <v>2506/FTSCY/WS95271 127700000.00 Tue Jun 23 2023 14:00:00 GMT+0700 (Western Indonesia Time) BINTANG TAMA SANTO</v>
      </c>
      <c r="D199" s="3">
        <f>IFERROR(__xludf.DUMMYFUNCTION("""COMPUTED_VALUE"""),1.277E8)</f>
        <v>127700000</v>
      </c>
      <c r="E199" s="3"/>
      <c r="F199" s="3" t="str">
        <f>IFERROR(__xludf.DUMMYFUNCTION("""COMPUTED_VALUE"""),"DB")</f>
        <v>DB</v>
      </c>
      <c r="G199" s="3">
        <f>IFERROR(__xludf.DUMMYFUNCTION("""COMPUTED_VALUE"""),3.3218090776E8)</f>
        <v>332180907.8</v>
      </c>
      <c r="H199" s="3"/>
      <c r="I199" s="3" t="str">
        <f>IFERROR(__xludf.DUMMYFUNCTION("""COMPUTED_VALUE"""),"PRODUKSI")</f>
        <v>PRODUKSI</v>
      </c>
    </row>
    <row r="200">
      <c r="A200" s="3" t="str">
        <f>IFERROR(__xludf.DUMMYFUNCTION("""COMPUTED_VALUE"""),"2023-06-25")</f>
        <v>2023-06-25</v>
      </c>
      <c r="B200" s="3" t="str">
        <f>IFERROR(__xludf.DUMMYFUNCTION("""COMPUTED_VALUE"""),"TRSF E-BANKING DB")</f>
        <v>TRSF E-BANKING DB</v>
      </c>
      <c r="C200" s="3" t="str">
        <f>IFERROR(__xludf.DUMMYFUNCTION("""COMPUTED_VALUE"""),"2506/FTSCY/WS95031 10000000.00 pelunasan BINTANG TAMA SANTO")</f>
        <v>2506/FTSCY/WS95031 10000000.00 pelunasan BINTANG TAMA SANTO</v>
      </c>
      <c r="D200" s="3">
        <f>IFERROR(__xludf.DUMMYFUNCTION("""COMPUTED_VALUE"""),1.0E7)</f>
        <v>10000000</v>
      </c>
      <c r="E200" s="3"/>
      <c r="F200" s="3" t="str">
        <f>IFERROR(__xludf.DUMMYFUNCTION("""COMPUTED_VALUE"""),"DB")</f>
        <v>DB</v>
      </c>
      <c r="G200" s="3">
        <f>IFERROR(__xludf.DUMMYFUNCTION("""COMPUTED_VALUE"""),3.2218090776E8)</f>
        <v>322180907.8</v>
      </c>
      <c r="H200" s="3"/>
      <c r="I200" s="3" t="str">
        <f>IFERROR(__xludf.DUMMYFUNCTION("""COMPUTED_VALUE"""),"PRODUKSI")</f>
        <v>PRODUKSI</v>
      </c>
    </row>
    <row r="201">
      <c r="A201" s="3" t="str">
        <f>IFERROR(__xludf.DUMMYFUNCTION("""COMPUTED_VALUE"""),"2023-06-25")</f>
        <v>2023-06-25</v>
      </c>
      <c r="B201" s="3" t="str">
        <f>IFERROR(__xludf.DUMMYFUNCTION("""COMPUTED_VALUE"""),"TRSF E-BANKING DB")</f>
        <v>TRSF E-BANKING DB</v>
      </c>
      <c r="C201" s="3" t="str">
        <f>IFERROR(__xludf.DUMMYFUNCTION("""COMPUTED_VALUE"""),"2506/FTFVA/WS95031 55574/GUNA MITRA S pelunasan mjk - 200177")</f>
        <v>2506/FTFVA/WS95031 55574/GUNA MITRA S pelunasan mjk - 200177</v>
      </c>
      <c r="D201" s="3">
        <f>IFERROR(__xludf.DUMMYFUNCTION("""COMPUTED_VALUE"""),4800000.0)</f>
        <v>4800000</v>
      </c>
      <c r="E201" s="3"/>
      <c r="F201" s="3" t="str">
        <f>IFERROR(__xludf.DUMMYFUNCTION("""COMPUTED_VALUE"""),"DB")</f>
        <v>DB</v>
      </c>
      <c r="G201" s="3">
        <f>IFERROR(__xludf.DUMMYFUNCTION("""COMPUTED_VALUE"""),3.1738090776E8)</f>
        <v>317380907.8</v>
      </c>
      <c r="H201" s="3"/>
      <c r="I201" s="3" t="str">
        <f>IFERROR(__xludf.DUMMYFUNCTION("""COMPUTED_VALUE"""),"PRODUKSI")</f>
        <v>PRODUKSI</v>
      </c>
    </row>
    <row r="202">
      <c r="A202" s="3" t="str">
        <f>IFERROR(__xludf.DUMMYFUNCTION("""COMPUTED_VALUE"""),"2023-06-25")</f>
        <v>2023-06-25</v>
      </c>
      <c r="B202" s="3" t="str">
        <f>IFERROR(__xludf.DUMMYFUNCTION("""COMPUTED_VALUE"""),"TRSF E-BANKING DB")</f>
        <v>TRSF E-BANKING DB</v>
      </c>
      <c r="C202" s="3" t="str">
        <f>IFERROR(__xludf.DUMMYFUNCTION("""COMPUTED_VALUE"""),"2506/FTFVA/WS95031 55569/PT PRIMA FAJ lamongan 6.6 ton - 40190")</f>
        <v>2506/FTFVA/WS95031 55569/PT PRIMA FAJ lamongan 6.6 ton - 40190</v>
      </c>
      <c r="D202" s="3">
        <f>IFERROR(__xludf.DUMMYFUNCTION("""COMPUTED_VALUE"""),1.518E8)</f>
        <v>151800000</v>
      </c>
      <c r="E202" s="3"/>
      <c r="F202" s="3" t="str">
        <f>IFERROR(__xludf.DUMMYFUNCTION("""COMPUTED_VALUE"""),"DB")</f>
        <v>DB</v>
      </c>
      <c r="G202" s="3">
        <f>IFERROR(__xludf.DUMMYFUNCTION("""COMPUTED_VALUE"""),1.5402333276E8)</f>
        <v>154023332.8</v>
      </c>
      <c r="H202" s="3">
        <f>IFERROR(__xludf.DUMMYFUNCTION("""COMPUTED_VALUE"""),1.5402333276E8)</f>
        <v>154023332.8</v>
      </c>
      <c r="I202" s="3" t="str">
        <f>IFERROR(__xludf.DUMMYFUNCTION("""COMPUTED_VALUE"""),"PRODUKSI")</f>
        <v>PRODUKSI</v>
      </c>
    </row>
    <row r="203">
      <c r="A203" s="3" t="str">
        <f>IFERROR(__xludf.DUMMYFUNCTION("""COMPUTED_VALUE"""),"2023-06-25")</f>
        <v>2023-06-25</v>
      </c>
      <c r="B203" s="3" t="str">
        <f>IFERROR(__xludf.DUMMYFUNCTION("""COMPUTED_VALUE"""),"TRSF E-BANKING DB")</f>
        <v>TRSF E-BANKING DB</v>
      </c>
      <c r="C203" s="3" t="str">
        <f>IFERROR(__xludf.DUMMYFUNCTION("""COMPUTED_VALUE"""),"2506/FTSCY/WS95011 75900000.00 magetam 3.3 ton UNGGAS MANDIRI BER")</f>
        <v>2506/FTSCY/WS95011 75900000.00 magetam 3.3 ton UNGGAS MANDIRI BER</v>
      </c>
      <c r="D203" s="3">
        <f>IFERROR(__xludf.DUMMYFUNCTION("""COMPUTED_VALUE"""),7.59E7)</f>
        <v>75900000</v>
      </c>
      <c r="E203" s="3"/>
      <c r="F203" s="3" t="str">
        <f>IFERROR(__xludf.DUMMYFUNCTION("""COMPUTED_VALUE"""),"DB")</f>
        <v>DB</v>
      </c>
      <c r="G203" s="3">
        <f>IFERROR(__xludf.DUMMYFUNCTION("""COMPUTED_VALUE"""),7.812333275999999E7)</f>
        <v>78123332.76</v>
      </c>
      <c r="H203" s="3"/>
      <c r="I203" s="3" t="str">
        <f>IFERROR(__xludf.DUMMYFUNCTION("""COMPUTED_VALUE"""),"PRODUKSI")</f>
        <v>PRODUKSI</v>
      </c>
    </row>
    <row r="204">
      <c r="A204" s="3" t="str">
        <f>IFERROR(__xludf.DUMMYFUNCTION("""COMPUTED_VALUE"""),"2023-06-25")</f>
        <v>2023-06-25</v>
      </c>
      <c r="B204" s="3" t="str">
        <f>IFERROR(__xludf.DUMMYFUNCTION("""COMPUTED_VALUE"""),"TRSF E-BANKING DB")</f>
        <v>TRSF E-BANKING DB</v>
      </c>
      <c r="C204" s="3" t="str">
        <f>IFERROR(__xludf.DUMMYFUNCTION("""COMPUTED_VALUE"""),"2506/FTSCY/WS95031 25000000.00 SANDI FAJAR PRASET")</f>
        <v>2506/FTSCY/WS95031 25000000.00 SANDI FAJAR PRASET</v>
      </c>
      <c r="D204" s="3">
        <f>IFERROR(__xludf.DUMMYFUNCTION("""COMPUTED_VALUE"""),2.5E7)</f>
        <v>25000000</v>
      </c>
      <c r="E204" s="3"/>
      <c r="F204" s="3" t="str">
        <f>IFERROR(__xludf.DUMMYFUNCTION("""COMPUTED_VALUE"""),"DB")</f>
        <v>DB</v>
      </c>
      <c r="G204" s="3">
        <f>IFERROR(__xludf.DUMMYFUNCTION("""COMPUTED_VALUE"""),5.312333275999999E7)</f>
        <v>53123332.76</v>
      </c>
      <c r="H204" s="3">
        <f>IFERROR(__xludf.DUMMYFUNCTION("""COMPUTED_VALUE"""),5.312333276E7)</f>
        <v>53123332.76</v>
      </c>
      <c r="I204" s="3" t="str">
        <f>IFERROR(__xludf.DUMMYFUNCTION("""COMPUTED_VALUE"""),"PRODUKSI")</f>
        <v>PRODUKSI</v>
      </c>
    </row>
    <row r="205">
      <c r="A205" s="3" t="str">
        <f>IFERROR(__xludf.DUMMYFUNCTION("""COMPUTED_VALUE"""),"2023-06-26")</f>
        <v>2023-06-26</v>
      </c>
      <c r="B205" s="3" t="str">
        <f>IFERROR(__xludf.DUMMYFUNCTION("""COMPUTED_VALUE"""),"TRSF E-BANKING DB")</f>
        <v>TRSF E-BANKING DB</v>
      </c>
      <c r="C205" s="3" t="str">
        <f>IFERROR(__xludf.DUMMYFUNCTION("""COMPUTED_VALUE"""),"2606/FTSCY/WS95011 213913450.00 Tue Jun 23 2023 14:00:00 GMT+0700 (Western Indonesia Time) SUPER UNGGAS JAYA")</f>
        <v>2606/FTSCY/WS95011 213913450.00 Tue Jun 23 2023 14:00:00 GMT+0700 (Western Indonesia Time) SUPER UNGGAS JAYA</v>
      </c>
      <c r="D205" s="3">
        <f>IFERROR(__xludf.DUMMYFUNCTION("""COMPUTED_VALUE"""),2.1391345E8)</f>
        <v>213913450</v>
      </c>
      <c r="E205" s="3"/>
      <c r="F205" s="3" t="str">
        <f>IFERROR(__xludf.DUMMYFUNCTION("""COMPUTED_VALUE"""),"DB")</f>
        <v>DB</v>
      </c>
      <c r="G205" s="3">
        <f>IFERROR(__xludf.DUMMYFUNCTION("""COMPUTED_VALUE"""),9.5157694976E8)</f>
        <v>951576949.8</v>
      </c>
      <c r="H205" s="3"/>
      <c r="I205" s="3" t="str">
        <f>IFERROR(__xludf.DUMMYFUNCTION("""COMPUTED_VALUE"""),"PRODUKSI")</f>
        <v>PRODUKSI</v>
      </c>
    </row>
    <row r="206">
      <c r="A206" s="3" t="str">
        <f>IFERROR(__xludf.DUMMYFUNCTION("""COMPUTED_VALUE"""),"2023-06-26")</f>
        <v>2023-06-26</v>
      </c>
      <c r="B206" s="3" t="str">
        <f>IFERROR(__xludf.DUMMYFUNCTION("""COMPUTED_VALUE"""),"TRSF E-BANKING DB")</f>
        <v>TRSF E-BANKING DB</v>
      </c>
      <c r="C206" s="3" t="str">
        <f>IFERROR(__xludf.DUMMYFUNCTION("""COMPUTED_VALUE"""),"2606/FTSCY/WS95011 170050500.00 Tue Jun 23 2023 14:00:00 GMT+0700 (Western Indonesia Time) SURYA INTI TERNAK")</f>
        <v>2606/FTSCY/WS95011 170050500.00 Tue Jun 23 2023 14:00:00 GMT+0700 (Western Indonesia Time) SURYA INTI TERNAK</v>
      </c>
      <c r="D206" s="3">
        <f>IFERROR(__xludf.DUMMYFUNCTION("""COMPUTED_VALUE"""),1.700505E8)</f>
        <v>170050500</v>
      </c>
      <c r="E206" s="3"/>
      <c r="F206" s="3" t="str">
        <f>IFERROR(__xludf.DUMMYFUNCTION("""COMPUTED_VALUE"""),"DB")</f>
        <v>DB</v>
      </c>
      <c r="G206" s="3">
        <f>IFERROR(__xludf.DUMMYFUNCTION("""COMPUTED_VALUE"""),7.8152644976E8)</f>
        <v>781526449.8</v>
      </c>
      <c r="H206" s="3">
        <f>IFERROR(__xludf.DUMMYFUNCTION("""COMPUTED_VALUE"""),7.8152644976E8)</f>
        <v>781526449.8</v>
      </c>
      <c r="I206" s="3" t="str">
        <f>IFERROR(__xludf.DUMMYFUNCTION("""COMPUTED_VALUE"""),"PRODUKSI")</f>
        <v>PRODUKSI</v>
      </c>
    </row>
    <row r="207">
      <c r="A207" s="3" t="str">
        <f>IFERROR(__xludf.DUMMYFUNCTION("""COMPUTED_VALUE"""),"2023-06-26")</f>
        <v>2023-06-26</v>
      </c>
      <c r="B207" s="3" t="str">
        <f>IFERROR(__xludf.DUMMYFUNCTION("""COMPUTED_VALUE"""),"TRSF E-BANKING DB")</f>
        <v>TRSF E-BANKING DB</v>
      </c>
      <c r="C207" s="3" t="str">
        <f>IFERROR(__xludf.DUMMYFUNCTION("""COMPUTED_VALUE"""),"2606/FTSCY/WS95011 114625000.00 Tue Jun 23 2023 14:00:00 GMT+0700 (Western Indonesia Time) BROILER MAKMUR TAN")</f>
        <v>2606/FTSCY/WS95011 114625000.00 Tue Jun 23 2023 14:00:00 GMT+0700 (Western Indonesia Time) BROILER MAKMUR TAN</v>
      </c>
      <c r="D207" s="3">
        <f>IFERROR(__xludf.DUMMYFUNCTION("""COMPUTED_VALUE"""),1.14625E8)</f>
        <v>114625000</v>
      </c>
      <c r="E207" s="3"/>
      <c r="F207" s="3" t="str">
        <f>IFERROR(__xludf.DUMMYFUNCTION("""COMPUTED_VALUE"""),"DB")</f>
        <v>DB</v>
      </c>
      <c r="G207" s="3">
        <f>IFERROR(__xludf.DUMMYFUNCTION("""COMPUTED_VALUE"""),6.6690144976E8)</f>
        <v>666901449.8</v>
      </c>
      <c r="H207" s="3">
        <f>IFERROR(__xludf.DUMMYFUNCTION("""COMPUTED_VALUE"""),6.6690144976E8)</f>
        <v>666901449.8</v>
      </c>
      <c r="I207" s="3" t="str">
        <f>IFERROR(__xludf.DUMMYFUNCTION("""COMPUTED_VALUE"""),"PRODUKSI")</f>
        <v>PRODUKSI</v>
      </c>
    </row>
    <row r="208">
      <c r="A208" s="3" t="str">
        <f>IFERROR(__xludf.DUMMYFUNCTION("""COMPUTED_VALUE"""),"2023-06-26")</f>
        <v>2023-06-26</v>
      </c>
      <c r="B208" s="3" t="str">
        <f>IFERROR(__xludf.DUMMYFUNCTION("""COMPUTED_VALUE"""),"TRSF E-BANKING DB")</f>
        <v>TRSF E-BANKING DB</v>
      </c>
      <c r="C208" s="3" t="str">
        <f>IFERROR(__xludf.DUMMYFUNCTION("""COMPUTED_VALUE"""),"2606/FTSCY/WS95271 55000000.00 pelunasan BROILER MAKMUR TAN")</f>
        <v>2606/FTSCY/WS95271 55000000.00 pelunasan BROILER MAKMUR TAN</v>
      </c>
      <c r="D208" s="3">
        <f>IFERROR(__xludf.DUMMYFUNCTION("""COMPUTED_VALUE"""),5.5E7)</f>
        <v>55000000</v>
      </c>
      <c r="E208" s="3"/>
      <c r="F208" s="3" t="str">
        <f>IFERROR(__xludf.DUMMYFUNCTION("""COMPUTED_VALUE"""),"DB")</f>
        <v>DB</v>
      </c>
      <c r="G208" s="3">
        <f>IFERROR(__xludf.DUMMYFUNCTION("""COMPUTED_VALUE"""),6.1190144976E8)</f>
        <v>611901449.8</v>
      </c>
      <c r="H208" s="3"/>
      <c r="I208" s="3" t="str">
        <f>IFERROR(__xludf.DUMMYFUNCTION("""COMPUTED_VALUE"""),"PRODUKSI")</f>
        <v>PRODUKSI</v>
      </c>
    </row>
    <row r="209">
      <c r="A209" s="3" t="str">
        <f>IFERROR(__xludf.DUMMYFUNCTION("""COMPUTED_VALUE"""),"2023-06-26")</f>
        <v>2023-06-26</v>
      </c>
      <c r="B209" s="3" t="str">
        <f>IFERROR(__xludf.DUMMYFUNCTION("""COMPUTED_VALUE"""),"TRSF E-BANKING DB")</f>
        <v>TRSF E-BANKING DB</v>
      </c>
      <c r="C209" s="3" t="str">
        <f>IFERROR(__xludf.DUMMYFUNCTION("""COMPUTED_VALUE"""),"2606/FTSCY/WS95271 83424880.00 Tue Jun 23 2023 14:00:00 GMT+0700 (Western Indonesia Time) ANDALAN YASA MITRA")</f>
        <v>2606/FTSCY/WS95271 83424880.00 Tue Jun 23 2023 14:00:00 GMT+0700 (Western Indonesia Time) ANDALAN YASA MITRA</v>
      </c>
      <c r="D209" s="3">
        <f>IFERROR(__xludf.DUMMYFUNCTION("""COMPUTED_VALUE"""),8.342488E7)</f>
        <v>83424880</v>
      </c>
      <c r="E209" s="3"/>
      <c r="F209" s="3" t="str">
        <f>IFERROR(__xludf.DUMMYFUNCTION("""COMPUTED_VALUE"""),"DB")</f>
        <v>DB</v>
      </c>
      <c r="G209" s="3">
        <f>IFERROR(__xludf.DUMMYFUNCTION("""COMPUTED_VALUE"""),1.03882926976E9)</f>
        <v>1038829270</v>
      </c>
      <c r="H209" s="3"/>
      <c r="I209" s="3" t="str">
        <f>IFERROR(__xludf.DUMMYFUNCTION("""COMPUTED_VALUE"""),"PRODUKSI")</f>
        <v>PRODUKSI</v>
      </c>
    </row>
    <row r="210">
      <c r="A210" s="3" t="str">
        <f>IFERROR(__xludf.DUMMYFUNCTION("""COMPUTED_VALUE"""),"2023-06-26")</f>
        <v>2023-06-26</v>
      </c>
      <c r="B210" s="3" t="str">
        <f>IFERROR(__xludf.DUMMYFUNCTION("""COMPUTED_VALUE"""),"TRSF E-BANKING DB")</f>
        <v>TRSF E-BANKING DB</v>
      </c>
      <c r="C210" s="3" t="str">
        <f>IFERROR(__xludf.DUMMYFUNCTION("""COMPUTED_VALUE"""),"2606/FTFVA/WS95031 55569/PT PRIMA FAJ pasuruan 11.4 ton - 40190")</f>
        <v>2606/FTFVA/WS95031 55569/PT PRIMA FAJ pasuruan 11.4 ton - 40190</v>
      </c>
      <c r="D210" s="3">
        <f>IFERROR(__xludf.DUMMYFUNCTION("""COMPUTED_VALUE"""),2.652182E8)</f>
        <v>265218200</v>
      </c>
      <c r="E210" s="3"/>
      <c r="F210" s="3" t="str">
        <f>IFERROR(__xludf.DUMMYFUNCTION("""COMPUTED_VALUE"""),"DB")</f>
        <v>DB</v>
      </c>
      <c r="G210" s="3">
        <f>IFERROR(__xludf.DUMMYFUNCTION("""COMPUTED_VALUE"""),7.7361106976E8)</f>
        <v>773611069.8</v>
      </c>
      <c r="H210" s="3"/>
      <c r="I210" s="3" t="str">
        <f>IFERROR(__xludf.DUMMYFUNCTION("""COMPUTED_VALUE"""),"PRODUKSI")</f>
        <v>PRODUKSI</v>
      </c>
    </row>
    <row r="211">
      <c r="A211" s="3" t="str">
        <f>IFERROR(__xludf.DUMMYFUNCTION("""COMPUTED_VALUE"""),"2023-06-26")</f>
        <v>2023-06-26</v>
      </c>
      <c r="B211" s="3" t="str">
        <f>IFERROR(__xludf.DUMMYFUNCTION("""COMPUTED_VALUE"""),"TRSF E-BANKING DB")</f>
        <v>TRSF E-BANKING DB</v>
      </c>
      <c r="C211" s="3" t="str">
        <f>IFERROR(__xludf.DUMMYFUNCTION("""COMPUTED_VALUE"""),"2606/FTSCY/WS95031 85513280.00 krg 53 jt GANESHA SATRIA NUS")</f>
        <v>2606/FTSCY/WS95031 85513280.00 krg 53 jt GANESHA SATRIA NUS</v>
      </c>
      <c r="D211" s="3">
        <f>IFERROR(__xludf.DUMMYFUNCTION("""COMPUTED_VALUE"""),8.551328E7)</f>
        <v>85513280</v>
      </c>
      <c r="E211" s="3"/>
      <c r="F211" s="3" t="str">
        <f>IFERROR(__xludf.DUMMYFUNCTION("""COMPUTED_VALUE"""),"DB")</f>
        <v>DB</v>
      </c>
      <c r="G211" s="3">
        <f>IFERROR(__xludf.DUMMYFUNCTION("""COMPUTED_VALUE"""),6.7809778976E8)</f>
        <v>678097789.8</v>
      </c>
      <c r="H211" s="3"/>
      <c r="I211" s="3" t="str">
        <f>IFERROR(__xludf.DUMMYFUNCTION("""COMPUTED_VALUE"""),"PRODUKSI")</f>
        <v>PRODUKSI</v>
      </c>
    </row>
    <row r="212">
      <c r="A212" s="3" t="str">
        <f>IFERROR(__xludf.DUMMYFUNCTION("""COMPUTED_VALUE"""),"2023-06-26")</f>
        <v>2023-06-26</v>
      </c>
      <c r="B212" s="3" t="str">
        <f>IFERROR(__xludf.DUMMYFUNCTION("""COMPUTED_VALUE"""),"TRSF E-BANKING DB")</f>
        <v>TRSF E-BANKING DB</v>
      </c>
      <c r="C212" s="3" t="str">
        <f>IFERROR(__xludf.DUMMYFUNCTION("""COMPUTED_VALUE"""),"2606/FTSCY/WS95271 53000000.00 pelunasan GANESHA SATRIA NUS")</f>
        <v>2606/FTSCY/WS95271 53000000.00 pelunasan GANESHA SATRIA NUS</v>
      </c>
      <c r="D212" s="3">
        <f>IFERROR(__xludf.DUMMYFUNCTION("""COMPUTED_VALUE"""),5.3E7)</f>
        <v>53000000</v>
      </c>
      <c r="E212" s="3"/>
      <c r="F212" s="3" t="str">
        <f>IFERROR(__xludf.DUMMYFUNCTION("""COMPUTED_VALUE"""),"DB")</f>
        <v>DB</v>
      </c>
      <c r="G212" s="3">
        <f>IFERROR(__xludf.DUMMYFUNCTION("""COMPUTED_VALUE"""),6.2509778976E8)</f>
        <v>625097789.8</v>
      </c>
      <c r="H212" s="3"/>
      <c r="I212" s="3" t="str">
        <f>IFERROR(__xludf.DUMMYFUNCTION("""COMPUTED_VALUE"""),"PRODUKSI")</f>
        <v>PRODUKSI</v>
      </c>
    </row>
    <row r="213">
      <c r="A213" s="3" t="str">
        <f>IFERROR(__xludf.DUMMYFUNCTION("""COMPUTED_VALUE"""),"2023-06-26")</f>
        <v>2023-06-26</v>
      </c>
      <c r="B213" s="3" t="str">
        <f>IFERROR(__xludf.DUMMYFUNCTION("""COMPUTED_VALUE"""),"TRSF E-BANKING DB")</f>
        <v>TRSF E-BANKING DB</v>
      </c>
      <c r="C213" s="3" t="str">
        <f>IFERROR(__xludf.DUMMYFUNCTION("""COMPUTED_VALUE"""),"2606/FTSCY/WS95271 78200000.00 Thu Jun 25 2023 14:00:00 GMT+0700 (Western Indonesia Time) BINTANG TAMA SANTO")</f>
        <v>2606/FTSCY/WS95271 78200000.00 Thu Jun 25 2023 14:00:00 GMT+0700 (Western Indonesia Time) BINTANG TAMA SANTO</v>
      </c>
      <c r="D213" s="3">
        <f>IFERROR(__xludf.DUMMYFUNCTION("""COMPUTED_VALUE"""),7.82E7)</f>
        <v>78200000</v>
      </c>
      <c r="E213" s="3"/>
      <c r="F213" s="3" t="str">
        <f>IFERROR(__xludf.DUMMYFUNCTION("""COMPUTED_VALUE"""),"DB")</f>
        <v>DB</v>
      </c>
      <c r="G213" s="3">
        <f>IFERROR(__xludf.DUMMYFUNCTION("""COMPUTED_VALUE"""),5.4689778976E8)</f>
        <v>546897789.8</v>
      </c>
      <c r="H213" s="3">
        <f>IFERROR(__xludf.DUMMYFUNCTION("""COMPUTED_VALUE"""),5.4689778976E8)</f>
        <v>546897789.8</v>
      </c>
      <c r="I213" s="3" t="str">
        <f>IFERROR(__xludf.DUMMYFUNCTION("""COMPUTED_VALUE"""),"PRODUKSI")</f>
        <v>PRODUKSI</v>
      </c>
    </row>
    <row r="214">
      <c r="A214" s="3" t="str">
        <f>IFERROR(__xludf.DUMMYFUNCTION("""COMPUTED_VALUE"""),"2023-06-27")</f>
        <v>2023-06-27</v>
      </c>
      <c r="B214" s="3" t="str">
        <f>IFERROR(__xludf.DUMMYFUNCTION("""COMPUTED_VALUE"""),"TRSF E-BANKING DB")</f>
        <v>TRSF E-BANKING DB</v>
      </c>
      <c r="C214" s="3" t="str">
        <f>IFERROR(__xludf.DUMMYFUNCTION("""COMPUTED_VALUE"""),"2706/FTSCY/WS95031 100000000.00 Fri Jun 26 2023 14:00:00 GMT+0700 (Western Indonesia Time) RUKUN MITRA BERSAM")</f>
        <v>2706/FTSCY/WS95031 100000000.00 Fri Jun 26 2023 14:00:00 GMT+0700 (Western Indonesia Time) RUKUN MITRA BERSAM</v>
      </c>
      <c r="D214" s="3">
        <f>IFERROR(__xludf.DUMMYFUNCTION("""COMPUTED_VALUE"""),1.0E8)</f>
        <v>100000000</v>
      </c>
      <c r="E214" s="3"/>
      <c r="F214" s="3" t="str">
        <f>IFERROR(__xludf.DUMMYFUNCTION("""COMPUTED_VALUE"""),"DB")</f>
        <v>DB</v>
      </c>
      <c r="G214" s="3">
        <f>IFERROR(__xludf.DUMMYFUNCTION("""COMPUTED_VALUE"""),4.7189778976E8)</f>
        <v>471897789.8</v>
      </c>
      <c r="H214" s="3">
        <f>IFERROR(__xludf.DUMMYFUNCTION("""COMPUTED_VALUE"""),4.7189778976E8)</f>
        <v>471897789.8</v>
      </c>
      <c r="I214" s="3" t="str">
        <f>IFERROR(__xludf.DUMMYFUNCTION("""COMPUTED_VALUE"""),"PRODUKSI")</f>
        <v>PRODUKSI</v>
      </c>
    </row>
    <row r="215">
      <c r="A215" s="3" t="str">
        <f>IFERROR(__xludf.DUMMYFUNCTION("""COMPUTED_VALUE"""),"2023-06-27")</f>
        <v>2023-06-27</v>
      </c>
      <c r="B215" s="3" t="str">
        <f>IFERROR(__xludf.DUMMYFUNCTION("""COMPUTED_VALUE"""),"TRSF E-BANKING DB")</f>
        <v>TRSF E-BANKING DB</v>
      </c>
      <c r="C215" s="3" t="str">
        <f>IFERROR(__xludf.DUMMYFUNCTION("""COMPUTED_VALUE"""),"2706/FTSCY/WS95271 40796100.00 Fri Jun 26 2023 14:00:00 GMT+0700 (Western Indonesia Time) RUKUN MITRA BERSAM")</f>
        <v>2706/FTSCY/WS95271 40796100.00 Fri Jun 26 2023 14:00:00 GMT+0700 (Western Indonesia Time) RUKUN MITRA BERSAM</v>
      </c>
      <c r="D215" s="3">
        <f>IFERROR(__xludf.DUMMYFUNCTION("""COMPUTED_VALUE"""),4.07961E7)</f>
        <v>40796100</v>
      </c>
      <c r="E215" s="3"/>
      <c r="F215" s="3" t="str">
        <f>IFERROR(__xludf.DUMMYFUNCTION("""COMPUTED_VALUE"""),"DB")</f>
        <v>DB</v>
      </c>
      <c r="G215" s="3">
        <f>IFERROR(__xludf.DUMMYFUNCTION("""COMPUTED_VALUE"""),4.3110168976E8)</f>
        <v>431101689.8</v>
      </c>
      <c r="H215" s="3">
        <f>IFERROR(__xludf.DUMMYFUNCTION("""COMPUTED_VALUE"""),4.3110168976E8)</f>
        <v>431101689.8</v>
      </c>
      <c r="I215" s="3" t="str">
        <f>IFERROR(__xludf.DUMMYFUNCTION("""COMPUTED_VALUE"""),"PRODUKSI")</f>
        <v>PRODUKSI</v>
      </c>
    </row>
    <row r="216">
      <c r="A216" s="3" t="str">
        <f>IFERROR(__xludf.DUMMYFUNCTION("""COMPUTED_VALUE"""),"2023-06-27")</f>
        <v>2023-06-27</v>
      </c>
      <c r="B216" s="3" t="str">
        <f>IFERROR(__xludf.DUMMYFUNCTION("""COMPUTED_VALUE"""),"TRSF E-BANKING DB")</f>
        <v>TRSF E-BANKING DB</v>
      </c>
      <c r="C216" s="3" t="str">
        <f>IFERROR(__xludf.DUMMYFUNCTION("""COMPUTED_VALUE"""),"2706/FTSCY/WS95271 81857000.00 Fri Jun 26 2023 14:00:00 GMT+0700 (Western Indonesia Time) ANUGERAH KARTIKA A")</f>
        <v>2706/FTSCY/WS95271 81857000.00 Fri Jun 26 2023 14:00:00 GMT+0700 (Western Indonesia Time) ANUGERAH KARTIKA A</v>
      </c>
      <c r="D216" s="3">
        <f>IFERROR(__xludf.DUMMYFUNCTION("""COMPUTED_VALUE"""),8.1857E7)</f>
        <v>81857000</v>
      </c>
      <c r="E216" s="3"/>
      <c r="F216" s="3" t="str">
        <f>IFERROR(__xludf.DUMMYFUNCTION("""COMPUTED_VALUE"""),"DB")</f>
        <v>DB</v>
      </c>
      <c r="G216" s="3">
        <f>IFERROR(__xludf.DUMMYFUNCTION("""COMPUTED_VALUE"""),3.4924468976E8)</f>
        <v>349244689.8</v>
      </c>
      <c r="H216" s="3"/>
      <c r="I216" s="3" t="str">
        <f>IFERROR(__xludf.DUMMYFUNCTION("""COMPUTED_VALUE"""),"PRODUKSI")</f>
        <v>PRODUKSI</v>
      </c>
    </row>
    <row r="217">
      <c r="A217" s="3" t="str">
        <f>IFERROR(__xludf.DUMMYFUNCTION("""COMPUTED_VALUE"""),"2023-06-27")</f>
        <v>2023-06-27</v>
      </c>
      <c r="B217" s="3" t="str">
        <f>IFERROR(__xludf.DUMMYFUNCTION("""COMPUTED_VALUE"""),"TRSF E-BANKING DB")</f>
        <v>TRSF E-BANKING DB</v>
      </c>
      <c r="C217" s="3" t="str">
        <f>IFERROR(__xludf.DUMMYFUNCTION("""COMPUTED_VALUE"""),"2706/FTSCY/WS95271 72829500.00 Fri Jun 26 2023 14:00:00 GMT+0700 (Western Indonesia Time) ANDALAN YASA MITRA")</f>
        <v>2706/FTSCY/WS95271 72829500.00 Fri Jun 26 2023 14:00:00 GMT+0700 (Western Indonesia Time) ANDALAN YASA MITRA</v>
      </c>
      <c r="D217" s="3">
        <f>IFERROR(__xludf.DUMMYFUNCTION("""COMPUTED_VALUE"""),7.28295E7)</f>
        <v>72829500</v>
      </c>
      <c r="E217" s="3"/>
      <c r="F217" s="3" t="str">
        <f>IFERROR(__xludf.DUMMYFUNCTION("""COMPUTED_VALUE"""),"DB")</f>
        <v>DB</v>
      </c>
      <c r="G217" s="3">
        <f>IFERROR(__xludf.DUMMYFUNCTION("""COMPUTED_VALUE"""),2.7641518976E8)</f>
        <v>276415189.8</v>
      </c>
      <c r="H217" s="3"/>
      <c r="I217" s="3" t="str">
        <f>IFERROR(__xludf.DUMMYFUNCTION("""COMPUTED_VALUE"""),"PRODUKSI")</f>
        <v>PRODUKSI</v>
      </c>
    </row>
    <row r="218">
      <c r="A218" s="3" t="str">
        <f>IFERROR(__xludf.DUMMYFUNCTION("""COMPUTED_VALUE"""),"2023-06-27")</f>
        <v>2023-06-27</v>
      </c>
      <c r="B218" s="3" t="str">
        <f>IFERROR(__xludf.DUMMYFUNCTION("""COMPUTED_VALUE"""),"TRSF E-BANKING DB")</f>
        <v>TRSF E-BANKING DB</v>
      </c>
      <c r="C218" s="3" t="str">
        <f>IFERROR(__xludf.DUMMYFUNCTION("""COMPUTED_VALUE"""),"2706/FTSCY/WS95271 104493750.00 Fri Jun 26 2023 14:00:00 GMT+0700 (Western Indonesia Time) BROILER MAKMUR TAN")</f>
        <v>2706/FTSCY/WS95271 104493750.00 Fri Jun 26 2023 14:00:00 GMT+0700 (Western Indonesia Time) BROILER MAKMUR TAN</v>
      </c>
      <c r="D218" s="3">
        <f>IFERROR(__xludf.DUMMYFUNCTION("""COMPUTED_VALUE"""),1.0449375E8)</f>
        <v>104493750</v>
      </c>
      <c r="E218" s="3"/>
      <c r="F218" s="3" t="str">
        <f>IFERROR(__xludf.DUMMYFUNCTION("""COMPUTED_VALUE"""),"DB")</f>
        <v>DB</v>
      </c>
      <c r="G218" s="3">
        <f>IFERROR(__xludf.DUMMYFUNCTION("""COMPUTED_VALUE"""),1.7192143976E8)</f>
        <v>171921439.8</v>
      </c>
      <c r="H218" s="3"/>
      <c r="I218" s="3" t="str">
        <f>IFERROR(__xludf.DUMMYFUNCTION("""COMPUTED_VALUE"""),"PRODUKSI")</f>
        <v>PRODUKSI</v>
      </c>
    </row>
    <row r="219">
      <c r="A219" s="3" t="str">
        <f>IFERROR(__xludf.DUMMYFUNCTION("""COMPUTED_VALUE"""),"2023-06-27")</f>
        <v>2023-06-27</v>
      </c>
      <c r="B219" s="3" t="str">
        <f>IFERROR(__xludf.DUMMYFUNCTION("""COMPUTED_VALUE"""),"TRSF E-BANKING DB")</f>
        <v>TRSF E-BANKING DB</v>
      </c>
      <c r="C219" s="3" t="str">
        <f>IFERROR(__xludf.DUMMYFUNCTION("""COMPUTED_VALUE"""),"2706/FTSCY/WS95011 52380900.00 tuban TABASSAM AZ ZUFAR")</f>
        <v>2706/FTSCY/WS95011 52380900.00 tuban TABASSAM AZ ZUFAR</v>
      </c>
      <c r="D219" s="3">
        <f>IFERROR(__xludf.DUMMYFUNCTION("""COMPUTED_VALUE"""),5.23809E7)</f>
        <v>52380900</v>
      </c>
      <c r="E219" s="3"/>
      <c r="F219" s="3" t="str">
        <f>IFERROR(__xludf.DUMMYFUNCTION("""COMPUTED_VALUE"""),"DB")</f>
        <v>DB</v>
      </c>
      <c r="G219" s="3">
        <f>IFERROR(__xludf.DUMMYFUNCTION("""COMPUTED_VALUE"""),1.1998157975999999E8)</f>
        <v>119981579.8</v>
      </c>
      <c r="H219" s="3"/>
      <c r="I219" s="3" t="str">
        <f>IFERROR(__xludf.DUMMYFUNCTION("""COMPUTED_VALUE"""),"PRODUKSI")</f>
        <v>PRODUKSI</v>
      </c>
    </row>
    <row r="220">
      <c r="A220" s="3" t="str">
        <f>IFERROR(__xludf.DUMMYFUNCTION("""COMPUTED_VALUE"""),"2023-06-27")</f>
        <v>2023-06-27</v>
      </c>
      <c r="B220" s="3" t="str">
        <f>IFERROR(__xludf.DUMMYFUNCTION("""COMPUTED_VALUE"""),"TRSF E-BANKING DB")</f>
        <v>TRSF E-BANKING DB</v>
      </c>
      <c r="C220" s="3" t="str">
        <f>IFERROR(__xludf.DUMMYFUNCTION("""COMPUTED_VALUE"""),"2706/FTSCY/WS95011 446702600.00 25/06 krg 13 jt LAJU SATWA WISESA")</f>
        <v>2706/FTSCY/WS95011 446702600.00 25/06 krg 13 jt LAJU SATWA WISESA</v>
      </c>
      <c r="D220" s="3">
        <f>IFERROR(__xludf.DUMMYFUNCTION("""COMPUTED_VALUE"""),4.467026E8)</f>
        <v>446702600</v>
      </c>
      <c r="E220" s="3"/>
      <c r="F220" s="3" t="str">
        <f>IFERROR(__xludf.DUMMYFUNCTION("""COMPUTED_VALUE"""),"DB")</f>
        <v>DB</v>
      </c>
      <c r="G220" s="3">
        <f>IFERROR(__xludf.DUMMYFUNCTION("""COMPUTED_VALUE"""),6.5035569576E8)</f>
        <v>650355695.8</v>
      </c>
      <c r="H220" s="3">
        <f>IFERROR(__xludf.DUMMYFUNCTION("""COMPUTED_VALUE"""),6.5035569576E8)</f>
        <v>650355695.8</v>
      </c>
      <c r="I220" s="3" t="str">
        <f>IFERROR(__xludf.DUMMYFUNCTION("""COMPUTED_VALUE"""),"PRODUKSI")</f>
        <v>PRODUKSI</v>
      </c>
    </row>
    <row r="221">
      <c r="A221" s="3" t="str">
        <f>IFERROR(__xludf.DUMMYFUNCTION("""COMPUTED_VALUE"""),"2023-06-27")</f>
        <v>2023-06-27</v>
      </c>
      <c r="B221" s="3" t="str">
        <f>IFERROR(__xludf.DUMMYFUNCTION("""COMPUTED_VALUE"""),"TRSF E-BANKING DB")</f>
        <v>TRSF E-BANKING DB</v>
      </c>
      <c r="C221" s="3" t="str">
        <f>IFERROR(__xludf.DUMMYFUNCTION("""COMPUTED_VALUE"""),"2706/FTFVA/WS95031 55569/PT PRIMA FAJ pasuruan 3500kg - 40190")</f>
        <v>2706/FTFVA/WS95031 55569/PT PRIMA FAJ pasuruan 3500kg - 40190</v>
      </c>
      <c r="D221" s="3">
        <f>IFERROR(__xludf.DUMMYFUNCTION("""COMPUTED_VALUE"""),8.05E7)</f>
        <v>80500000</v>
      </c>
      <c r="E221" s="3"/>
      <c r="F221" s="3" t="str">
        <f>IFERROR(__xludf.DUMMYFUNCTION("""COMPUTED_VALUE"""),"DB")</f>
        <v>DB</v>
      </c>
      <c r="G221" s="3">
        <f>IFERROR(__xludf.DUMMYFUNCTION("""COMPUTED_VALUE"""),5.6985569576E8)</f>
        <v>569855695.8</v>
      </c>
      <c r="H221" s="3"/>
      <c r="I221" s="3" t="str">
        <f>IFERROR(__xludf.DUMMYFUNCTION("""COMPUTED_VALUE"""),"PRODUKSI")</f>
        <v>PRODUKSI</v>
      </c>
    </row>
    <row r="222">
      <c r="A222" s="3" t="str">
        <f>IFERROR(__xludf.DUMMYFUNCTION("""COMPUTED_VALUE"""),"2023-06-28")</f>
        <v>2023-06-28</v>
      </c>
      <c r="B222" s="3" t="str">
        <f>IFERROR(__xludf.DUMMYFUNCTION("""COMPUTED_VALUE"""),"TRSF E-BANKING DB")</f>
        <v>TRSF E-BANKING DB</v>
      </c>
      <c r="C222" s="3" t="str">
        <f>IFERROR(__xludf.DUMMYFUNCTION("""COMPUTED_VALUE"""),"2806/FTSCY/WS95011 286276100.00 Thu Jun 25 2023 14:00:00 GMT+0700 (Western Indonesia Time) SUPER UNGGAS JAYA")</f>
        <v>2806/FTSCY/WS95011 286276100.00 Thu Jun 25 2023 14:00:00 GMT+0700 (Western Indonesia Time) SUPER UNGGAS JAYA</v>
      </c>
      <c r="D222" s="3">
        <f>IFERROR(__xludf.DUMMYFUNCTION("""COMPUTED_VALUE"""),2.862761E8)</f>
        <v>286276100</v>
      </c>
      <c r="E222" s="3"/>
      <c r="F222" s="3" t="str">
        <f>IFERROR(__xludf.DUMMYFUNCTION("""COMPUTED_VALUE"""),"DB")</f>
        <v>DB</v>
      </c>
      <c r="G222" s="3">
        <f>IFERROR(__xludf.DUMMYFUNCTION("""COMPUTED_VALUE"""),5.2309494576E8)</f>
        <v>523094945.8</v>
      </c>
      <c r="H222" s="3"/>
      <c r="I222" s="3" t="str">
        <f>IFERROR(__xludf.DUMMYFUNCTION("""COMPUTED_VALUE"""),"PRODUKSI")</f>
        <v>PRODUKSI</v>
      </c>
    </row>
    <row r="223">
      <c r="A223" s="3" t="str">
        <f>IFERROR(__xludf.DUMMYFUNCTION("""COMPUTED_VALUE"""),"2023-06-28")</f>
        <v>2023-06-28</v>
      </c>
      <c r="B223" s="3" t="str">
        <f>IFERROR(__xludf.DUMMYFUNCTION("""COMPUTED_VALUE"""),"TRSF E-BANKING DB")</f>
        <v>TRSF E-BANKING DB</v>
      </c>
      <c r="C223" s="3" t="str">
        <f>IFERROR(__xludf.DUMMYFUNCTION("""COMPUTED_VALUE"""),"2806/FTSCY/WS95011 111000000.00 pelunasan 25/06 BROILER MAKMUR TAN")</f>
        <v>2806/FTSCY/WS95011 111000000.00 pelunasan 25/06 BROILER MAKMUR TAN</v>
      </c>
      <c r="D223" s="3">
        <f>IFERROR(__xludf.DUMMYFUNCTION("""COMPUTED_VALUE"""),1.11E8)</f>
        <v>111000000</v>
      </c>
      <c r="E223" s="3"/>
      <c r="F223" s="3" t="str">
        <f>IFERROR(__xludf.DUMMYFUNCTION("""COMPUTED_VALUE"""),"DB")</f>
        <v>DB</v>
      </c>
      <c r="G223" s="3">
        <f>IFERROR(__xludf.DUMMYFUNCTION("""COMPUTED_VALUE"""),4.1209494576E8)</f>
        <v>412094945.8</v>
      </c>
      <c r="H223" s="3"/>
      <c r="I223" s="3" t="str">
        <f>IFERROR(__xludf.DUMMYFUNCTION("""COMPUTED_VALUE"""),"PRODUKSI")</f>
        <v>PRODUKSI</v>
      </c>
    </row>
    <row r="224">
      <c r="A224" s="3" t="str">
        <f>IFERROR(__xludf.DUMMYFUNCTION("""COMPUTED_VALUE"""),"2023-06-28")</f>
        <v>2023-06-28</v>
      </c>
      <c r="B224" s="3" t="str">
        <f>IFERROR(__xludf.DUMMYFUNCTION("""COMPUTED_VALUE"""),"TRSF E-BANKING DB")</f>
        <v>TRSF E-BANKING DB</v>
      </c>
      <c r="C224" s="3" t="str">
        <f>IFERROR(__xludf.DUMMYFUNCTION("""COMPUTED_VALUE"""),"2806/FTSCY/WS95011 65055000.00 Thu Jun 25 2023 14:00:00 GMT+0700 (Western Indonesia Time) ANUGERAH KARTIKA A")</f>
        <v>2806/FTSCY/WS95011 65055000.00 Thu Jun 25 2023 14:00:00 GMT+0700 (Western Indonesia Time) ANUGERAH KARTIKA A</v>
      </c>
      <c r="D224" s="3">
        <f>IFERROR(__xludf.DUMMYFUNCTION("""COMPUTED_VALUE"""),6.5055E7)</f>
        <v>65055000</v>
      </c>
      <c r="E224" s="3"/>
      <c r="F224" s="3" t="str">
        <f>IFERROR(__xludf.DUMMYFUNCTION("""COMPUTED_VALUE"""),"DB")</f>
        <v>DB</v>
      </c>
      <c r="G224" s="3">
        <f>IFERROR(__xludf.DUMMYFUNCTION("""COMPUTED_VALUE"""),3.4703994576E8)</f>
        <v>347039945.8</v>
      </c>
      <c r="H224" s="3"/>
      <c r="I224" s="3" t="str">
        <f>IFERROR(__xludf.DUMMYFUNCTION("""COMPUTED_VALUE"""),"PRODUKSI")</f>
        <v>PRODUKSI</v>
      </c>
    </row>
    <row r="225">
      <c r="A225" s="3" t="str">
        <f>IFERROR(__xludf.DUMMYFUNCTION("""COMPUTED_VALUE"""),"2023-06-28")</f>
        <v>2023-06-28</v>
      </c>
      <c r="B225" s="3" t="str">
        <f>IFERROR(__xludf.DUMMYFUNCTION("""COMPUTED_VALUE"""),"TRSF E-BANKING DB")</f>
        <v>TRSF E-BANKING DB</v>
      </c>
      <c r="C225" s="3" t="str">
        <f>IFERROR(__xludf.DUMMYFUNCTION("""COMPUTED_VALUE"""),"2806/FTSCY/WS95011 13000000.00 pelunasan LAJU SATWA WISESA")</f>
        <v>2806/FTSCY/WS95011 13000000.00 pelunasan LAJU SATWA WISESA</v>
      </c>
      <c r="D225" s="3">
        <f>IFERROR(__xludf.DUMMYFUNCTION("""COMPUTED_VALUE"""),1.3E7)</f>
        <v>13000000</v>
      </c>
      <c r="E225" s="3"/>
      <c r="F225" s="3" t="str">
        <f>IFERROR(__xludf.DUMMYFUNCTION("""COMPUTED_VALUE"""),"DB")</f>
        <v>DB</v>
      </c>
      <c r="G225" s="3">
        <f>IFERROR(__xludf.DUMMYFUNCTION("""COMPUTED_VALUE"""),3.3403994576E8)</f>
        <v>334039945.8</v>
      </c>
      <c r="H225" s="3"/>
      <c r="I225" s="3" t="str">
        <f>IFERROR(__xludf.DUMMYFUNCTION("""COMPUTED_VALUE"""),"PRODUKSI")</f>
        <v>PRODUKSI</v>
      </c>
    </row>
    <row r="226">
      <c r="A226" s="3" t="str">
        <f>IFERROR(__xludf.DUMMYFUNCTION("""COMPUTED_VALUE"""),"2023-06-28")</f>
        <v>2023-06-28</v>
      </c>
      <c r="B226" s="3" t="str">
        <f>IFERROR(__xludf.DUMMYFUNCTION("""COMPUTED_VALUE"""),"TRSF E-BANKING DB")</f>
        <v>TRSF E-BANKING DB</v>
      </c>
      <c r="C226" s="3" t="str">
        <f>IFERROR(__xludf.DUMMYFUNCTION("""COMPUTED_VALUE"""),"2806/FTSCY/WS95011 24561250.00 krg 65 jt GANESHA SATRIA NUS")</f>
        <v>2806/FTSCY/WS95011 24561250.00 krg 65 jt GANESHA SATRIA NUS</v>
      </c>
      <c r="D226" s="3">
        <f>IFERROR(__xludf.DUMMYFUNCTION("""COMPUTED_VALUE"""),2.456125E7)</f>
        <v>24561250</v>
      </c>
      <c r="E226" s="3"/>
      <c r="F226" s="3" t="str">
        <f>IFERROR(__xludf.DUMMYFUNCTION("""COMPUTED_VALUE"""),"DB")</f>
        <v>DB</v>
      </c>
      <c r="G226" s="3">
        <f>IFERROR(__xludf.DUMMYFUNCTION("""COMPUTED_VALUE"""),3.0947869576E8)</f>
        <v>309478695.8</v>
      </c>
      <c r="H226" s="3"/>
      <c r="I226" s="3" t="str">
        <f>IFERROR(__xludf.DUMMYFUNCTION("""COMPUTED_VALUE"""),"PRODUKSI")</f>
        <v>PRODUKSI</v>
      </c>
    </row>
    <row r="227">
      <c r="A227" s="3" t="str">
        <f>IFERROR(__xludf.DUMMYFUNCTION("""COMPUTED_VALUE"""),"2023-06-28")</f>
        <v>2023-06-28</v>
      </c>
      <c r="B227" s="3" t="str">
        <f>IFERROR(__xludf.DUMMYFUNCTION("""COMPUTED_VALUE"""),"TRSF E-BANKING DB")</f>
        <v>TRSF E-BANKING DB</v>
      </c>
      <c r="C227" s="3" t="str">
        <f>IFERROR(__xludf.DUMMYFUNCTION("""COMPUTED_VALUE"""),"2806/FTSCY/WS95271 65000000.00 pelunasan GANESHA SATRIA NUS")</f>
        <v>2806/FTSCY/WS95271 65000000.00 pelunasan GANESHA SATRIA NUS</v>
      </c>
      <c r="D227" s="3">
        <f>IFERROR(__xludf.DUMMYFUNCTION("""COMPUTED_VALUE"""),6.5E7)</f>
        <v>65000000</v>
      </c>
      <c r="E227" s="3"/>
      <c r="F227" s="3" t="str">
        <f>IFERROR(__xludf.DUMMYFUNCTION("""COMPUTED_VALUE"""),"DB")</f>
        <v>DB</v>
      </c>
      <c r="G227" s="3">
        <f>IFERROR(__xludf.DUMMYFUNCTION("""COMPUTED_VALUE"""),2.4447869576E8)</f>
        <v>244478695.8</v>
      </c>
      <c r="H227" s="3"/>
      <c r="I227" s="3" t="str">
        <f>IFERROR(__xludf.DUMMYFUNCTION("""COMPUTED_VALUE"""),"PRODUKSI")</f>
        <v>PRODUKSI</v>
      </c>
    </row>
    <row r="228">
      <c r="A228" s="3" t="str">
        <f>IFERROR(__xludf.DUMMYFUNCTION("""COMPUTED_VALUE"""),"2023-06-28")</f>
        <v>2023-06-28</v>
      </c>
      <c r="B228" s="3" t="str">
        <f>IFERROR(__xludf.DUMMYFUNCTION("""COMPUTED_VALUE"""),"TRSF E-BANKING DB")</f>
        <v>TRSF E-BANKING DB</v>
      </c>
      <c r="C228" s="3" t="str">
        <f>IFERROR(__xludf.DUMMYFUNCTION("""COMPUTED_VALUE"""),"2806/FTSCY/WS95271 80562100.00 Fri Jun 26 2023 14:00:00 GMT+0700 (Western Indonesia Time) ANDALAN YASA MITRA")</f>
        <v>2806/FTSCY/WS95271 80562100.00 Fri Jun 26 2023 14:00:00 GMT+0700 (Western Indonesia Time) ANDALAN YASA MITRA</v>
      </c>
      <c r="D228" s="3">
        <f>IFERROR(__xludf.DUMMYFUNCTION("""COMPUTED_VALUE"""),8.05621E7)</f>
        <v>80562100</v>
      </c>
      <c r="E228" s="3"/>
      <c r="F228" s="3" t="str">
        <f>IFERROR(__xludf.DUMMYFUNCTION("""COMPUTED_VALUE"""),"DB")</f>
        <v>DB</v>
      </c>
      <c r="G228" s="3">
        <f>IFERROR(__xludf.DUMMYFUNCTION("""COMPUTED_VALUE"""),1.6391659576E8)</f>
        <v>163916595.8</v>
      </c>
      <c r="H228" s="3">
        <f>IFERROR(__xludf.DUMMYFUNCTION("""COMPUTED_VALUE"""),1.6391659576E8)</f>
        <v>163916595.8</v>
      </c>
      <c r="I228" s="3" t="str">
        <f>IFERROR(__xludf.DUMMYFUNCTION("""COMPUTED_VALUE"""),"PRODUKSI")</f>
        <v>PRODUKSI</v>
      </c>
    </row>
    <row r="229">
      <c r="A229" s="3" t="str">
        <f>IFERROR(__xludf.DUMMYFUNCTION("""COMPUTED_VALUE"""),"2023-06-28")</f>
        <v>2023-06-28</v>
      </c>
      <c r="B229" s="3" t="str">
        <f>IFERROR(__xludf.DUMMYFUNCTION("""COMPUTED_VALUE"""),"TRSF E-BANKING DB")</f>
        <v>TRSF E-BANKING DB</v>
      </c>
      <c r="C229" s="3" t="str">
        <f>IFERROR(__xludf.DUMMYFUNCTION("""COMPUTED_VALUE"""),"2806/FTSCY/WS95271 69943000.00 Thu Jun 25 2023 14:00:00 GMT+0700 (Western Indonesia Time) ANDALAN YASA MITRA")</f>
        <v>2806/FTSCY/WS95271 69943000.00 Thu Jun 25 2023 14:00:00 GMT+0700 (Western Indonesia Time) ANDALAN YASA MITRA</v>
      </c>
      <c r="D229" s="3">
        <f>IFERROR(__xludf.DUMMYFUNCTION("""COMPUTED_VALUE"""),6.9943E7)</f>
        <v>69943000</v>
      </c>
      <c r="E229" s="3"/>
      <c r="F229" s="3" t="str">
        <f>IFERROR(__xludf.DUMMYFUNCTION("""COMPUTED_VALUE"""),"DB")</f>
        <v>DB</v>
      </c>
      <c r="G229" s="3">
        <f>IFERROR(__xludf.DUMMYFUNCTION("""COMPUTED_VALUE"""),9.397359575999999E7)</f>
        <v>93973595.76</v>
      </c>
      <c r="H229" s="3">
        <f>IFERROR(__xludf.DUMMYFUNCTION("""COMPUTED_VALUE"""),9.397359576E7)</f>
        <v>93973595.76</v>
      </c>
      <c r="I229" s="3" t="str">
        <f>IFERROR(__xludf.DUMMYFUNCTION("""COMPUTED_VALUE"""),"PRODUKSI")</f>
        <v>PRODUKSI</v>
      </c>
    </row>
    <row r="230">
      <c r="A230" s="3" t="str">
        <f>IFERROR(__xludf.DUMMYFUNCTION("""COMPUTED_VALUE"""),"2023-06-28")</f>
        <v>2023-06-28</v>
      </c>
      <c r="B230" s="3" t="str">
        <f>IFERROR(__xludf.DUMMYFUNCTION("""COMPUTED_VALUE"""),"BI-FAST DB")</f>
        <v>BI-FAST DB</v>
      </c>
      <c r="C230" s="3" t="str">
        <f>IFERROR(__xludf.DUMMYFUNCTION("""COMPUTED_VALUE"""),"BIF TRANSFER KE 9 MUHAMMAD SODIK M-BCA")</f>
        <v>BIF TRANSFER KE 9 MUHAMMAD SODIK M-BCA</v>
      </c>
      <c r="D230" s="3">
        <f>IFERROR(__xludf.DUMMYFUNCTION("""COMPUTED_VALUE"""),5000000.0)</f>
        <v>5000000</v>
      </c>
      <c r="E230" s="3"/>
      <c r="F230" s="3" t="str">
        <f>IFERROR(__xludf.DUMMYFUNCTION("""COMPUTED_VALUE"""),"DB")</f>
        <v>DB</v>
      </c>
      <c r="G230" s="3">
        <f>IFERROR(__xludf.DUMMYFUNCTION("""COMPUTED_VALUE"""),5.4120243576E8)</f>
        <v>541202435.8</v>
      </c>
      <c r="H230" s="3"/>
      <c r="I230" s="3" t="str">
        <f>IFERROR(__xludf.DUMMYFUNCTION("""COMPUTED_VALUE"""),"PRODUKSI")</f>
        <v>PRODUKSI</v>
      </c>
    </row>
    <row r="231">
      <c r="A231" s="3" t="str">
        <f>IFERROR(__xludf.DUMMYFUNCTION("""COMPUTED_VALUE"""),"2023-06-28")</f>
        <v>2023-06-28</v>
      </c>
      <c r="B231" s="3" t="str">
        <f>IFERROR(__xludf.DUMMYFUNCTION("""COMPUTED_VALUE"""),"BI-FAST DB")</f>
        <v>BI-FAST DB</v>
      </c>
      <c r="C231" s="3" t="str">
        <f>IFERROR(__xludf.DUMMYFUNCTION("""COMPUTED_VALUE"""),"BIF BIAYA TXN KE 9 MUHAMMAD SODIK M-BCA")</f>
        <v>BIF BIAYA TXN KE 9 MUHAMMAD SODIK M-BCA</v>
      </c>
      <c r="D231" s="3">
        <f>IFERROR(__xludf.DUMMYFUNCTION("""COMPUTED_VALUE"""),2500.0)</f>
        <v>2500</v>
      </c>
      <c r="E231" s="3"/>
      <c r="F231" s="3" t="str">
        <f>IFERROR(__xludf.DUMMYFUNCTION("""COMPUTED_VALUE"""),"DB")</f>
        <v>DB</v>
      </c>
      <c r="G231" s="3">
        <f>IFERROR(__xludf.DUMMYFUNCTION("""COMPUTED_VALUE"""),5.4119993576E8)</f>
        <v>541199935.8</v>
      </c>
      <c r="H231" s="3">
        <f>IFERROR(__xludf.DUMMYFUNCTION("""COMPUTED_VALUE"""),5.4119993576E8)</f>
        <v>541199935.8</v>
      </c>
      <c r="I231" s="3" t="str">
        <f>IFERROR(__xludf.DUMMYFUNCTION("""COMPUTED_VALUE"""),"PRODUKSI")</f>
        <v>PRODUKSI</v>
      </c>
    </row>
    <row r="232">
      <c r="A232" s="3" t="str">
        <f>IFERROR(__xludf.DUMMYFUNCTION("""COMPUTED_VALUE"""),"2023-06-28")</f>
        <v>2023-06-28</v>
      </c>
      <c r="B232" s="3" t="str">
        <f>IFERROR(__xludf.DUMMYFUNCTION("""COMPUTED_VALUE"""),"TRSF E-BANKING DB")</f>
        <v>TRSF E-BANKING DB</v>
      </c>
      <c r="C232" s="3" t="str">
        <f>IFERROR(__xludf.DUMMYFUNCTION("""COMPUTED_VALUE"""),"2806/FTSCY/WS95031 67500000.00 mlg TABASSAM AL HATTAK")</f>
        <v>2806/FTSCY/WS95031 67500000.00 mlg TABASSAM AL HATTAK</v>
      </c>
      <c r="D232" s="3">
        <f>IFERROR(__xludf.DUMMYFUNCTION("""COMPUTED_VALUE"""),6.75E7)</f>
        <v>67500000</v>
      </c>
      <c r="E232" s="3"/>
      <c r="F232" s="3" t="str">
        <f>IFERROR(__xludf.DUMMYFUNCTION("""COMPUTED_VALUE"""),"DB")</f>
        <v>DB</v>
      </c>
      <c r="G232" s="3">
        <f>IFERROR(__xludf.DUMMYFUNCTION("""COMPUTED_VALUE"""),4.7369993576E8)</f>
        <v>473699935.8</v>
      </c>
      <c r="H232" s="3">
        <f>IFERROR(__xludf.DUMMYFUNCTION("""COMPUTED_VALUE"""),4.7369993576E8)</f>
        <v>473699935.8</v>
      </c>
      <c r="I232" s="3" t="str">
        <f>IFERROR(__xludf.DUMMYFUNCTION("""COMPUTED_VALUE"""),"PRODUKSI")</f>
        <v>PRODUKSI</v>
      </c>
    </row>
    <row r="233">
      <c r="A233" s="3" t="str">
        <f>IFERROR(__xludf.DUMMYFUNCTION("""COMPUTED_VALUE"""),"2023-06-28")</f>
        <v>2023-06-28</v>
      </c>
      <c r="B233" s="3" t="str">
        <f>IFERROR(__xludf.DUMMYFUNCTION("""COMPUTED_VALUE"""),"TRSF E-BANKING DB")</f>
        <v>TRSF E-BANKING DB</v>
      </c>
      <c r="C233" s="3" t="str">
        <f>IFERROR(__xludf.DUMMYFUNCTION("""COMPUTED_VALUE"""),"2806/FTSCY/WS95031 600000.00 KATRIN MAI JINGGA")</f>
        <v>2806/FTSCY/WS95031 600000.00 KATRIN MAI JINGGA</v>
      </c>
      <c r="D233" s="3">
        <f>IFERROR(__xludf.DUMMYFUNCTION("""COMPUTED_VALUE"""),600000.0)</f>
        <v>600000</v>
      </c>
      <c r="E233" s="3"/>
      <c r="F233" s="3" t="str">
        <f>IFERROR(__xludf.DUMMYFUNCTION("""COMPUTED_VALUE"""),"DB")</f>
        <v>DB</v>
      </c>
      <c r="G233" s="3">
        <f>IFERROR(__xludf.DUMMYFUNCTION("""COMPUTED_VALUE"""),5.5219993576E8)</f>
        <v>552199935.8</v>
      </c>
      <c r="H233" s="3"/>
      <c r="I233" s="3" t="str">
        <f>IFERROR(__xludf.DUMMYFUNCTION("""COMPUTED_VALUE"""),"PRODUKSI")</f>
        <v>PRODUKSI</v>
      </c>
    </row>
    <row r="234">
      <c r="A234" s="3" t="str">
        <f>IFERROR(__xludf.DUMMYFUNCTION("""COMPUTED_VALUE"""),"2023-06-28")</f>
        <v>2023-06-28</v>
      </c>
      <c r="B234" s="3" t="str">
        <f>IFERROR(__xludf.DUMMYFUNCTION("""COMPUTED_VALUE"""),"TRSF E-BANKING DB")</f>
        <v>TRSF E-BANKING DB</v>
      </c>
      <c r="C234" s="3" t="str">
        <f>IFERROR(__xludf.DUMMYFUNCTION("""COMPUTED_VALUE"""),"2806/FTSCY/WS95271 65527210.00 kd p wiji mlg SUGENG RIADI")</f>
        <v>2806/FTSCY/WS95271 65527210.00 kd p wiji mlg SUGENG RIADI</v>
      </c>
      <c r="D234" s="3">
        <f>IFERROR(__xludf.DUMMYFUNCTION("""COMPUTED_VALUE"""),6.552721E7)</f>
        <v>65527210</v>
      </c>
      <c r="E234" s="3"/>
      <c r="F234" s="3" t="str">
        <f>IFERROR(__xludf.DUMMYFUNCTION("""COMPUTED_VALUE"""),"DB")</f>
        <v>DB</v>
      </c>
      <c r="G234" s="3">
        <f>IFERROR(__xludf.DUMMYFUNCTION("""COMPUTED_VALUE"""),7.8223464576E8)</f>
        <v>782234645.8</v>
      </c>
      <c r="H234" s="3"/>
      <c r="I234" s="3" t="str">
        <f>IFERROR(__xludf.DUMMYFUNCTION("""COMPUTED_VALUE"""),"PRODUKSI")</f>
        <v>PRODUKSI</v>
      </c>
    </row>
    <row r="235">
      <c r="A235" s="3" t="str">
        <f>IFERROR(__xludf.DUMMYFUNCTION("""COMPUTED_VALUE"""),"2023-06-29")</f>
        <v>2023-06-29</v>
      </c>
      <c r="B235" s="3" t="str">
        <f>IFERROR(__xludf.DUMMYFUNCTION("""COMPUTED_VALUE"""),"TRSF E-BANKING DB")</f>
        <v>TRSF E-BANKING DB</v>
      </c>
      <c r="C235" s="3" t="str">
        <f>IFERROR(__xludf.DUMMYFUNCTION("""COMPUTED_VALUE"""),"2906/FTSCY/WS95271 77710000.00 pelunasan SUGENG RIADI")</f>
        <v>2906/FTSCY/WS95271 77710000.00 pelunasan SUGENG RIADI</v>
      </c>
      <c r="D235" s="3">
        <f>IFERROR(__xludf.DUMMYFUNCTION("""COMPUTED_VALUE"""),7.771E7)</f>
        <v>77710000</v>
      </c>
      <c r="E235" s="3"/>
      <c r="F235" s="3" t="str">
        <f>IFERROR(__xludf.DUMMYFUNCTION("""COMPUTED_VALUE"""),"DB")</f>
        <v>DB</v>
      </c>
      <c r="G235" s="3">
        <f>IFERROR(__xludf.DUMMYFUNCTION("""COMPUTED_VALUE"""),7.8667668576E8)</f>
        <v>786676685.8</v>
      </c>
      <c r="H235" s="3"/>
      <c r="I235" s="3" t="str">
        <f>IFERROR(__xludf.DUMMYFUNCTION("""COMPUTED_VALUE"""),"PRODUKSI")</f>
        <v>PRODUKSI</v>
      </c>
    </row>
    <row r="236">
      <c r="A236" s="3" t="str">
        <f>IFERROR(__xludf.DUMMYFUNCTION("""COMPUTED_VALUE"""),"2023-06-29")</f>
        <v>2023-06-29</v>
      </c>
      <c r="B236" s="3" t="str">
        <f>IFERROR(__xludf.DUMMYFUNCTION("""COMPUTED_VALUE"""),"TRSF E-BANKING DB")</f>
        <v>TRSF E-BANKING DB</v>
      </c>
      <c r="C236" s="3" t="str">
        <f>IFERROR(__xludf.DUMMYFUNCTION("""COMPUTED_VALUE"""),"2906/FTSCY/WS95271 78750000.00 blitar GANESHA SATRIA NUS")</f>
        <v>2906/FTSCY/WS95271 78750000.00 blitar GANESHA SATRIA NUS</v>
      </c>
      <c r="D236" s="3">
        <f>IFERROR(__xludf.DUMMYFUNCTION("""COMPUTED_VALUE"""),7.875E7)</f>
        <v>78750000</v>
      </c>
      <c r="E236" s="3"/>
      <c r="F236" s="3" t="str">
        <f>IFERROR(__xludf.DUMMYFUNCTION("""COMPUTED_VALUE"""),"DB")</f>
        <v>DB</v>
      </c>
      <c r="G236" s="3">
        <f>IFERROR(__xludf.DUMMYFUNCTION("""COMPUTED_VALUE"""),7.0792668576E8)</f>
        <v>707926685.8</v>
      </c>
      <c r="H236" s="3"/>
      <c r="I236" s="3" t="str">
        <f>IFERROR(__xludf.DUMMYFUNCTION("""COMPUTED_VALUE"""),"PRODUKSI")</f>
        <v>PRODUKSI</v>
      </c>
    </row>
    <row r="237">
      <c r="A237" s="3" t="str">
        <f>IFERROR(__xludf.DUMMYFUNCTION("""COMPUTED_VALUE"""),"2023-06-29")</f>
        <v>2023-06-29</v>
      </c>
      <c r="B237" s="3" t="str">
        <f>IFERROR(__xludf.DUMMYFUNCTION("""COMPUTED_VALUE"""),"TRSF E-BANKING DB")</f>
        <v>TRSF E-BANKING DB</v>
      </c>
      <c r="C237" s="3" t="str">
        <f>IFERROR(__xludf.DUMMYFUNCTION("""COMPUTED_VALUE"""),"2906/FTSCY/WS95271 54045000.00 Sat Jun 27 2023 14:00:00 GMT+0700 (Western Indonesia Time) ANUGERAH KARTIKA A")</f>
        <v>2906/FTSCY/WS95271 54045000.00 Sat Jun 27 2023 14:00:00 GMT+0700 (Western Indonesia Time) ANUGERAH KARTIKA A</v>
      </c>
      <c r="D237" s="3">
        <f>IFERROR(__xludf.DUMMYFUNCTION("""COMPUTED_VALUE"""),5.4045E7)</f>
        <v>54045000</v>
      </c>
      <c r="E237" s="3"/>
      <c r="F237" s="3" t="str">
        <f>IFERROR(__xludf.DUMMYFUNCTION("""COMPUTED_VALUE"""),"DB")</f>
        <v>DB</v>
      </c>
      <c r="G237" s="3">
        <f>IFERROR(__xludf.DUMMYFUNCTION("""COMPUTED_VALUE"""),6.5388168576E8)</f>
        <v>653881685.8</v>
      </c>
      <c r="H237" s="3"/>
      <c r="I237" s="3" t="str">
        <f>IFERROR(__xludf.DUMMYFUNCTION("""COMPUTED_VALUE"""),"PRODUKSI")</f>
        <v>PRODUKSI</v>
      </c>
    </row>
    <row r="238">
      <c r="A238" s="3" t="str">
        <f>IFERROR(__xludf.DUMMYFUNCTION("""COMPUTED_VALUE"""),"2023-06-29")</f>
        <v>2023-06-29</v>
      </c>
      <c r="B238" s="3" t="str">
        <f>IFERROR(__xludf.DUMMYFUNCTION("""COMPUTED_VALUE"""),"TRSF E-BANKING DB")</f>
        <v>TRSF E-BANKING DB</v>
      </c>
      <c r="C238" s="3" t="str">
        <f>IFERROR(__xludf.DUMMYFUNCTION("""COMPUTED_VALUE"""),"2906/FTSCY/WS95271 76181600.00 Sat Jun 27 2023 14:00:00 GMT+0700 (Western Indonesia Time) ANDALAN YASA MITRA")</f>
        <v>2906/FTSCY/WS95271 76181600.00 Sat Jun 27 2023 14:00:00 GMT+0700 (Western Indonesia Time) ANDALAN YASA MITRA</v>
      </c>
      <c r="D238" s="3">
        <f>IFERROR(__xludf.DUMMYFUNCTION("""COMPUTED_VALUE"""),7.61816E7)</f>
        <v>76181600</v>
      </c>
      <c r="E238" s="3"/>
      <c r="F238" s="3" t="str">
        <f>IFERROR(__xludf.DUMMYFUNCTION("""COMPUTED_VALUE"""),"DB")</f>
        <v>DB</v>
      </c>
      <c r="G238" s="3">
        <f>IFERROR(__xludf.DUMMYFUNCTION("""COMPUTED_VALUE"""),5.7770008576E8)</f>
        <v>577700085.8</v>
      </c>
      <c r="H238" s="3">
        <f>IFERROR(__xludf.DUMMYFUNCTION("""COMPUTED_VALUE"""),5.7770008576E8)</f>
        <v>577700085.8</v>
      </c>
      <c r="I238" s="3" t="str">
        <f>IFERROR(__xludf.DUMMYFUNCTION("""COMPUTED_VALUE"""),"PRODUKSI")</f>
        <v>PRODUKSI</v>
      </c>
    </row>
    <row r="239">
      <c r="A239" s="3" t="str">
        <f>IFERROR(__xludf.DUMMYFUNCTION("""COMPUTED_VALUE"""),"2023-06-29")</f>
        <v>2023-06-29</v>
      </c>
      <c r="B239" s="3" t="str">
        <f>IFERROR(__xludf.DUMMYFUNCTION("""COMPUTED_VALUE"""),"TRSF E-BANKING DB")</f>
        <v>TRSF E-BANKING DB</v>
      </c>
      <c r="C239" s="3" t="str">
        <f>IFERROR(__xludf.DUMMYFUNCTION("""COMPUTED_VALUE"""),"2906/FTSCY/WS95011 358212960.00 Fri Jun 26 2023 14:00:00 GMT+0700 (Western Indonesia Time) BROILER MAKMUR TAN")</f>
        <v>2906/FTSCY/WS95011 358212960.00 Fri Jun 26 2023 14:00:00 GMT+0700 (Western Indonesia Time) BROILER MAKMUR TAN</v>
      </c>
      <c r="D239" s="3">
        <f>IFERROR(__xludf.DUMMYFUNCTION("""COMPUTED_VALUE"""),3.5821296E8)</f>
        <v>358212960</v>
      </c>
      <c r="E239" s="3"/>
      <c r="F239" s="3" t="str">
        <f>IFERROR(__xludf.DUMMYFUNCTION("""COMPUTED_VALUE"""),"DB")</f>
        <v>DB</v>
      </c>
      <c r="G239" s="3">
        <f>IFERROR(__xludf.DUMMYFUNCTION("""COMPUTED_VALUE"""),2.1258712576E8)</f>
        <v>212587125.8</v>
      </c>
      <c r="H239" s="3"/>
      <c r="I239" s="3" t="str">
        <f>IFERROR(__xludf.DUMMYFUNCTION("""COMPUTED_VALUE"""),"PRODUKSI")</f>
        <v>PRODUKSI</v>
      </c>
    </row>
    <row r="240">
      <c r="A240" s="3" t="str">
        <f>IFERROR(__xludf.DUMMYFUNCTION("""COMPUTED_VALUE"""),"2023-06-29")</f>
        <v>2023-06-29</v>
      </c>
      <c r="B240" s="3" t="str">
        <f>IFERROR(__xludf.DUMMYFUNCTION("""COMPUTED_VALUE"""),"TRSF E-BANKING DB")</f>
        <v>TRSF E-BANKING DB</v>
      </c>
      <c r="C240" s="3" t="str">
        <f>IFERROR(__xludf.DUMMYFUNCTION("""COMPUTED_VALUE"""),"2906/FTFVA/WS95031 55569/PT PRIMA FAJ bwi dan pasuruan - 40190")</f>
        <v>2906/FTFVA/WS95031 55569/PT PRIMA FAJ bwi dan pasuruan - 40190</v>
      </c>
      <c r="D240" s="3">
        <f>IFERROR(__xludf.DUMMYFUNCTION("""COMPUTED_VALUE"""),2.125E8)</f>
        <v>212500000</v>
      </c>
      <c r="E240" s="3"/>
      <c r="F240" s="3" t="str">
        <f>IFERROR(__xludf.DUMMYFUNCTION("""COMPUTED_VALUE"""),"DB")</f>
        <v>DB</v>
      </c>
      <c r="G240" s="3">
        <f>IFERROR(__xludf.DUMMYFUNCTION("""COMPUTED_VALUE"""),87125.75999999046)</f>
        <v>87125.76</v>
      </c>
      <c r="H240" s="3">
        <f>IFERROR(__xludf.DUMMYFUNCTION("""COMPUTED_VALUE"""),87125.76)</f>
        <v>87125.76</v>
      </c>
      <c r="I240" s="3" t="str">
        <f>IFERROR(__xludf.DUMMYFUNCTION("""COMPUTED_VALUE"""),"PRODUKSI")</f>
        <v>PRODUKSI</v>
      </c>
    </row>
    <row r="241">
      <c r="A241" s="3" t="str">
        <f>IFERROR(__xludf.DUMMYFUNCTION("""COMPUTED_VALUE"""),"2023-06-30")</f>
        <v>2023-06-30</v>
      </c>
      <c r="B241" s="3" t="str">
        <f>IFERROR(__xludf.DUMMYFUNCTION("""COMPUTED_VALUE"""),"TRSF E-BANKING DB")</f>
        <v>TRSF E-BANKING DB</v>
      </c>
      <c r="C241" s="3" t="str">
        <f>IFERROR(__xludf.DUMMYFUNCTION("""COMPUTED_VALUE"""),"3006/FTSCY/WS95271 100000000.00 pelunasan BROILER MAKMUR TAN")</f>
        <v>3006/FTSCY/WS95271 100000000.00 pelunasan BROILER MAKMUR TAN</v>
      </c>
      <c r="D241" s="3">
        <f>IFERROR(__xludf.DUMMYFUNCTION("""COMPUTED_VALUE"""),1.0E8)</f>
        <v>100000000</v>
      </c>
      <c r="E241" s="3"/>
      <c r="F241" s="3" t="str">
        <f>IFERROR(__xludf.DUMMYFUNCTION("""COMPUTED_VALUE"""),"DB")</f>
        <v>DB</v>
      </c>
      <c r="G241" s="3">
        <f>IFERROR(__xludf.DUMMYFUNCTION("""COMPUTED_VALUE"""),2.7047709776E8)</f>
        <v>270477097.8</v>
      </c>
      <c r="H241" s="3">
        <f>IFERROR(__xludf.DUMMYFUNCTION("""COMPUTED_VALUE"""),2.7047709776E8)</f>
        <v>270477097.8</v>
      </c>
      <c r="I241" s="3" t="str">
        <f>IFERROR(__xludf.DUMMYFUNCTION("""COMPUTED_VALUE"""),"PRODUKSI")</f>
        <v>PRODUKSI</v>
      </c>
    </row>
    <row r="242">
      <c r="A242" s="3" t="str">
        <f>IFERROR(__xludf.DUMMYFUNCTION("""COMPUTED_VALUE"""),"2023-06-30")</f>
        <v>2023-06-30</v>
      </c>
      <c r="B242" s="3" t="str">
        <f>IFERROR(__xludf.DUMMYFUNCTION("""COMPUTED_VALUE"""),"TRSF E-BANKING DB")</f>
        <v>TRSF E-BANKING DB</v>
      </c>
      <c r="C242" s="3" t="str">
        <f>IFERROR(__xludf.DUMMYFUNCTION("""COMPUTED_VALUE"""),"3006/FTFVA/WS95031 55569/PT PRIMA FAJ pelunasan - 40190")</f>
        <v>3006/FTFVA/WS95031 55569/PT PRIMA FAJ pelunasan - 40190</v>
      </c>
      <c r="D242" s="3">
        <f>IFERROR(__xludf.DUMMYFUNCTION("""COMPUTED_VALUE"""),2.866235E7)</f>
        <v>28662350</v>
      </c>
      <c r="E242" s="3"/>
      <c r="F242" s="3" t="str">
        <f>IFERROR(__xludf.DUMMYFUNCTION("""COMPUTED_VALUE"""),"DB")</f>
        <v>DB</v>
      </c>
      <c r="G242" s="3">
        <f>IFERROR(__xludf.DUMMYFUNCTION("""COMPUTED_VALUE"""),2.4181474776E8)</f>
        <v>241814747.8</v>
      </c>
      <c r="H242" s="3"/>
      <c r="I242" s="3" t="str">
        <f>IFERROR(__xludf.DUMMYFUNCTION("""COMPUTED_VALUE"""),"PRODUKSI")</f>
        <v>PRODUKSI</v>
      </c>
    </row>
    <row r="243">
      <c r="A243" s="3" t="str">
        <f>IFERROR(__xludf.DUMMYFUNCTION("""COMPUTED_VALUE"""),"2023-06-30")</f>
        <v>2023-06-30</v>
      </c>
      <c r="B243" s="3" t="str">
        <f>IFERROR(__xludf.DUMMYFUNCTION("""COMPUTED_VALUE"""),"TRSF E-BANKING DB")</f>
        <v>TRSF E-BANKING DB</v>
      </c>
      <c r="C243" s="3" t="str">
        <f>IFERROR(__xludf.DUMMYFUNCTION("""COMPUTED_VALUE"""),"3006/FTSCY/WS95271 29900000.00 SANDI FAJAR PRASET")</f>
        <v>3006/FTSCY/WS95271 29900000.00 SANDI FAJAR PRASET</v>
      </c>
      <c r="D243" s="3">
        <f>IFERROR(__xludf.DUMMYFUNCTION("""COMPUTED_VALUE"""),2.99E7)</f>
        <v>29900000</v>
      </c>
      <c r="E243" s="3"/>
      <c r="F243" s="3" t="str">
        <f>IFERROR(__xludf.DUMMYFUNCTION("""COMPUTED_VALUE"""),"DB")</f>
        <v>DB</v>
      </c>
      <c r="G243" s="3">
        <f>IFERROR(__xludf.DUMMYFUNCTION("""COMPUTED_VALUE"""),6.3622984776E8)</f>
        <v>636229847.8</v>
      </c>
      <c r="H243" s="3"/>
      <c r="I243" s="3" t="str">
        <f>IFERROR(__xludf.DUMMYFUNCTION("""COMPUTED_VALUE"""),"PRODUKSI")</f>
        <v>PRODUKSI</v>
      </c>
    </row>
    <row r="244">
      <c r="A244" s="3" t="str">
        <f>IFERROR(__xludf.DUMMYFUNCTION("""COMPUTED_VALUE"""),"2023-06-30")</f>
        <v>2023-06-30</v>
      </c>
      <c r="B244" s="3" t="str">
        <f>IFERROR(__xludf.DUMMYFUNCTION("""COMPUTED_VALUE"""),"TRSF E-BANKING DB")</f>
        <v>TRSF E-BANKING DB</v>
      </c>
      <c r="C244" s="3" t="str">
        <f>IFERROR(__xludf.DUMMYFUNCTION("""COMPUTED_VALUE"""),"3006/FTSCY/WS95271 12700000.00 tot. 42.600.000 SANDI FAJAR PRASET")</f>
        <v>3006/FTSCY/WS95271 12700000.00 tot. 42.600.000 SANDI FAJAR PRASET</v>
      </c>
      <c r="D244" s="3">
        <f>IFERROR(__xludf.DUMMYFUNCTION("""COMPUTED_VALUE"""),1.27E7)</f>
        <v>12700000</v>
      </c>
      <c r="E244" s="3"/>
      <c r="F244" s="3" t="str">
        <f>IFERROR(__xludf.DUMMYFUNCTION("""COMPUTED_VALUE"""),"DB")</f>
        <v>DB</v>
      </c>
      <c r="G244" s="3">
        <f>IFERROR(__xludf.DUMMYFUNCTION("""COMPUTED_VALUE"""),6.5342984776E8)</f>
        <v>653429847.8</v>
      </c>
      <c r="H244" s="3"/>
      <c r="I244" s="3" t="str">
        <f>IFERROR(__xludf.DUMMYFUNCTION("""COMPUTED_VALUE"""),"PRODUKSI")</f>
        <v>PRODUKSI</v>
      </c>
    </row>
    <row r="245">
      <c r="A245" s="3" t="str">
        <f>IFERROR(__xludf.DUMMYFUNCTION("""COMPUTED_VALUE"""),"2023-06-30")</f>
        <v>2023-06-30</v>
      </c>
      <c r="B245" s="3" t="str">
        <f>IFERROR(__xludf.DUMMYFUNCTION("""COMPUTED_VALUE"""),"TRSF E-BANKING DB")</f>
        <v>TRSF E-BANKING DB</v>
      </c>
      <c r="C245" s="3" t="str">
        <f>IFERROR(__xludf.DUMMYFUNCTION("""COMPUTED_VALUE"""),"3006/FTSCY/WS95271 156115440.00 pelunasan ANDALAN YASA MITRA")</f>
        <v>3006/FTSCY/WS95271 156115440.00 pelunasan ANDALAN YASA MITRA</v>
      </c>
      <c r="D245" s="3">
        <f>IFERROR(__xludf.DUMMYFUNCTION("""COMPUTED_VALUE"""),1.5611544E8)</f>
        <v>156115440</v>
      </c>
      <c r="E245" s="3"/>
      <c r="F245" s="3" t="str">
        <f>IFERROR(__xludf.DUMMYFUNCTION("""COMPUTED_VALUE"""),"DB")</f>
        <v>DB</v>
      </c>
      <c r="G245" s="3">
        <f>IFERROR(__xludf.DUMMYFUNCTION("""COMPUTED_VALUE"""),4.9731440776E8)</f>
        <v>497314407.8</v>
      </c>
      <c r="H245" s="3">
        <f>IFERROR(__xludf.DUMMYFUNCTION("""COMPUTED_VALUE"""),4.9731440776E8)</f>
        <v>497314407.8</v>
      </c>
      <c r="I245" s="3" t="str">
        <f>IFERROR(__xludf.DUMMYFUNCTION("""COMPUTED_VALUE"""),"PRODUKSI")</f>
        <v>PRODUKSI</v>
      </c>
    </row>
    <row r="246">
      <c r="A246" s="3" t="str">
        <f>IFERROR(__xludf.DUMMYFUNCTION("""COMPUTED_VALUE"""),"2023-06-30")</f>
        <v>2023-06-30</v>
      </c>
      <c r="B246" s="3" t="str">
        <f>IFERROR(__xludf.DUMMYFUNCTION("""COMPUTED_VALUE"""),"TRSF E-BANKING DB")</f>
        <v>TRSF E-BANKING DB</v>
      </c>
      <c r="C246" s="3" t="str">
        <f>IFERROR(__xludf.DUMMYFUNCTION("""COMPUTED_VALUE"""),"3006/FTSCY/WS95011 133800000.00 Tue Jun 30 2023 14:00:00 GMT+0700 (Western Indonesia Time) BINTANG TAMA SANTO")</f>
        <v>3006/FTSCY/WS95011 133800000.00 Tue Jun 30 2023 14:00:00 GMT+0700 (Western Indonesia Time) BINTANG TAMA SANTO</v>
      </c>
      <c r="D246" s="3">
        <f>IFERROR(__xludf.DUMMYFUNCTION("""COMPUTED_VALUE"""),1.338E8)</f>
        <v>133800000</v>
      </c>
      <c r="E246" s="3"/>
      <c r="F246" s="3" t="str">
        <f>IFERROR(__xludf.DUMMYFUNCTION("""COMPUTED_VALUE"""),"DB")</f>
        <v>DB</v>
      </c>
      <c r="G246" s="3">
        <f>IFERROR(__xludf.DUMMYFUNCTION("""COMPUTED_VALUE"""),3.6351440776E8)</f>
        <v>363514407.8</v>
      </c>
      <c r="H246" s="3">
        <f>IFERROR(__xludf.DUMMYFUNCTION("""COMPUTED_VALUE"""),1.338E8)</f>
        <v>133800000</v>
      </c>
      <c r="I246" s="3" t="str">
        <f>IFERROR(__xludf.DUMMYFUNCTION("""COMPUTED_VALUE"""),"PRODUKSI")</f>
        <v>PRODUKSI</v>
      </c>
    </row>
    <row r="247">
      <c r="A247" s="3" t="str">
        <f>IFERROR(__xludf.DUMMYFUNCTION("""COMPUTED_VALUE"""),"2023-06-30")</f>
        <v>2023-06-30</v>
      </c>
      <c r="B247" s="3" t="str">
        <f>IFERROR(__xludf.DUMMYFUNCTION("""COMPUTED_VALUE"""),"TRSF E-BANKING DB")</f>
        <v>TRSF E-BANKING DB</v>
      </c>
      <c r="C247" s="3" t="str">
        <f>IFERROR(__xludf.DUMMYFUNCTION("""COMPUTED_VALUE"""),"3006/FTSCY/WS95011 138502370.00 Tue Jun 30 2023 14:00:00 GMT+0700 (Western Indonesia Time) ANDALAN YASA MITRA")</f>
        <v>3006/FTSCY/WS95011 138502370.00 Tue Jun 30 2023 14:00:00 GMT+0700 (Western Indonesia Time) ANDALAN YASA MITRA</v>
      </c>
      <c r="D247" s="3">
        <f>IFERROR(__xludf.DUMMYFUNCTION("""COMPUTED_VALUE"""),1.3850237E8)</f>
        <v>138502370</v>
      </c>
      <c r="E247" s="3"/>
      <c r="F247" s="3" t="str">
        <f>IFERROR(__xludf.DUMMYFUNCTION("""COMPUTED_VALUE"""),"DB")</f>
        <v>DB</v>
      </c>
      <c r="G247" s="3">
        <f>IFERROR(__xludf.DUMMYFUNCTION("""COMPUTED_VALUE"""),2.2501203776E8)</f>
        <v>225012037.8</v>
      </c>
      <c r="H247" s="3">
        <f>IFERROR(__xludf.DUMMYFUNCTION("""COMPUTED_VALUE"""),1.3850237E8)</f>
        <v>138502370</v>
      </c>
      <c r="I247" s="3" t="str">
        <f>IFERROR(__xludf.DUMMYFUNCTION("""COMPUTED_VALUE"""),"PRODUKSI")</f>
        <v>PRODUKSI</v>
      </c>
    </row>
  </sheetData>
  <drawing r:id="rId1"/>
</worksheet>
</file>