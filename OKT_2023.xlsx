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T_2023" sheetId="1" r:id="rId5"/>
    <sheet state="visible" name="EXSPEDISI" sheetId="2" r:id="rId6"/>
    <sheet state="visible" name="V_SALES" sheetId="3" r:id="rId7"/>
    <sheet state="visible" name="OPERASIONAL" sheetId="4" r:id="rId8"/>
    <sheet state="visible" name="NURUL_AINI" sheetId="5" r:id="rId9"/>
    <sheet state="visible" name="KOSONG" sheetId="6" r:id="rId10"/>
    <sheet state="visible" name="PRIBADI" sheetId="7" r:id="rId11"/>
    <sheet state="visible" name="PRODUKSI" sheetId="8" r:id="rId12"/>
  </sheets>
  <definedNames/>
  <calcPr/>
</workbook>
</file>

<file path=xl/sharedStrings.xml><?xml version="1.0" encoding="utf-8"?>
<sst xmlns="http://schemas.openxmlformats.org/spreadsheetml/2006/main" count="2274" uniqueCount="665">
  <si>
    <t>SALDO AWAL</t>
  </si>
  <si>
    <t>TRSF E-BANKING DB</t>
  </si>
  <si>
    <t>0110/FTSCY/WS95031 52350000.00 Tue Sep 29 2026 14:00:00 GMT+0700 (Western Indonesia Time) ANUGERAH KARTIKA A 52350000.00 Tue Sep 29 2026 14:00:00 GMT+0700 (Western Indonesia Time) ANUGERAH KARTIKA A</t>
  </si>
  <si>
    <t>DB</t>
  </si>
  <si>
    <t>0110/FTSCY/WS95031 1340000.00 FINA ARDIANA 1340000.00 FINA ARDIANA</t>
  </si>
  <si>
    <t>0110/FTSCY/WS95031 4312640.00 lunas FAJAR ANDREANZAH 4312640.00 lunas FAJAR ANDREANZAH</t>
  </si>
  <si>
    <t>0110/FTSCY/WS95031 5947060.00 krg 8 jt MUJIANTO 5947060.00 krg 8 jt MUJIANTO</t>
  </si>
  <si>
    <t>0110/FTSCY/WS95031 2000000.00 HERMAWAN 2000000.00 HERMAWAN</t>
  </si>
  <si>
    <t>PRODUKSI</t>
  </si>
  <si>
    <t>0110/FTSCY/WS95271 89113790.00 29/09 krg 40 jt GANESHA SATRIA NUS 89113790.00 29/09 krg 40 jt GANESHA SATRIA NUS</t>
  </si>
  <si>
    <t>TRSF E-BANKING CR</t>
  </si>
  <si>
    <t>0110/FTSCY/WS95031 19625230.00 lunas GATUT SETYO WIBOWO 19625230.00 lunas GATUT SETYO WIBOWO</t>
  </si>
  <si>
    <t>CR</t>
  </si>
  <si>
    <t>BANK</t>
  </si>
  <si>
    <t>0110/FTSCY/WS95031 50000000.00 titip 50jt GATUT SETYO WIBOWO 50000000.00 titip 50jt GATUT SETYO WIBOWO</t>
  </si>
  <si>
    <t>TRSF E-BANKING DB TANGGAL :01/10</t>
  </si>
  <si>
    <t>0110/FTSCY/WS95271 Tue Sep 29 2026 14:00:00 GMT+0700 (Western Indonesia Time) TABASSAM AL HATTAK Tue Sep 29 2026 14:00:00 GMT+0700 (Western Indonesia Time) TABASSAM AL HATTAK</t>
  </si>
  <si>
    <t>TRSF E-BANKING CR TANGGAL :01/10</t>
  </si>
  <si>
    <t>0110/FTSCY/WS95031 NURUL AINI NURUL AINI</t>
  </si>
  <si>
    <t>0110/FTSCY/WS95271 pelunasan GANESHA SATRIA NUS pelunasan GANESHA SATRIA NUS</t>
  </si>
  <si>
    <t>0110/FTSCY/WS95271 29/09 krg 80.6 jt BINTANG TAMA SANTO 29/09 krg 80.6 jt BINTANG TAMA SANTO</t>
  </si>
  <si>
    <t>0210/FTSCY/WS95031 16850000.00 lunas GATUT SETYO WIBOWO 16850000.00 lunas GATUT SETYO WIBOWO</t>
  </si>
  <si>
    <t>0210/FTSCY/WS95031 715500.00 pelunasan RUKUN MITRA BERSAM 715500.00 pelunasan RUKUN MITRA BERSAM</t>
  </si>
  <si>
    <t>0210/FTSCY/WS95031 16200000.00 NURUL AINI 16200000.00 NURUL AINI</t>
  </si>
  <si>
    <t>0210/FTSCY/WS95051 100000000.00 krmn 2/10 ERICKO HERMAWAN 100000000.00 krmn 2/10 ERICKO HERMAWAN</t>
  </si>
  <si>
    <t>0210/FTSCY/WS95051 200000000.00 LUNAS AH P HAIRUL 16/9 DP 1 TGL 29/9 PHALOSARI UNGGUL J 200000000.00 LUNAS AH P HAIRUL 16/9 DP 1 TGL 29/9 PHALOSARI UNGGUL J</t>
  </si>
  <si>
    <t>0210/FTSCY/WS95051 141360000.00 ah 7600x18600 GEMILANG INTI SUKS 141360000.00 ah 7600x18600 GEMILANG INTI SUKS</t>
  </si>
  <si>
    <t>0210/FTSCY/WS95051 312480.00 krg byr 16.8x18600 GEMILANG INTI SUKS 312480.00 krg byr 16.8x18600 GEMILANG INTI SUKS</t>
  </si>
  <si>
    <t>0210/FTSCY/WS95011 148868900.00 Tue Sep 29 2026 14:00:00 GMT+0700 (Western Indonesia Time) LAJU SATWA WISESA 148868900.00 Tue Sep 29 2026 14:00:00 GMT+0700 (Western Indonesia Time) LAJU SATWA WISESA</t>
  </si>
  <si>
    <t>0210/FTSCY/WS95011 57000000.00 Tue Sep 29 2026 14:00:00 GMT+0700 (Western Indonesia Time) ANDALAN YASA MITRA 57000000.00 Tue Sep 29 2026 14:00:00 GMT+0700 (Western Indonesia Time) ANDALAN YASA MITRA</t>
  </si>
  <si>
    <t>0210/FTSCY/WS95011 127232000.00 Tue Sep 29 2026 14:00:00 GMT+0700 (Western Indonesia Time) BROILER MAKMUR TAN 127232000.00 Tue Sep 29 2026 14:00:00 GMT+0700 (Western Indonesia Time) BROILER MAKMUR TAN</t>
  </si>
  <si>
    <t>0210/FTSCY/WS95011 68250000.00 Tue Sep 29 2026 14:00:00 GMT+0700 (Western Indonesia Time) PITIK DIGITAL INDO 68250000.00 Tue Sep 29 2026 14:00:00 GMT+0700 (Western Indonesia Time) PITIK DIGITAL INDO</t>
  </si>
  <si>
    <t>0210/FTSCY/WS95031 12000000.00 EKO SETIYAWAN 12000000.00 EKO SETIYAWAN</t>
  </si>
  <si>
    <t>BI-FAST DB</t>
  </si>
  <si>
    <t>BIF TRANSFER KE 9 EKKI DEVINDA PUTRI M-BCA 9 EKKI DEVINDA PUTRI M-BCA</t>
  </si>
  <si>
    <t>BIF BIAYA TXN KE 9 EKKI DEVINDA PUTRI M-BCA 9 EKKI DEVINDA PUTRI M-BCA</t>
  </si>
  <si>
    <t>0210/FTFVA/WS95031 67847/UNGGAS MANDI pelunasan - 200043 67847/UNGGAS MANDI pelunasan - 200043</t>
  </si>
  <si>
    <t>TRSF E-BANKING CR TANGGAL :02/10</t>
  </si>
  <si>
    <t>0210/FTSCY/WS95051 SIDO RAYA UTAMA CV SIDO RAYA UTAMA CV</t>
  </si>
  <si>
    <t>0210/FTSCY/WS95031 Dari Pak Gatut SEFI HANA KRISNAWA Dari Pak Gatut SEFI HANA KRISNAWA</t>
  </si>
  <si>
    <t>0210/FTSCY/WS95031 zainal ZAINAL ARIFIN zainal ZAINAL ARIFIN</t>
  </si>
  <si>
    <t>TRSF E-BANKING DB TANGGAL :02/10</t>
  </si>
  <si>
    <t>0210/FTSCY/WS95271 pelunasan PITIK DIGITAL INDO pelunasan PITIK DIGITAL INDO</t>
  </si>
  <si>
    <t>0310/FTSCY/WS95271 59727600.00 Thu Oct 01 2026 14:00:00 GMT+0700 (Western Indonesia Time) PT BERLIAN INDOMIT 59727600.00 Thu Oct 01 2026 14:00:00 GMT+0700 (Western Indonesia Time) PT BERLIAN INDOMIT</t>
  </si>
  <si>
    <t>0310/FTSCY/WS95031 1543000.00 SUNARTO 1543000.00 SUNARTO</t>
  </si>
  <si>
    <t>PRIBADI</t>
  </si>
  <si>
    <t>0310/FTSCY/WS95031 64407000.00 PT BJP DIENDA CATUR MUSTI 64407000.00 PT BJP DIENDA CATUR MUSTI</t>
  </si>
  <si>
    <t>0310/FTSCY/WS95031 66525600.00 PT BJP SRI ASIH ANGGRAENI 66525600.00 PT BJP SRI ASIH ANGGRAENI</t>
  </si>
  <si>
    <t>BYR VIA E-BANKING</t>
  </si>
  <si>
    <t>03/10  WSID9503100 1220 TELKOMSEL 82318368518 MUHAMMAD HAIRUL MA 1220 TELKOMSEL 82318368518 MUHAMMAD HAIRUL MA</t>
  </si>
  <si>
    <t>0310/FTSCY/WS95271 143162480.00 Sun Nov 01 2026 14:00:00 GMT+0700 (Western Indonesia Time) INTEGRASI TEKNOLOG 143162480.00 Sun Nov 01 2026 14:00:00 GMT+0700 (Western Indonesia Time) INTEGRASI TEKNOLOG</t>
  </si>
  <si>
    <t>0310/FTSCY/WS95051 191624450.00 Byr lb tgl 2/10 MANDALA MAJU MAPAN 191624450.00 Byr lb tgl 2/10 MANDALA MAJU MAPAN</t>
  </si>
  <si>
    <t>0310/FTFVA/WS95031 55569/PT PRIMA FAJ lmjg - 40190 55569/PT PRIMA FAJ lmjg - 40190</t>
  </si>
  <si>
    <t>TARIKAN ATM 03/10</t>
  </si>
  <si>
    <t>0310/FTFVA/WS95031 67847/UNGGAS MANDI ponorogo - 200043 67847/UNGGAS MANDI ponorogo - 200043</t>
  </si>
  <si>
    <t>0310/FTSCY/WS95051 72580000.00 ah 3800x19100 GEMILANG INTI SUKS 72580000.00 ah 3800x19100 GEMILANG INTI SUKS</t>
  </si>
  <si>
    <t>0310/FTSCY/WS95051 60600000.00 AH P HAIRUL 19/9 PHALOSARI UNGGUL J 60600000.00 AH P HAIRUL 19/9 PHALOSARI UNGGUL J</t>
  </si>
  <si>
    <t>0310/FTSCY/WS95051 100000000.00 krmn 3/10 ERICKO HERMAWAN 100000000.00 krmn 3/10 ERICKO HERMAWAN</t>
  </si>
  <si>
    <t>0310/FTSCY/WS95051 126422440.00 AH P HAIRUL 18/9 PHALOSARI UNGGUL J 126422440.00 AH P HAIRUL 18/9 PHALOSARI UNGGUL J</t>
  </si>
  <si>
    <t>BIF TRANSFER KE 2 M RIFAI M-BCA 2 M RIFAI M-BCA</t>
  </si>
  <si>
    <t>BIF BIAYA TXN KE 2 M RIFAI M-BCA 2 M RIFAI M-BCA</t>
  </si>
  <si>
    <t>0310/FTSCY/WS95011 55579720.00 WAHYU MEGA ARSITA 55579720.00 WAHYU MEGA ARSITA</t>
  </si>
  <si>
    <t>0310/FTSCY/WS95051 232083800.00 SIDO RAYA UTAMA CV 232083800.00 SIDO RAYA UTAMA CV</t>
  </si>
  <si>
    <t>0310/FTSCY/WS95031 15927190.00 EKO SETIYAWAN 15927190.00 EKO SETIYAWAN</t>
  </si>
  <si>
    <t>0310/FTSCY/WS95031 1000000.00 SUNARTO 1000000.00 SUNARTO</t>
  </si>
  <si>
    <t>TRSF E-BANKING DB TANGGAL :03/10</t>
  </si>
  <si>
    <t>0310/FTSCY/WS95011 Tue Sep 01 2026 14:00:00 GMT+0700 (Western Indonesia Time) ANDALAN YASA MITRA Tue Sep 01 2026 14:00:00 GMT+0700 (Western Indonesia Time) ANDALAN YASA MITRA</t>
  </si>
  <si>
    <t>0310/FTSCY/WS95011 Thu Oct 01 2026 14:00:00 GMT+0700 (Western Indonesia Time) ANUGERAH KARTIKA A Thu Oct 01 2026 14:00:00 GMT+0700 (Western Indonesia Time) ANUGERAH KARTIKA A</t>
  </si>
  <si>
    <t>0310/FTSCY/WS95011 Tue Sep 01 2026 14:00:00 GMT+0700 (Western Indonesia Time) ANUGERAH KARTIKA A Tue Sep 01 2026 14:00:00 GMT+0700 (Western Indonesia Time) ANUGERAH KARTIKA A</t>
  </si>
  <si>
    <t>0310/FTSCY/WS95011 Thu Oct 01 2026 14:00:00 GMT+0700 (Western Indonesia Time) ANDALAN YASA MITRA Thu Oct 01 2026 14:00:00 GMT+0700 (Western Indonesia Time) ANDALAN YASA MITRA</t>
  </si>
  <si>
    <t>0310/FTSCY/WS95011 Thu Oct 01 2026 14:00:00 GMT+0700 (Western Indonesia Time) RUKUN MITRA BERSAM Thu Oct 01 2026 14:00:00 GMT+0700 (Western Indonesia Time) RUKUN MITRA BERSAM</t>
  </si>
  <si>
    <t>0310/FTSCY/WS95011 Wed Sep 30 2026 14:00:00 GMT+0700 (Western Indonesia Time) PITIK DIGITAL INDO Wed Sep 30 2026 14:00:00 GMT+0700 (Western Indonesia Time) PITIK DIGITAL INDO</t>
  </si>
  <si>
    <t>0310/FTSCY/WS95271 Fri Oct 02 2026 14:00:00 GMT+0700 (Western Indonesia Time) PITIK DIGITAL INDO Fri Oct 02 2026 14:00:00 GMT+0700 (Western Indonesia Time) PITIK DIGITAL INDO</t>
  </si>
  <si>
    <t>0310/FTSCY/WS95031 02.10 krg 50 jt PITIK DIGITAL INDO 02.10 krg 50 jt PITIK DIGITAL INDO</t>
  </si>
  <si>
    <t>0310/FTSCY/WS95031 ABDUR ROHMAN ABDUR ROHMAN</t>
  </si>
  <si>
    <t>TRSF E-BANKING CR TANGGAL :03/10</t>
  </si>
  <si>
    <t>0310/FTSCY/WS95031 lunas GATUT SETYO WIBOWO lunas GATUT SETYO WIBOWO</t>
  </si>
  <si>
    <t>0410/FTSCY/WS95271 50000000.00 pelunasan PITIK DIGITAL INDO 50000000.00 pelunasan PITIK DIGITAL INDO</t>
  </si>
  <si>
    <t>0410/FTSCY/WS95271 1140000.00 ANDE DOSO ANGGORO 1140000.00 ANDE DOSO ANGGORO</t>
  </si>
  <si>
    <t>0410/FTFVA/WS95031 26689/TIKTOK SHOP - - 6418653841483 26689/TIKTOK SHOP - - 6418653841483</t>
  </si>
  <si>
    <t>0410/FTSCY/WS95031 64596000.00 PT BJP SRI ASIH ANGGRAENI 64596000.00 PT BJP SRI ASIH ANGGRAENI</t>
  </si>
  <si>
    <t>0410/FTSCY/WS95051 237326000.00 Byr lb tgl 3/10 MANDALA MAJU MAPAN 237326000.00 Byr lb tgl 3/10 MANDALA MAJU MAPAN</t>
  </si>
  <si>
    <t>0410/FTSCY/WS95031 44678500.00 Fri Oct 02 2026 14:00:00 GMT+0700 (Western Indonesia Time) PT BERLIAN INDOMIT 44678500.00 Fri Oct 02 2026 14:00:00 GMT+0700 (Western Indonesia Time) PT BERLIAN INDOMIT</t>
  </si>
  <si>
    <t>0410/FTSCY/WS95031 37000000.00 pelunasan TABASSAM AL HATTAK 37000000.00 pelunasan TABASSAM AL HATTAK</t>
  </si>
  <si>
    <t>04/10  WSID9503100 1220 TELKOMSEL 82131900513 MUHAMMAD HAIRUL MA 1220 TELKOMSEL 82131900513 MUHAMMAD HAIRUL MA</t>
  </si>
  <si>
    <t>0410/FTFVA/WS95031 55569/PT PRIMA FAJ lamongan - 40190 55569/PT PRIMA FAJ lamongan - 40190</t>
  </si>
  <si>
    <t>0410/FTSCY/WS95051 182142240.00 AH P HAIRUL 21/9 PHALOSARI UNGGUL J 182142240.00 AH P HAIRUL 21/9 PHALOSARI UNGGUL J</t>
  </si>
  <si>
    <t>0410/FTSCY/WS95271 66861000.00 Sat Oct 03 2026 14:00:00 GMT+0700 (Western Indonesia Time) BRANTAS ABADI SENT 66861000.00 Sat Oct 03 2026 14:00:00 GMT+0700 (Western Indonesia Time) BRANTAS ABADI SENT</t>
  </si>
  <si>
    <t>0410/FTFVA/WS95031 26689/TIKTOK SHOP - - 3781703948901 26689/TIKTOK SHOP - - 3781703948901</t>
  </si>
  <si>
    <t>0410/FTSCY/WS95051 100000000.00 krmn 4/10 TERA MULIA KORPORI 100000000.00 krmn 4/10 TERA MULIA KORPORI</t>
  </si>
  <si>
    <t>0410/FTSCY/WS95011 125467440.00 WAHYU MEGA ARSITA 125467440.00 WAHYU MEGA ARSITA</t>
  </si>
  <si>
    <t>0410/FTSCY/WS95051 59112440.00 Byr Ayam JT25.09 RPA SBU ALDINI MARIA GUMIL 59112440.00 Byr Ayam JT25.09 RPA SBU ALDINI MARIA GUMIL</t>
  </si>
  <si>
    <t>0410/FTSCY/WS95031 3800000.00 october ANTON 3800000.00 october ANTON</t>
  </si>
  <si>
    <t>0410/FTSCY/WS95051 249568920.00 SIDO RAYA UTAMA CV 249568920.00 SIDO RAYA UTAMA CV</t>
  </si>
  <si>
    <t>0410/FTSCY/WS95271 16668785.00 krg 90 jt EKO SETIYAWAN 16668785.00 krg 90 jt EKO SETIYAWAN</t>
  </si>
  <si>
    <t>0410/FTSCY/WS95031 7926300.00 krg 10 jt MUJIANTO 7926300.00 krg 10 jt MUJIANTO</t>
  </si>
  <si>
    <t>0410/FTSCY/WS95031 6086710.00 lunas HERMAWAN 6086710.00 lunas HERMAWAN</t>
  </si>
  <si>
    <t>0410/FTSCY/WS95271 1000000.00 SUNARTO 1000000.00 SUNARTO</t>
  </si>
  <si>
    <t>0410/FTSCY/WS95271 62442300.00 Wed Sep 02 2026 14:00:00 GMT+0700 (Western Indonesia Time) ANDALAN YASA MITRA 62442300.00 Wed Sep 02 2026 14:00:00 GMT+0700 (Western Indonesia Time) ANDALAN YASA MITRA</t>
  </si>
  <si>
    <t>0410/FTSCY/WS95271 55390000.00 Wed Sep 02 2026 14:00:00 GMT+0700 (Western Indonesia Time) ANUGERAH KARTIKA A 55390000.00 Wed Sep 02 2026 14:00:00 GMT+0700 (Western Indonesia Time) ANUGERAH KARTIKA A</t>
  </si>
  <si>
    <t>0410/FTSCY/WS95011 52254150.00 Fri Oct 02 2026 14:00:00 GMT+0700 (Western Indonesia Time) ANUGERAH KARTIKA A 52254150.00 Fri Oct 02 2026 14:00:00 GMT+0700 (Western Indonesia Time) ANUGERAH KARTIKA A</t>
  </si>
  <si>
    <t>0410/FTSCY/WS95011 48537600.00 Fri Oct 02 2026 14:00:00 GMT+0700 (Western Indonesia Time) ANUGERAH KARTIKA A 48537600.00 Fri Oct 02 2026 14:00:00 GMT+0700 (Western Indonesia Time) ANUGERAH KARTIKA A</t>
  </si>
  <si>
    <t>0410/FTSCY/WS95011 128010900.00 Fri Oct 02 2026 14:00:00 GMT+0700 (Western Indonesia Time) RUKUN MITRA BERSAM 128010900.00 Fri Oct 02 2026 14:00:00 GMT+0700 (Western Indonesia Time) RUKUN MITRA BERSAM</t>
  </si>
  <si>
    <t>0410/FTSCY/WS95011 112642200.00 Fri Oct 02 2026 14:00:00 GMT+0700 (Western Indonesia Time) ANDALAN YASA MITRA 112642200.00 Fri Oct 02 2026 14:00:00 GMT+0700 (Western Indonesia Time) ANDALAN YASA MITRA</t>
  </si>
  <si>
    <t>0410/FTSCY/WS95011 56714000.00 Fri Oct 02 2026 14:00:00 GMT+0700 (Western Indonesia Time) BROILER MAKMUR TAN 56714000.00 Fri Oct 02 2026 14:00:00 GMT+0700 (Western Indonesia Time) BROILER MAKMUR TAN</t>
  </si>
  <si>
    <t>0410/FTSCY/WS95011 71060000.00 Fri Oct 02 2026 14:00:00 GMT+0700 (Western Indonesia Time) TUMBUH OPTIMAL PRI 71060000.00 Fri Oct 02 2026 14:00:00 GMT+0700 (Western Indonesia Time) TUMBUH OPTIMAL PRI</t>
  </si>
  <si>
    <t>0410/FTSCY/WS95011 29850500.00 03/10 krg 89 jt BINTANG TAMA SANTO 29850500.00 03/10 krg 89 jt BINTANG TAMA SANTO</t>
  </si>
  <si>
    <t>0510/FTSCY/WS95271 89000000.00 pelunasan BINTANG TAMA SANTO 89000000.00 pelunasan BINTANG TAMA SANTO</t>
  </si>
  <si>
    <t>0510/FTSCY/WS95271 2223720.00 krg 5.5 jt FAJAR ANDREANZAH 2223720.00 krg 5.5 jt FAJAR ANDREANZAH</t>
  </si>
  <si>
    <t>0510/FTSCY/WS95051 76607400.00 pembelian ayam hidup TRIJAYA LESTARI FO 76607400.00 pembelian ayam hidup TRIJAYA LESTARI FO</t>
  </si>
  <si>
    <t>0510/FTSCY/WS95051 124126190.00 AH P HAIRUL 20 /9 PHALOSARI UNGGUL J 124126190.00 AH P HAIRUL 20 /9 PHALOSARI UNGGUL J</t>
  </si>
  <si>
    <t>0510/FTSCY/WS95051 62242830.00 AH P HAIRUL 26/9 PHALOSARI UNGGUL J 62242830.00 AH P HAIRUL 26/9 PHALOSARI UNGGUL J</t>
  </si>
  <si>
    <t>0510/FTSCY/WS95271 69844000.00 Fri Oct 02 2026 14:00:00 GMT+0700 (Western Indonesia Time) BINTANG TAMA SANTO 69844000.00 Fri Oct 02 2026 14:00:00 GMT+0700 (Western Indonesia Time) BINTANG TAMA SANTO</t>
  </si>
  <si>
    <t>0510/FTSCY/WS95011 127814900.00 Sat Oct 03 2026 14:00:00 GMT+0700 (Western Indonesia Time) SUPER UNGGAS JAYA 127814900.00 Sat Oct 03 2026 14:00:00 GMT+0700 (Western Indonesia Time) SUPER UNGGAS JAYA</t>
  </si>
  <si>
    <t>0510/FTSCY/WS95011 64640000.00 Sat Oct 03 2026 14:00:00 GMT+0700 (Western Indonesia Time) LAJU SATWA WISESA 64640000.00 Sat Oct 03 2026 14:00:00 GMT+0700 (Western Indonesia Time) LAJU SATWA WISESA</t>
  </si>
  <si>
    <t>0510/FTSCY/WS95031 22300000.00 pelunasan vios ARIN ERNAWATI 22300000.00 pelunasan vios ARIN ERNAWATI</t>
  </si>
  <si>
    <t>0510/FTSCY/WS95031 6000000.00 pelunasan BINTANG TAMA SANTO 6000000.00 pelunasan BINTANG TAMA SANTO</t>
  </si>
  <si>
    <t>0510/FTSCY/WS95011 49060760.00 WAHYU MEGA ARSITA 49060760.00 WAHYU MEGA ARSITA</t>
  </si>
  <si>
    <t>0510/FTSCY/WS95031 1200000.00 bon 700 rb MAQNUL DAHLIAANA F 1200000.00 bon 700 rb MAQNUL DAHLIAANA F</t>
  </si>
  <si>
    <t>0510/FTSCY/WS95031 10000000.00 krg 80 jt EKO SETIYAWAN 10000000.00 krg 80 jt EKO SETIYAWAN</t>
  </si>
  <si>
    <t>0510/FTSCY/WS95051 100000000.00 krmn 5/10 TERA MULIA KORPORI 100000000.00 krmn 5/10 TERA MULIA KORPORI</t>
  </si>
  <si>
    <t>0510/FTFVA/WS95031 55569/PT PRIMA FAJ mlg - 40190 55569/PT PRIMA FAJ mlg - 40190</t>
  </si>
  <si>
    <t>0510/FTSCY/WS95271 66031800.00 Sat Oct 03 2026 14:00:00 GMT+0700 (Western Indonesia Time) LAJU SATWA WISESA 66031800.00 Sat Oct 03 2026 14:00:00 GMT+0700 (Western Indonesia Time) LAJU SATWA WISESA</t>
  </si>
  <si>
    <t>0510/FTSCY/WS95271 1800000.00 BELA PRAMUDITA 1800000.00 BELA PRAMUDITA</t>
  </si>
  <si>
    <t>0510/FTSCY/WS95271 1300000.00 DWI HERMANSYAH 1300000.00 DWI HERMANSYAH</t>
  </si>
  <si>
    <t>0510/FTSCY/WS95271 2480000.00 krg 3 jt FAJAR ANDREANZAH 2480000.00 krg 3 jt FAJAR ANDREANZAH</t>
  </si>
  <si>
    <t>0510/FTSCY/WS95271 3100000.00 MUJIANTO 3100000.00 MUJIANTO</t>
  </si>
  <si>
    <t>0510/FTSCY/WS95271 1901460.00 SUNARTO 1901460.00 SUNARTO</t>
  </si>
  <si>
    <t>0510/FTSCY/WS95271 2936000.00 HERMAWAN 2936000.00 HERMAWAN</t>
  </si>
  <si>
    <t>TRSF E-BANKING CR TANGGAL :05/10</t>
  </si>
  <si>
    <t>0510/FTSCY/WS95051 SIDO RAYA UTAMA CV SIDO RAYA UTAMA CV</t>
  </si>
  <si>
    <t>0610/FTSCY/WS95011 54764000.00 Sat Oct 03 2026 14:00:00 GMT+0700 (Western Indonesia Time) ANDALAN YASA MITRA 54764000.00 Sat Oct 03 2026 14:00:00 GMT+0700 (Western Indonesia Time) ANDALAN YASA MITRA</t>
  </si>
  <si>
    <t>0610/FTSCY/WS95011 150029250.00 Sat Oct 03 2026 14:00:00 GMT+0700 (Western Indonesia Time) BROILER MAKMUR TAN 150029250.00 Sat Oct 03 2026 14:00:00 GMT+0700 (Western Indonesia Time) BROILER MAKMUR TAN</t>
  </si>
  <si>
    <t>0610/FTSCY/WS95011 108420780.00 Sun Oct 04 2026 14:00:00 GMT+0700 (Western Indonesia Time) RUKUN MITRA BERSAM 108420780.00 Sun Oct 04 2026 14:00:00 GMT+0700 (Western Indonesia Time) RUKUN MITRA BERSAM</t>
  </si>
  <si>
    <t>0610/FTSCY/WS95051 189261000.00 Byr lb tgl 5/10 MANDALA MAJU MAPAN 189261000.00 Byr lb tgl 5/10 MANDALA MAJU MAPAN</t>
  </si>
  <si>
    <t>06/10  WSID9503100 1220 TELKOMSEL 82318368518 MUHAMMAD HAIRUL MA 1220 TELKOMSEL 82318368518 MUHAMMAD HAIRUL MA</t>
  </si>
  <si>
    <t>0610/FTSCY/WS95031 60982000.00 Mon Oct 05 2026 14:00:00 GMT+0700 (Western Indonesia Time) LAWU ABADI NUSA PT 60982000.00 Mon Oct 05 2026 14:00:00 GMT+0700 (Western Indonesia Time) LAWU ABADI NUSA PT</t>
  </si>
  <si>
    <t>0610/FTSCY/WS95271 300000.00 NATALIA DWIYANTI B 300000.00 NATALIA DWIYANTI B</t>
  </si>
  <si>
    <t>0610/FTSCY/WS95051 49387900.00 AH P HAIRUL 27/9 PHALOSARI UNGGUL J 49387900.00 AH P HAIRUL 27/9 PHALOSARI UNGGUL J</t>
  </si>
  <si>
    <t>0610/FTSCY/WS95051 181346810.00 AH P HAIRUL 23 SEP PHALOSARI UNGGUL J 181346810.00 AH P HAIRUL 23 SEP PHALOSARI UNGGUL J</t>
  </si>
  <si>
    <t>0610/FTSCY/WS95051 61711000.00 AH P HAIRUL 25 SEP PHALOSARI UNGGUL J 61711000.00 AH P HAIRUL 25 SEP PHALOSARI UNGGUL J</t>
  </si>
  <si>
    <t>0610/FTSCY/WS95011 62721960.00 WAHYU MEGA ARSITA 62721960.00 WAHYU MEGA ARSITA</t>
  </si>
  <si>
    <t>0610/FTSCY/WS95031 15821470.00 EKO SETIYAWAN 15821470.00</t>
  </si>
  <si>
    <t>0610/FTSCY/WS95271 59661700.00 Fri Sep 04 2026 14:00:00 GMT+0700 (Western Indonesia Time) ANDALAN YASA MITRA</t>
  </si>
  <si>
    <t>0610/FTSCY/WS95271 128374900.00 Sun Oct 04 2026 14:00:00 GMT+0700 (Western Indonesia Time) ANDALAN YASA MITRA</t>
  </si>
  <si>
    <t>0610/FTSCY/WS95051 100000000.00 krmn 6/10 TERA MULIA KORPORI</t>
  </si>
  <si>
    <t>0610/FTSCY/WS95051 150452340.00 SIDO RAYA UTAMA CV</t>
  </si>
  <si>
    <t>0610/FTSCY/WS95271 107606480.00 Sun Oct 04 2026 14:00:00 GMT+0700 (Western Indonesia Time) RUKUN MITRA BERSAM</t>
  </si>
  <si>
    <t>0610/FTSCY/WS95031 10000000.00 pelunasan RUKUN MITRA BERSAM</t>
  </si>
  <si>
    <t>0610/FTSCY/WS95011 186785700.00 Sun Oct 04 2026 14:00:00 GMT+0700 (Western Indonesia Time) SUPER UNGGAS JAYA</t>
  </si>
  <si>
    <t>0710/FTSCY/WS95031 1000000.00 MAQNUL DAHLIAANA F</t>
  </si>
  <si>
    <t>0710/FTSCY/WS95031 1100000.00 SUNARTO</t>
  </si>
  <si>
    <t>0710/FTSCY/WS95271 119998100.00 ponorogo PRIMA JAYA BERSATU</t>
  </si>
  <si>
    <t>0710/FTSCY/WS95031 3550000.00 NURUL AINI</t>
  </si>
  <si>
    <t>0710/FTSCY/WS95271 72850050.00 Mon Oct 05 2026 14:00:00 GMT+0700 (Western Indonesia Time) BINTANG TAMA SANTO</t>
  </si>
  <si>
    <t>0710/FTSCY/WS95051 61755400.00 pembelian ayam hidup TRIJAYA LESTARI FO</t>
  </si>
  <si>
    <t>0710/FTSCY/WS95051 100000000.00 krmn 7/10 ERICKO HERMAWAN</t>
  </si>
  <si>
    <t>TARIKAN ATM 07/10</t>
  </si>
  <si>
    <t>0710/FTSCY/WS95051 316341540.00 SIDO RAYA UTAMA CV</t>
  </si>
  <si>
    <t>0710/FTSCY/WS95271 98416800.00 Mon Oct 05 2026 14:00:00 GMT+0700 (Western Indonesia Time) BINTANG TAMA SANTO</t>
  </si>
  <si>
    <t>0710/FTSCY/WS95031 90000000.00 pelunasan BINTANG TAMA SANTO</t>
  </si>
  <si>
    <t>TRSF E-BANKING DB TANGGAL :07/10</t>
  </si>
  <si>
    <t>0710/FTSCY/WS95011 Mon Oct 05 2026 14:00:00 GMT+0700 (Western Indonesia Time) BINTANG TAMA SANTO</t>
  </si>
  <si>
    <t>0710/FTSCY/WS95011 Mon Oct 05 2026 14:00:00 GMT+0700 (Western Indonesia Time) TABASSAM AZ ZUFAR</t>
  </si>
  <si>
    <t>0710/FTFVA/WS95031 bwi - 40190</t>
  </si>
  <si>
    <t>0710/FTSCY/WS95011 05/10 krg 66.2 jt BROILER MAKMUR TAN</t>
  </si>
  <si>
    <t>0910/FTSCY/WS95051 54266000.00 BYR AH HAIRUL BIJI JAGUNG PERKAS</t>
  </si>
  <si>
    <t>0910/FTSCY/WS95031 24584800.00 pelunasan BROILER MAKMUR TAN</t>
  </si>
  <si>
    <t>0910/FTSCY/WS95271 500000.00 ANTON IMRONI</t>
  </si>
  <si>
    <t>0910/FTSCY/WS95051 123596880.00 AH P HAIRUL 27 SEP PHALOSARI UNGGUL J</t>
  </si>
  <si>
    <t>0910/FTFVA/WS95031 55569/PT PRIMA FAJ mlg - 40190</t>
  </si>
  <si>
    <t>0910/FTSCY/WS95051 558091080.00 SIDO RAYA UTAMA CV</t>
  </si>
  <si>
    <t>0910/FTSCY/WS95271 800000.00 SUNARTO</t>
  </si>
  <si>
    <t>0910/FTSCY/WS95271 19524950.00 EKO SETIYAWAN</t>
  </si>
  <si>
    <t>0910/FTSCY/WS95271 6977870.00 MUJIANTO</t>
  </si>
  <si>
    <t>0910/FTSCY/WS95271 3866150.00 FAJAR ANDREANZAH</t>
  </si>
  <si>
    <t>0910/FTSCY/WS95271 5026700.00 HERMAWAN</t>
  </si>
  <si>
    <t>0910/FTSCY/WS95271 133163900.00 Tue Oct 06 2026 14:00:00 GMT+0700 (Western Indonesia Time) ANDALAN YASA MITRA</t>
  </si>
  <si>
    <t>0910/FTSCY/WS95271 65579500.00 Tue Oct 06 2026 14:00:00 GMT+0700 (Western Indonesia Time) TABASSAM AL HATTAK</t>
  </si>
  <si>
    <t>0910/FTSCY/WS95011 177285000.00 Tue Oct 06 2026 14:00:00 GMT+0700 (Western Indonesia Time) BROILER MAKMUR TAN</t>
  </si>
  <si>
    <t>0910/FTSCY/WS95011 140000000.00 Tue Oct 06 2026 14:00:00 GMT+0700 (Western Indonesia Time) PITIK DIGITAL INDO</t>
  </si>
  <si>
    <t>0910/FTSCY/WS95011 86608660.00 08/10 krg 90 jt TABASSAM AL HATTAK</t>
  </si>
  <si>
    <t>1010/FTSCY/WS95031 70350000.00 Dari Pak Gatut SEFI HANA KRISNAWA</t>
  </si>
  <si>
    <t>1010/FTSCY/WS95271 65579500.00 Tue Oct 06 2026 14:00:00 GMT+0700 (Western Indonesia Time) TABASSAM AZ ZUFAR</t>
  </si>
  <si>
    <t>1010/FTSCY/WS95271 1420000.00 NURUL AINI</t>
  </si>
  <si>
    <t>1010/FTSCY/WS95031 1500000.00 MAQNUL DAHLIAANA F</t>
  </si>
  <si>
    <t>1010/FTSCY/WS95031 200000.00 NURUL AINI</t>
  </si>
  <si>
    <t>1010/FTSCY/WS95051 73959750.00 Byr lb tgl 9/10 Pot klem 1 jt MANDALA MAJU MAPAN</t>
  </si>
  <si>
    <t>1010/FTSCY/WS95031 1425000.00 DIDIK HARYADI</t>
  </si>
  <si>
    <t>TARIKAN ATM 10/10</t>
  </si>
  <si>
    <t>1010/FTSCY/WS95051 148960000.00 ah 7600x20100 dipot 3800000 GEMILANG INTI SUKS</t>
  </si>
  <si>
    <t>1010/FTSCY/WS95051 115089930.00 AH P HAIRUL 4 OKT PHALOSARI UNGGUL J</t>
  </si>
  <si>
    <t>1010/FTSCY/WS95011 234855200.00 WAHYU MEGA ARSITA</t>
  </si>
  <si>
    <t>1010/FTSCY/WS95031 17042310.00 EKO SETIYAWAN</t>
  </si>
  <si>
    <t>TRANSAKSI DEBIT</t>
  </si>
  <si>
    <t>TGL: 10/10 QR 014 00000.00WSS JEMBER</t>
  </si>
  <si>
    <t>TRSF E-BANKING DB TANGGAL :10/10</t>
  </si>
  <si>
    <t>1010/FTSCY/WS95271 pelunasan RUKUN MITRA BERSAM</t>
  </si>
  <si>
    <t>1010/FTSCY/WS95271 pelunasan 06/10 PITIK DIGITAL INDO</t>
  </si>
  <si>
    <t>1010/FTSCY/WS95271 Fri Oct 09 2026 14:00:00 GMT+0700 (Western Indonesia Time) ANUGERAH KARTIKA A</t>
  </si>
  <si>
    <t>1010/FTSCY/WS95271 pelunasan 09/10 ANDALAN YASA MITRA</t>
  </si>
  <si>
    <t>1010/FTSCY/WS95011 09/10 t.agung PITIK DIGITAL INDO</t>
  </si>
  <si>
    <t>TRSF E-BANKING CR TANGGAL :10/10</t>
  </si>
  <si>
    <t>1010/FTSCY/WS95031 NURUL AINI</t>
  </si>
  <si>
    <t>1010/FTSCY/WS95011 Fri Oct 09 2026 14:00:00 GMT+0700 (Western Indonesia Time) BROILER MAKMUR TAN</t>
  </si>
  <si>
    <t>1010/FTSCY/WS95051 SIDO RAYA UTAMA CV</t>
  </si>
  <si>
    <t>1010/FTSCY/WS95031 lunas GATUT SETYO WIBOWO</t>
  </si>
  <si>
    <t>1110/FTSCY/WS95011 344338400.00 09/10 tuban PITIK DIGITAL INDO</t>
  </si>
  <si>
    <t>1110/FTSCY/WS95011 57003800.00 Tue Nov 10 2026 15:00:00 GMT+0700 (Western Indonesia Time) BINTANG TAMA SANTO</t>
  </si>
  <si>
    <t>1110/FTSCY/WS95011 57220400.00 Sat Oct 10 2026 14:00:00 GMT+0700 (Western Indonesia Time) BINTANG TAMA SANTO</t>
  </si>
  <si>
    <t>1110/FTSCY/WS95031 2300000.00 BELA PRAMUDITA</t>
  </si>
  <si>
    <t>1110/FTSCY/WS95051 58893800.00 BYR AH HAIRUL BIJI JAGUNG PERKAS</t>
  </si>
  <si>
    <t>1110/FTSCY/WS95051 214591500.00 Lb10/10 MANDALA MAJU MAPAN</t>
  </si>
  <si>
    <t>1110/FTSCY/WS95271 140669900.00 Fri Oct 09 2026 14:00:00 GMT+0700 (Western Indonesia Time) LAJU SATWA WISESA</t>
  </si>
  <si>
    <t>1110/FTSCY/WS95271 49091250.00 Fri Oct 09 2026 14:00:00 GMT+0700 (Western Indonesia Time) BINTANG TAMA SANTO</t>
  </si>
  <si>
    <t>1110/FTSCY/WS95271 63034200.00 Fri Oct 09 2026 14:00:00 GMT+0700 (Western Indonesia Time) SUPER UNGGAS JAYA</t>
  </si>
  <si>
    <t>1110/FTSCY/WS95271 923190.00 NURHAYATI</t>
  </si>
  <si>
    <t>1110/FTSCY/WS95031 27970000.00 NURUL AINI</t>
  </si>
  <si>
    <t>1110/FTSCY/WS95051 236845460.00 AH P HAIRUL 2 OKT PHALOSARI UNGGUL J</t>
  </si>
  <si>
    <t>1110/FTSCY/WS95031 7360350.00 EKO SETIYAWAN</t>
  </si>
  <si>
    <t>KARTU DEBIT</t>
  </si>
  <si>
    <t>ALFAMRT Y207 BRTN 6019009510239343</t>
  </si>
  <si>
    <t>1110/FTSCY/WS95271 39900000.00 pelunasan TABASSAM AZ ZUFAR</t>
  </si>
  <si>
    <t>1110/FTSCY/WS95011 40801390.00 Fri Oct 09 2026 14:00:00 GMT+0700 (Western Indonesia Time) ANDALAN YASA MITRA</t>
  </si>
  <si>
    <t>1110/FTSCY/WS95031 23000000.00 pelunasan ANDALAN YASA MITRA</t>
  </si>
  <si>
    <t>TRSF E-BANKING CR TANGGAL :11/10</t>
  </si>
  <si>
    <t>1110/FTSCY/WS95011 Byr Ayam Jt 27.09 RPA SBU ALDINI MARIA GUMIL</t>
  </si>
  <si>
    <t>1110/FTSCY/WS95271 Titip Pngmbilan Ay am 11.10 RPA SBU ALDINI MARIA GUMIL</t>
  </si>
  <si>
    <t>1110/FTSCY/WS95031 titip 65jt GATUT SETYO WIBOWO</t>
  </si>
  <si>
    <t>1110/FTSCY/WS95051 SIDO RAYA UTAMA CV</t>
  </si>
  <si>
    <t>1110/FTSCY/WS95271 Byr Ayam 11.10 RPA SBU ALDINI MARIA GUMIL</t>
  </si>
  <si>
    <t>1210/FTSCY/WS95011 119769000.00 09/10 t.agung PITIK DIGITAL INDO</t>
  </si>
  <si>
    <t>1210/FTSCY/WS95011 198995180.00 Fri Oct 09 2026 14:00:00 GMT+0700 (Western Indonesia Time) BROILER MAKMUR TAN</t>
  </si>
  <si>
    <t>1210/FTSCY/WS95011 60610000.00 Fri Oct 09 2026 14:00:00 GMT+0700 (Western Indonesia Time) ANUGERAH KARTIKA A</t>
  </si>
  <si>
    <t>1210/FTSCY/WS95011 71200350.00 Sat Oct 10 2026 14:00:00 GMT+0700 (Western Indonesia Time) ANDALAN YASA MITRA</t>
  </si>
  <si>
    <t>1210/FTSCY/WS95031 6005000.00 DWI HERMANSYAH</t>
  </si>
  <si>
    <t>1210/FTSCY/WS95031 4103370.00 MUJIANTO</t>
  </si>
  <si>
    <t>1210/FTSCY/WS95051 53403700.00 BYR AH HAIRUL BIJI JAGUNG PERKAS</t>
  </si>
  <si>
    <t>1210/FTSCY/WS95271 17244090.00 Byr Ayam Kediri RP A SBU ALDINI MARIA GUMIL</t>
  </si>
  <si>
    <t>1210/FTSCY/WS95051 103717600.00 Byr lb tgl 11/10 MANDALA MAJU MAPAN</t>
  </si>
  <si>
    <t>1210/FTSCY/WS95051 2911150.00 so bkl PRIMA JAYA BERSATU</t>
  </si>
  <si>
    <t>1210/FTSCY/WS95051 188590170.00 AH P HAIRUL 29 SEP PHALOSARI UNGGUL J</t>
  </si>
  <si>
    <t>1210/FTSCY/WS95011 120691570.00 WAHYU MEGA ARSITA</t>
  </si>
  <si>
    <t>TARIKAN ATM 12/10</t>
  </si>
  <si>
    <t>1210/FTSCY/WS95031 6918910.00 EKO SETIYAWAN</t>
  </si>
  <si>
    <t>1210/FTSCY/WS95031 8060540.00 krg 3 jt FAJAR ANDREANZAH</t>
  </si>
  <si>
    <t>1210/FTSCY/WS95271 72800000.00 YAMAN DIDIK HARIYA</t>
  </si>
  <si>
    <t>1210/FTFVA/WS95031 55569/PT PRIMA FAJ 11 oct. - 40190</t>
  </si>
  <si>
    <t>1210/FTSCY/WS95011 49344600.00 Fri Oct 09 2026 14:00:00 GMT+0700 (Western Indonesia Time) PITIK DIGITAL INDO</t>
  </si>
  <si>
    <t>1210/FTSCY/WS95271 212400000.00 pelunasan PITIK DIGITAL INDO</t>
  </si>
  <si>
    <t>1210/FTSCY/WS95271 87600000.00 Sat Oct 10 2026 14:00:00 GMT+0700 (Western Indonesia Time) SUPER UNGGAS JAYA</t>
  </si>
  <si>
    <t>1210/FTSCY/WS95031 17259000.00 pelunasan SUPER UNGGAS JAYA</t>
  </si>
  <si>
    <t>TRSF E-BANKING CR TANGGAL :12/10</t>
  </si>
  <si>
    <t>1210/FTSCY/WS95051 SIDO RAYA UTAMA CV</t>
  </si>
  <si>
    <t>1210/FTSCY/WS95031 titip 60jt GATUT SETYO WIBOWO</t>
  </si>
  <si>
    <t>TRSF E-BANKING DB TANGGAL :12/10</t>
  </si>
  <si>
    <t>1210/FTSCY/WS95031 SUNARTO</t>
  </si>
  <si>
    <t>1210/FTSCY/WS95031 lunas GATUT SETYO WIBOWO</t>
  </si>
  <si>
    <t>1310/FTSCY/WS95031 58273720.00 Sat Oct 10 2026 14:00:00 GMT+0700 (Western Indonesia Time) BROILER MAKMUR TAN</t>
  </si>
  <si>
    <t>1310/FTSCY/WS95271 133000000.00 Sun Oct 11 2026 14:00:00 GMT+0700 (Western Indonesia Time) INTEGRASI TEKNOLOG</t>
  </si>
  <si>
    <t>1310/FTSCY/WS95051 177254850.00 AH P HAIRUL 30 SEP PHALOSARI UNGGUL J</t>
  </si>
  <si>
    <t>1310/FTSCY/WS95051 199263800.00 Byr lb tgl 12/10 MANDALA MAJU MAPAN</t>
  </si>
  <si>
    <t>1310/FTSCY/WS95051 48982228.00 AYAM HAIRUL TGL 13/10/2023 SUCI RAHARJO PT</t>
  </si>
  <si>
    <t>1310/FTSCY/WS95051 100000000.00 krmn 13/10 ERICKO HERMAWAN</t>
  </si>
  <si>
    <t>1310/FTSCY/WS95051 36767600.00 SIDO RAYA UTAMA CV</t>
  </si>
  <si>
    <t>1310/FTSCY/WS95271 55847800.00 Sun Oct 11 2026 14:00:00 GMT+0700 (Western Indonesia Time) TUMBUH OPTIMAL PRI</t>
  </si>
  <si>
    <t>1310/FTSCY/WS95271 1207520.00 ANDE DOSO ANGGORO</t>
  </si>
  <si>
    <t>1310/FTSCY/WS95011 233111400.00 Sun Oct 11 2026 14:00:00 GMT+0700 (Western Indonesia Time) TABASSAM AL HATTAK</t>
  </si>
  <si>
    <t>1310/FTSCY/WS95011 60851300.00 Sun Oct 11 2026 14:00:00 GMT+0700 (Western Indonesia Time) ANDALAN YASA MITRA</t>
  </si>
  <si>
    <t>1310/FTSCY/WS95011 60851300.00 Sun Oct 11 2026 14:00:00 GMT+0700 (Western Indonesia Time) SURYA INTI TERNAK</t>
  </si>
  <si>
    <t>1310/FTSCY/WS95011 59200000.00 Sun Oct 11 2026 14:00:00 GMT+0700 (Western Indonesia Time) RUKUN MITRA BERSAM</t>
  </si>
  <si>
    <t>1310/FTSCY/WS95011 28186500.00 Sun Oct 11 2026 14:00:00 GMT+0700 (Western Indonesia Time) ANUGERAH KARTIKA A</t>
  </si>
  <si>
    <t>1310/FTSCY/WS95011 4940000.00 Sun Oct 11 2026 14:00:00 GMT+0700 (Western Indonesia Time) ANDALAN YASA MITRA</t>
  </si>
  <si>
    <t>1310/FTSCY/WS95011 44460000.00 Pelunasan 11/10 ANDALAN YASA MITRA</t>
  </si>
  <si>
    <t>1310/FTSCY/WS95271 68250000.00 11/10 tuban PITIK DIGITAL INDO</t>
  </si>
  <si>
    <t>1310/FTSCY/WS95031 2200000.00 BELA PRAMUDITA</t>
  </si>
  <si>
    <t>1310/FTSCY/WS95031 1000000.00 SUNARTO</t>
  </si>
  <si>
    <t>1310/FTSCY/WS95031 2700000.00 lunas GATUT SETYO WIBOWO</t>
  </si>
  <si>
    <t>TRSF E-BANKING CR TANGGAL :13/10</t>
  </si>
  <si>
    <t>1310/FTSCY/WS95031 Dari Pak Gatut SEFI HANA KRISNAWA</t>
  </si>
  <si>
    <t>TARIKAN ATM 14/10</t>
  </si>
  <si>
    <t>1410/FTSCY/WS95271 71550480.00 YAMAN DIDIK HARIYA</t>
  </si>
  <si>
    <t>1410/FTSCY/WS95271 50000000.00 Bayar Ayam Blitar RPA SBU ALDINI MARIA GUMIL</t>
  </si>
  <si>
    <t>1410/FTSCY/WS95271 65997400.00 Mon Oct 12 2026 14:00:00 GMT+0700 (Western Indonesia Time) BRANTAS ABADI SENT</t>
  </si>
  <si>
    <t>1410/FTSCY/WS95271 70400000.00 Mon Oct 12 2026 14:00:00 GMT+0700 (Western Indonesia Time) SUPER UNGGAS JAYA</t>
  </si>
  <si>
    <t>1410/FTSCY/WS95271 2000000.00 NURHAYATI</t>
  </si>
  <si>
    <t>1410/FTSCY/WS95271 57000000.00 Mon Oct 12 2026 14:00:00 GMT+0700 (Western Indonesia Time) LAJU SATWA WISESA</t>
  </si>
  <si>
    <t>1410/FTSCY/WS95011 228288300.00 Sun Oct 11 2026 14:00:00 GMT+0700 (Western Indonesia Time) BROILER MAKMUR TAN</t>
  </si>
  <si>
    <t>1410/FTSCY/WS95271 4783850.00 lunas DWI HERMANSYAH</t>
  </si>
  <si>
    <t>1410/FTSCY/WS95031 1000000.00 MAQNUL DAHLIAANA F</t>
  </si>
  <si>
    <t>1410/FTSCY/WS95051 175573500.00 Byr lb tgl 13/10 MANDALA MAJU MAPAN</t>
  </si>
  <si>
    <t>1410/FTSCY/WS95271 67203000.00 Sat Nov 14 2026 15:00:00 GMT+0700 (Western Indonesia Time) BERLIAN UNGGUL JAY</t>
  </si>
  <si>
    <t>1410/FTSCY/WS95051 68780000.00 ah 3800x18100 GEMILANG INTI SUKS</t>
  </si>
  <si>
    <t>1410/FTSCY/WS95271 66541800.00 titip tf ROZAL NUR SYAHBANA</t>
  </si>
  <si>
    <t>1410/FTSCY/WS95271 100000.00 Kopi ROZAL NUR SYAHBANA</t>
  </si>
  <si>
    <t>1410/FTSCY/WS95031 66541800.00 Tue Oct 13 2026 14:00:00 GMT+0700 (Western Indonesia Time) ANUGERAH MAKMUR AR</t>
  </si>
  <si>
    <t>1410/FTSCY/WS95031 10088950.00 EKO SETIYAWAN</t>
  </si>
  <si>
    <t>TRSF E-BANKING CR TANGGAL :14/10</t>
  </si>
  <si>
    <t>1410/FTSCY/WS95031 Dari Pak Gatut SEFI HANA KRISNAWA</t>
  </si>
  <si>
    <t>1410/FTSCY/WS95051 SIDO RAYA UTAMA CV</t>
  </si>
  <si>
    <t>1510/FTSCY/WS95031 3298370.00 krg 10 jt FAJAR ANDREANZAH</t>
  </si>
  <si>
    <t>1510/FTSCY/WS95031 1000000.00 SUNARTO</t>
  </si>
  <si>
    <t>1510/FTSCY/WS95031 6169140.00 MUJIANTO</t>
  </si>
  <si>
    <t>1510/FTSCY/WS95031 2500000.00 BELA PRAMUDITA</t>
  </si>
  <si>
    <t>1510/FTSCY/WS95031 6213870.00 krg 100 jt EKO SETIYAWAN</t>
  </si>
  <si>
    <t>1510/FTSCY/WS95271 183236550.00 Mon Oct 12 2026 14:00:00 GMT+0700 (Western Indonesia Time) TABASSAM AL HATTAK</t>
  </si>
  <si>
    <t>1510/FTSCY/WS95271 80000000.00 Sun Oct 11 2026 14:00:00 GMT+0700 (Western Indonesia Time) BROILER MAKMUR TAN</t>
  </si>
  <si>
    <t>1510/FTSCY/WS95031 100000000.00 krmn 14 okt ERICKO HERMAWAN</t>
  </si>
  <si>
    <t>1510/FTSCY/WS95051 72447000.00 AH 3895 18600 GEMILANG INTI SUKS</t>
  </si>
  <si>
    <t>1510/FTFVA/WS95031 55569/PT PRIMA FAJ mlg - 40190</t>
  </si>
  <si>
    <t>TRSF E-BANKING CR TANGGAL :15/10</t>
  </si>
  <si>
    <t>1510/FTSCY/WS95271 Bayar Ayam CBD RPA SBU ALDINI MARIA GUMIL</t>
  </si>
  <si>
    <t>BI-FAST DB TANGGAL :15/10</t>
  </si>
  <si>
    <t>BIF TRANSFER KE RODIYAH MyBCA</t>
  </si>
  <si>
    <t>BIF BIAYA TXN KE RODIYAH MyBCA</t>
  </si>
  <si>
    <t>TRSF E-BANKING DB TANGGAL :15/10</t>
  </si>
  <si>
    <t>1510/FTSCY/WS95031 Tue Oct 13 2026 14:00:00 GMT+0700 (Western Indonesia Time) GANESHA SATRIA NUS</t>
  </si>
  <si>
    <t>1510/FTSCY/WS95011 Mon Oct 12 2026 14:00:00 GMT+0700 (Western Indonesia Time) PITIK DIGITAL INDO</t>
  </si>
  <si>
    <t>1510/FTSCY/WS95031 lunas GATUT SETYO WIBOWO</t>
  </si>
  <si>
    <t>1510/FTSCY/WS95031 titip 60jt GATUT SETYO WIBOWO</t>
  </si>
  <si>
    <t>1510/FTSCY/WS95011 Mon Oct 12 2026 14:00:00 GMT+0700 (Western Indonesia Time) ANDALAN YASA MITRA</t>
  </si>
  <si>
    <t>1510/FTSCY/WS95011 Mon Oct 12 2026 14:00:00 GMT+0700 (Western Indonesia Time) ANUGERAH KARTIKA A</t>
  </si>
  <si>
    <t>1610/FTSCY/WS95031 8465830.00 krg 2 jt HERMAWAN</t>
  </si>
  <si>
    <t>1610/FTSCY/WS95051 244314000.00 Byr lb tgl 14/10 MANDALA MAJU MAPAN</t>
  </si>
  <si>
    <t>1610/FTSCY/WS95011 111658050.00 Mon Oct 12 2026 14:00:00 GMT+0700 (Western Indonesia Time) BROILER MAKMUR TAN</t>
  </si>
  <si>
    <t>1610/FTSCY/WS95031 2000000.00 lunas HERMAWAN</t>
  </si>
  <si>
    <t>1610/FTSCY/WS95031 1861640.00 DWI HERMANSYAH</t>
  </si>
  <si>
    <t>ALFAMRT Y073 SUDI 6019009510239343</t>
  </si>
  <si>
    <t>1610/FTSCY/WS95271 69480000.00 Tue Oct 13 2026 14:00:00 GMT+0700 (Western Indonesia Time) ANDALAN YASA MITRA</t>
  </si>
  <si>
    <t>1610/FTSCY/WS95051 72419910.00 ah 4001.1x18100 GEMILANG INTI SUKS</t>
  </si>
  <si>
    <t>1610/FTSCY/WS95051 184701400.00 AH P HAIRUL 3 OKT PHALOSARI UNGGUL J</t>
  </si>
  <si>
    <t>1610/FTSCY/WS95271 250000.00 TYSA EKA MAHARANI</t>
  </si>
  <si>
    <t>1610/FTSCY/WS95051 100000000.00 krmn 16/10 TERA MULIA KORPORI</t>
  </si>
  <si>
    <t>1610/FTSCY/WS95051 112813310.00 AYAM HAIRUL TGL 16/10/2023 SUCI RAHARJO PT</t>
  </si>
  <si>
    <t>1610/FTSCY/WS95011 183615750.00 WAHYU MEGA ARSITA</t>
  </si>
  <si>
    <t>1610/FTSCY/WS95271 61950000.00 Tue Oct 13 2026 14:00:00 GMT+0700 (Western Indonesia Time) TUMBUH OPTIMAL PRI</t>
  </si>
  <si>
    <t>1610/FTSCY/WS95271 62857800.00 Tue Oct 06 2026 14:00:00 GMT+0700 (Western Indonesia Time) SUGENG RIADI</t>
  </si>
  <si>
    <t>1610/FTSCY/WS95271 20000000.00 EKO SETIYAWAN</t>
  </si>
  <si>
    <t>1610/FTSCY/WS95031 14272440.00 Zainal ZAINAL ARIFIN</t>
  </si>
  <si>
    <t>1610/FTSCY/WS95011 114591400.00 Tue Oct 13 2026 14:00:00 GMT+0700 (Western Indonesia Time) SUPER UNGGAS JAYA</t>
  </si>
  <si>
    <t>1610/FTSCY/WS95011 53742500.00 Wed Oct 14 2026 14:00:00 GMT+0700 (Western Indonesia Time) ANUGERAH KARTIKA A</t>
  </si>
  <si>
    <t>1610/FTSCY/WS95011 21971740.00 Tue Oct 13 2026 14:00:00 GMT+0700 (Western Indonesia Time) BROILER MAKMUR TAN</t>
  </si>
  <si>
    <t>1610/FTSCY/WS95011 197745660.00 13/10 krg 125 jt BROILER MAKMUR TAN</t>
  </si>
  <si>
    <t>1610/FTSCY/WS95271 85000000.00 Tue Oct 13 2026 14:00:00 GMT+0700 (Western Indonesia Time) BROILER MAKMUR TAN</t>
  </si>
  <si>
    <t>1610/FTSCY/WS95031 40000000.00 pelunasan 13.10 BROILER MAKMUR TAN</t>
  </si>
  <si>
    <t>1610/FTSCY/WS95051 358198600.00 SIDO RAYA UTAMA CV</t>
  </si>
  <si>
    <t>1610/FTSCY/WS95031 47459600.00 ANDALAN YASA MITRA</t>
  </si>
  <si>
    <t>TRSF E-BANKING CR TANGGAL :16/10</t>
  </si>
  <si>
    <t>1610/FTSCY/WS95031 titip 66jt GATUT SETYO WIBOWO</t>
  </si>
  <si>
    <t>17/10 /Z77A1/00000 ZAINAL ARIFIN</t>
  </si>
  <si>
    <t>1710/FTSCY/WS95031 1700000.00 SUNARTO</t>
  </si>
  <si>
    <t>1710/FTSCY/WS95031 14115600.00 Tue Oct 13 2026 14:00:00 GMT+0700 (Western Indonesia Time) ANDALAN YASA MITRA</t>
  </si>
  <si>
    <t>1710/FTSCY/WS95011 53226000.00 Tue Oct 13 2026 14:00:00 GMT+0700 (Western Indonesia Time) ANUGERAH KARTIKA A</t>
  </si>
  <si>
    <t>1710/FTSCY/WS95011 107537400.00 Wed Oct 14 2026 14:00:00 GMT+0700 (Western Indonesia Time) BRANTAS ABADI SENT</t>
  </si>
  <si>
    <t>1710/FTSCY/WS95011 53346600.00 Thu Oct 15 2026 14:00:00 GMT+0700 (Western Indonesia Time) BRANTAS ABADI SENT</t>
  </si>
  <si>
    <t>1710/FTSCY/WS95011 72019800.00 Thu Oct 15 2026 14:00:00 GMT+0700 (Western Indonesia Time) LAJU SATWA WISESA</t>
  </si>
  <si>
    <t>1710/FTSCY/WS95011 161063000.00 Thu Oct 15 2026 14:00:00 GMT+0700 (Western Indonesia Time) GANESHA SATRIA NUS</t>
  </si>
  <si>
    <t>1710/FTSCY/WS95031 2536600.00 NURHAYATI</t>
  </si>
  <si>
    <t>1710/FTSCY/WS95031 15100000.00 NURUL AINI</t>
  </si>
  <si>
    <t>1710/FTSCY/WS95031 6616060.00 FAJAR ANDREANZAH</t>
  </si>
  <si>
    <t>1710/FTSCY/WS95031 4100000.00 BELA PRAMUDITA</t>
  </si>
  <si>
    <t>1710/FTSCY/WS95031 1244870.00 HERMAWAN</t>
  </si>
  <si>
    <t>1710/FTSCY/WS95031 3076400.00 krg 14.3 jt MUJIANTO</t>
  </si>
  <si>
    <t>1710/FTSCY/WS95051 46862700.00 Byr lb tgl 16/10 MANDALA MAJU MAPAN</t>
  </si>
  <si>
    <t>1710/FTSCY/WS95051 63726000.00 BYR AH HAIRUL BIJI JAGUNG PERKAS</t>
  </si>
  <si>
    <t>1710/FTSCY/WS95271 110000000.00 titip BRANTAS ABADI SENT</t>
  </si>
  <si>
    <t>TARIKAN ATM 17/10</t>
  </si>
  <si>
    <t>1710/FTSCY/WS95031 10000000.00 titip 10jt GATUT SETYO WIBOWO</t>
  </si>
  <si>
    <t>1710/FTSCY/WS95031 6000000.00 NURUL AINI</t>
  </si>
  <si>
    <t>1710/FTSCY/WS95051 100000000.00 krmn 17/10 ERICKO HERMAWAN</t>
  </si>
  <si>
    <t>1710/FTSCY/WS95051 184736060.00 AH P HAIRUL 10 OKT PHALOSARI UNGGUL J</t>
  </si>
  <si>
    <t>1710/FTSCY/WS95011 234576540.00 WAHYU MEGA ARSITA</t>
  </si>
  <si>
    <t>1710/FTSCY/WS95051 220178220.00 SIDO RAYA UTAMA CV</t>
  </si>
  <si>
    <t>1710/FTSCY/WS95031 15463780.00 ktg 90 jt EKO SETIYAWAN</t>
  </si>
  <si>
    <t>1710/FTSCY/WS95031 2300000.00 BELA PRAMUDITA</t>
  </si>
  <si>
    <t>1710/FTSCY/WS95271 154446250.00 Fri Oct 16 2026 14:00:00 GMT+0700 (Western Indonesia Time) ANDALAN YASA MITRA</t>
  </si>
  <si>
    <t>1710/FTSCY/WS95271 26315000.00 pelunasan GANESHA SATRIA NUS</t>
  </si>
  <si>
    <t>1710/FTSCY/WS95271 2000000.00 prob. SUNARTO</t>
  </si>
  <si>
    <t>1710/FTSCY/WS95031 30000000.00 GANESHA SATRIA NUS</t>
  </si>
  <si>
    <t>1710/FTSCY/WS95031 10000000.00 GANESHA SATRIA NUS</t>
  </si>
  <si>
    <t>1710/FTSCY/WS95011 52000000.00 Krg 8 jt GANESHA SATRIA NUS</t>
  </si>
  <si>
    <t>1710/FTSCY/WS95031 350000.00 ANDE DOSO ANGGORO</t>
  </si>
  <si>
    <t>TRSF E-BANKING CR TANGGAL :17/10</t>
  </si>
  <si>
    <t>1710/FTSCY/WS95031 titip 10jt 40jt to tal 50jt GATUT SETYO WIBOWO</t>
  </si>
  <si>
    <t>1810/FTSCY/WS95051 189620000.00 Byr Ayam CBD RPA SBU ALDINI MARIA GUMIL</t>
  </si>
  <si>
    <t>1810/FTSCY/WS95011 198791220.00 Thu Oct 15 2026 14:00:00 GMT+0700 (Western Indonesia Time) ANDALAN YASA MITRA</t>
  </si>
  <si>
    <t>1810/FTSCY/WS95011 110934000.00 Thu Oct 15 2026 14:00:00 GMT+0700 (Western Indonesia Time) ANUGERAH KARTIKA A</t>
  </si>
  <si>
    <t>1810/FTSCY/WS95011 60864440.00 Fri Oct 16 2026 14:00:00 GMT+0700 (Western Indonesia Time) PITIK DIGITAL INDO</t>
  </si>
  <si>
    <t>1810/FTSCY/WS95011 56161200.00 Fri Oct 16 2026 14:00:00 GMT+0700 (Western Indonesia Time) TUMBUH OPTIMAL PRI</t>
  </si>
  <si>
    <t>1810/FTSCY/WS95011 72966910.00 Krg 44 jt ANUGERAH KARTIKA A</t>
  </si>
  <si>
    <t>1810/FTSCY/WS95271 44000000.00 pelunasan ANUGERAH KARTIKA A</t>
  </si>
  <si>
    <t>1810/FTSCY/WS95271 57600000.00 Fri Oct 16 2026 14:00:00 GMT+0700 (Western Indonesia Time) ANUGERAH KARTIKA A</t>
  </si>
  <si>
    <t>1810/FTSCY/WS95271 100086600.00 Fri Oct 16 2026 14:00:00 GMT+0700 (Western Indonesia Time) BROILER MAKMUR TAN</t>
  </si>
  <si>
    <t>1810/FTSCY/WS95271 4599810.00 DWI HERMANSYAH</t>
  </si>
  <si>
    <t>1810/FTSCY/WS95271 6069180.00 krg 10 jt MUJIANTO</t>
  </si>
  <si>
    <t>1810/FTSCY/WS95271 1950000.00 FAJAR ANDREANZAH</t>
  </si>
  <si>
    <t>1810/FTSCY/WS95271 2137090.00 HERMAWAN</t>
  </si>
  <si>
    <t>1810/FTSCY/WS95271 4700000.00 EKO SETIYAWAN</t>
  </si>
  <si>
    <t>1810/FTSCY/WS95051 119016450.00 Byr lb tgl 17/10 MANDALA MAJU MAPAN</t>
  </si>
  <si>
    <t>1810/FTSCY/WS95271 8000000.00 pelunasan GANESHA SATRIA NUS</t>
  </si>
  <si>
    <t>1810/FTSCY/WS95051 46031500.00 BYR AH HAIRUL BIJI JAGUNG PERKAS</t>
  </si>
  <si>
    <t>1810/FTSCY/WS95031 66592800.00 LAWU ABADI NUSA PT</t>
  </si>
  <si>
    <t>1810/FTSCY/WS95031 6449050.00 pelunasan mlg SURYA INTI TERNAK</t>
  </si>
  <si>
    <t>1810/FTSCY/WS95271 47406500.00 Sun Oct 18 2026 14:00:00 GMT+0700 (Western Indonesia Time) BERLIAN UNGGUL JAY</t>
  </si>
  <si>
    <t>KR OTOMATIS</t>
  </si>
  <si>
    <t>LLG-MANDIRI SUPER FAMOUS CHICK Pembelian ayam hid up</t>
  </si>
  <si>
    <t>1810/FTFVA/WS95031 55569/PT PRIMA FAJ mlg - 40190</t>
  </si>
  <si>
    <t>1810/FTSCY/WS95051 135887220.00 AH P HAIRUL 4 OKT PHALOSARI UNGGUL J</t>
  </si>
  <si>
    <t>1810/FTSCY/WS95271 22100000.00 pelunasan BINTANG TAMA SANTO</t>
  </si>
  <si>
    <t>1810/FTSCY/WS95031 20000000.00 pelunasan BINTANG TAMA SANTO</t>
  </si>
  <si>
    <t>18/10  WSID9503100 0865 PLN PREPAID 32104859353 MUHAMMAD HAIRUL MA</t>
  </si>
  <si>
    <t>1810/FTSCY/WS95051 61070000.00 AH P HAIRUL 12 OKT PHALOSARI UNGGUL J</t>
  </si>
  <si>
    <t>1810/FTSCY/WS95051 100000000.00 krmn 18/10 ERICKO HERMAWAN</t>
  </si>
  <si>
    <t>1810/FTSCY/WS95011 130379730.00 WAHYU MEGA ARSITA</t>
  </si>
  <si>
    <t>1810/FTSCY/WS95031 2110000.00 SUNARTO</t>
  </si>
  <si>
    <t>1810/FTSCY/WS95031 4000000.00 EKO SETIYAWAN</t>
  </si>
  <si>
    <t>1810/FTSCY/WS95271 1000000.00 EKO SETIYAWAN</t>
  </si>
  <si>
    <t>DB DEBIT DOMESTIK</t>
  </si>
  <si>
    <t>TRN DEBIT DOM 008 DR. RAMZI SP. A</t>
  </si>
  <si>
    <t>APOTEK KF 241 6019009510239343</t>
  </si>
  <si>
    <t>TRSF E-BANKING CR TANGGAL :18/10</t>
  </si>
  <si>
    <t>1810/FTSCY/WS95031 lunas GATUT SETYO WIBOWO</t>
  </si>
  <si>
    <t>18/10 /Z8KB1/00000 ZAINAL ARIFIN</t>
  </si>
  <si>
    <t>1910/FTSCY/WS95271 114283750.00 Fri Oct 16 2026 14:00:00 GMT+0700 (Western Indonesia Time) BINTANG TAMA SANTO</t>
  </si>
  <si>
    <t>1910/FTSCY/WS95271 66773000.00 Sun Oct 18 2026 14:00:00 GMT+0700 (Western Indonesia Time) DINA LUKMIANINGRUM</t>
  </si>
  <si>
    <t>1910/FTSCY/WS95271 54000000.00 Sun Oct 18 2026 14:00:00 GMT+0700 (Western Indonesia Time) ANUGERAH KARTIKA A</t>
  </si>
  <si>
    <t>1910/FTSCY/WS95271 52832100.00 Sat Oct 17 2026 14:00:00 GMT+0700 (Western Indonesia Time) ANUGERAH KARTIKA A</t>
  </si>
  <si>
    <t>1910/FTSCY/WS95031 100000000.00 Fri Oct 16 2026 14:00:00 GMT+0700 (Western Indonesia Time) SUPER UNGGAS JAYA</t>
  </si>
  <si>
    <t>1910/FTSCY/WS95051 206887800.00 Byr lb tgl 18/10 MANDALA MAJU MAPAN</t>
  </si>
  <si>
    <t>1910/FTSCY/WS95031 592750.00 Zainal ZAINAL ARIFIN</t>
  </si>
  <si>
    <t>TARIKAN ATM 19/10</t>
  </si>
  <si>
    <t>1910/FTSCY/WS95051 123090720.00 AH FM HAIRUL 5/10 PHALOSARI UNGGUL J</t>
  </si>
  <si>
    <t>1910/FTSCY/WS95051 51321600.00 AH FM HAIRUL 11/10 PHALOSARI UNGGUL J</t>
  </si>
  <si>
    <t>1910/FTFVA/WS95031 55569/PT PRIMA FAJ mlg - 40190</t>
  </si>
  <si>
    <t>1910/FTSCY/WS95271 200000.00 AHMAD MAMNUN</t>
  </si>
  <si>
    <t>1910/FTSCY/WS95271 10000000.00 EKO SETIYAWAN</t>
  </si>
  <si>
    <t>BIF TRANSFER KE 2 HALIK MyBCA</t>
  </si>
  <si>
    <t>BIF BIAYA TXN KE 2 HALIK MyBCA</t>
  </si>
  <si>
    <t>TRSF E-BANKING CR TANGGAL :19/10</t>
  </si>
  <si>
    <t>1910/FTSCY/WS95031 zainal ZAINAL ARIFIN</t>
  </si>
  <si>
    <t>2010/FTSCY/WS95271 1300000.00 SUNARTO</t>
  </si>
  <si>
    <t>2010/FTSCY/WS95271 55346450.00 Sat Oct 17 2026 14:00:00 GMT+0700 (Western Indonesia Time) ANDALAN YASA MITRA</t>
  </si>
  <si>
    <t>2010/FTSCY/WS95271 54680400.00 Mon Oct 19 2026 14:00:00 GMT+0700 (Western Indonesia Time) LAWU ABADI NUSA PT</t>
  </si>
  <si>
    <t>2010/FTSCY/WS95271 37807800.00 Sat Oct 17 2026 14:00:00 GMT+0700 (Western Indonesia Time) BINTANG TAMA SANTO</t>
  </si>
  <si>
    <t>2010/FTSCY/WS95271 54530840.00 Mon Oct 19 2026 14:00:00 GMT+0700 (Western Indonesia Time) BERLIAN UNGGUL JAY</t>
  </si>
  <si>
    <t>2010/FTSCY/WS95271 900000.00 HALIM IBRAHIM</t>
  </si>
  <si>
    <t>2010/FTSCY/WS95271 660720.00 ANDE DOSO ANGGORO</t>
  </si>
  <si>
    <t>2010/FTSCY/WS95271 89569200.00 17/10 krg 30 jt TABASSAM AZ ZUFAR</t>
  </si>
  <si>
    <t>2010/FTSCY/WS95031 30000000.00 lunas TABASSAM AZ ZUFAR</t>
  </si>
  <si>
    <t>2010/FTSCY/WS95031 15922184.00 NURUL AINI</t>
  </si>
  <si>
    <t>2010/FTSCY/WS95051 123173210.00 AH FM HAIRUL 6/10 PHALOSARI UNGGUL J</t>
  </si>
  <si>
    <t>2010/FTSCY/WS95051 59572800.00 AH FM HAIRUL 13/10 PHALOSARI UNGGUL J</t>
  </si>
  <si>
    <t>2010/FTSCY/WS95011 72200000.00 Sun Oct 18 2026 14:00:00 GMT+0700 (Western Indonesia Time) LAJU SATWA WISESA</t>
  </si>
  <si>
    <t>2010/FTSCY/WS95011 66279600.00 Sun Oct 18 2026 14:00:00 GMT+0700 (Western Indonesia Time) GANESHA SATRIA NUS</t>
  </si>
  <si>
    <t>2010/FTSCY/WS95031 1200000.00 NURUL AINI</t>
  </si>
  <si>
    <t>2010/FTSCY/WS95031 50000.00 NURUL AINI</t>
  </si>
  <si>
    <t>2010/FTSCY/WS95011 53953400.00 Sun Oct 18 2026 14:00:00 GMT+0700 (Western Indonesia Time) ANDALAN YASA MITRA</t>
  </si>
  <si>
    <t>BIAYA ADM</t>
  </si>
  <si>
    <t>TRSF E-BANKING CR TANGGAL :20/10</t>
  </si>
  <si>
    <t>2010/FTSCY/WS95031 titip 40jt GATUT SETYO WIBOWO</t>
  </si>
  <si>
    <t>2010/FTSCY/WS95011 BAYAR AYAM RPA SBU ALDINI MARIA GUMIL</t>
  </si>
  <si>
    <t>2110/FTSCY/WS95271 118945400.00 Sun Oct 18 2026 14:00:00 GMT+0700 (Western Indonesia Time) BROILER MAKMUR TAN</t>
  </si>
  <si>
    <t>2110/FTSCY/WS95271 13450000.00 NURUL AINI</t>
  </si>
  <si>
    <t>2110/FTSCY/WS95271 400000.00 NURUL AINI</t>
  </si>
  <si>
    <t>2110/FTSCY/WS95271 2300000.00 bon tot. 2.7 jt SUNARTO</t>
  </si>
  <si>
    <t>2110/FTSCY/WS95271 51433700.00 Mon Oct 19 2026 14:00:00 GMT+0700 (Western Indonesia Time) BRANTAS ABADI SENT</t>
  </si>
  <si>
    <t>2110/FTSCY/WS95271 57883500.00 Mon Oct 19 2026 14:00:00 GMT+0700 (Western Indonesia Time) GANESHA SATRIA NUS</t>
  </si>
  <si>
    <t>2110/FTSCY/WS95051 61083900.00 Byr lb tgl 20/10 MANDALA MAJU MAPAN</t>
  </si>
  <si>
    <t>2110/FTSCY/WS95271 63489500.00 19/10 krg 66 jt INTEGRASI TEKNOLOG</t>
  </si>
  <si>
    <t>2110/FTSCY/WS95051 127244280.00 Tue Oct 20 2026 14:00:00 GMT+0700 (Western Indonesia Time) 7129.8/Clossing SUGENG MARIONO</t>
  </si>
  <si>
    <t>2110/FTSCY/WS95031 63178500.00 Wed Oct 21 2026 14:00:00 GMT+0700 (Western Indonesia Time) LAWU ABADI NUSA PT</t>
  </si>
  <si>
    <t>2110/FTSCY/WS95031 25000000.00 EKO SETIYAWAN</t>
  </si>
  <si>
    <t>2110/FTSCY/WS95051 120000000.00 WAHYUDI</t>
  </si>
  <si>
    <t>2110/FTSCY/WS95031 5900000.00 BELA PRAMUDITA</t>
  </si>
  <si>
    <t>2110/FTSCY/WS95011 66760950.00 WAHYU MEGA ARSITA</t>
  </si>
  <si>
    <t>2110/FTSCY/WS95011 53825100.00 Mon Oct 19 2026 14:00:00 GMT+0700 (Western Indonesia Time) ANDALAN YASA MITRA</t>
  </si>
  <si>
    <t>2110/FTSCY/WS95271 11500000.00 NURUL AINI</t>
  </si>
  <si>
    <t>2110/FTSCY/WS95031 25384580.00 lunas GATUT SETYO WIBOWO</t>
  </si>
  <si>
    <t>2110/FTSCY/WS95271 4460000.00 NURUL AINI</t>
  </si>
  <si>
    <t>TRSF E-BANKING CR TANGGAL :21/10</t>
  </si>
  <si>
    <t>2110/FTSCY/WS95031 Zainal ZAINAL ARIFIN</t>
  </si>
  <si>
    <t>2210/FTSCY/WS95271 30000000.00 SANDI FAJAR PRASET</t>
  </si>
  <si>
    <t>2210/FTSCY/WS95271 3200000.00 BELA PRAMUDITA</t>
  </si>
  <si>
    <t>2210/FTSCY/WS95031 65000000.00 WAHYUDI</t>
  </si>
  <si>
    <t>2210/FTSCY/WS95271 63038200.00 Mon Oct 19 2026 14:00:00 GMT+0700 (Western Indonesia Time) ANDALAN YASA MITRA</t>
  </si>
  <si>
    <t>2210/FTSCY/WS95271 109809000.00 Tue Oct 20 2026 14:00:00 GMT+0700 (Western Indonesia Time) BINTANG TAMA SANTO</t>
  </si>
  <si>
    <t>2210/FTSCY/WS95271 6115960.00 krg 100jt EKO SETIYAWAN</t>
  </si>
  <si>
    <t>2210/FTSCY/WS95271 2700000.00 HERMAWAN</t>
  </si>
  <si>
    <t>TARIKAN ATM 22/10</t>
  </si>
  <si>
    <t>2210/FTSCY/WS95271 9790300.00 krg 10 jt MUJIANTO</t>
  </si>
  <si>
    <t>2210/FTSCY/WS95271 5313030.00 krg 5 jt FAJAR ANDREANZAH</t>
  </si>
  <si>
    <t>2210/FTSCY/WS95271 68640680.00 Tue Oct 20 2026 14:00:00 GMT+0700 (Western Indonesia Time) ANDALAN YASA MITRA</t>
  </si>
  <si>
    <t>2210/FTSCY/WS95031 65033050.00 19.20 TABASSAM AL HATTAK</t>
  </si>
  <si>
    <t>2310/FTSCY/WS95271 51000000.00 Byr ayam rpa sbu ALDINI MARIA GUMIL</t>
  </si>
  <si>
    <t>2310/FTSCY/WS95271 59364800.00 Tue Oct 20 2026 14:00:00 GMT+0700 (Western Indonesia Time) BROILER MAKMUR TAN</t>
  </si>
  <si>
    <t>2310/FTSCY/WS95051 185055930.00 AH FM HAIRUL 22/9 PHALOSARI UNGGUL J</t>
  </si>
  <si>
    <t>2310/FTSCY/WS95051 123562400.00 AH FM HAIRUL 7/10 PHALOSARI UNGGUL J</t>
  </si>
  <si>
    <t>2310/FTSCY/WS95051 150000000.00 WAHYUDI</t>
  </si>
  <si>
    <t>2310/FTSCY/WS95051 56474679.00 AYAM HAIRUL TGL 21/10/2023 SUCI RAHARJO PT</t>
  </si>
  <si>
    <t>2310/FTSCY/WS95051 185118105.00 UM AYAM HAIRUL TGL 23/10/2023 SUCI RAHARJO PT</t>
  </si>
  <si>
    <t>2310/FTSCY/WS95031 50000000.00 WAHYUDI</t>
  </si>
  <si>
    <t>2310/FTSCY/WS95011 246250000.00 Pelunasan Tue Oct 20 2026 14:00:00 GMT+0700 (Western Indonesia Time) BROILER MAKMUR TAN</t>
  </si>
  <si>
    <t>2310/FTSCY/WS95011 104671400.00 Tue Oct 20 2026 14:00:00 GMT+0700 (Western Indonesia Time) SUPER UNGGAS JAYA</t>
  </si>
  <si>
    <t>2310/FTSCY/WS95011 62387500.00 Thu Oct 22 2026 14:00:00 GMT+0700 (Western Indonesia Time) TUMBUH OPTIMAL PRI</t>
  </si>
  <si>
    <t>2310/FTSCY/WS95031 28000000.00 NURUL AINI</t>
  </si>
  <si>
    <t>2310/FTSCY/WS95271 161686800.00 Thu Oct 22 2026 14:00:00 GMT+0700 (Western Indonesia Time) ADNAN</t>
  </si>
  <si>
    <t>2310/FTSCY/WS95271 72649600.00 20 dan 22/10 t.agu ng PITIK DIGITAL INDO</t>
  </si>
  <si>
    <t>2310/FTSCY/WS95031 20000000.00 pelunasan t.agung PITIK DIGITAL INDO</t>
  </si>
  <si>
    <t>2310/FTSCY/WS95031 52052400.00 Thu Oct 22 2026 14:00:00 GMT+0700 (Western Indonesia Time) SUPER UNGGAS JAYA</t>
  </si>
  <si>
    <t>2310/FTSCY/WS95011 53100550.00 Fri Oct 23 2026 14:00:00 GMT+0700 (Western Indonesia Time) ANUGERAH KARTIKA A</t>
  </si>
  <si>
    <t>TRSF E-BANKING CR TANGGAL :23/10</t>
  </si>
  <si>
    <t>2310/FTSCY/WS95051 SIDO RAYA UTAMA CV</t>
  </si>
  <si>
    <t>2310/FTSCY/WS95271 Byr Ayam RPA SBU ALDINI MARIA GUMIL</t>
  </si>
  <si>
    <t>2410/FTSCY/WS95271 115102800.00 Thu Oct 22 2026 14:00:00 GMT+0700 (Western Indonesia Time) BINTANG TAMA SANTO</t>
  </si>
  <si>
    <t>2410/FTSCY/WS95271 54009000.00 Thu Oct 22 2026 14:00:00 GMT+0700 (Western Indonesia Time) ANUGERAH KARTIKA A</t>
  </si>
  <si>
    <t>2410/FTSCY/WS95271 87392200.00 Thu Oct 22 2026 14:00:00 GMT+0700 (Western Indonesia Time) PITIK DIGITAL INDO</t>
  </si>
  <si>
    <t>2410/FTSCY/WS95051 179202800.00 Byr lb tgl 23/10 MANDALA MAJU MAPAN</t>
  </si>
  <si>
    <t>24/10  WSID9503102 1220 TELKOMSEL 82131900513 MUHAMMAD HAIRUL MA</t>
  </si>
  <si>
    <t>2410/FTSCY/WS95271 4650000.00 Pelunasan Ayam RPA SBU ALDINI MARIA GUMIL</t>
  </si>
  <si>
    <t>2410/FTSCY/WS95271 4309400.00 krg 3 jt FAJAR ANDREANZAH</t>
  </si>
  <si>
    <t>2410/FTSCY/WS95051 48906300.00 WAHYUDI</t>
  </si>
  <si>
    <t>2410/FTSCY/WS95051 186383150.00 AH P HAIRUL 22 SEP PHALOSARI UNGGUL J</t>
  </si>
  <si>
    <t>2410/FTSCY/WS95051 43560994.00 AYAM HAIRUL TGL 23/10/2023 SUCI RAHARJO PT</t>
  </si>
  <si>
    <t>2410/FTSCY/WS95271 1300000.00 SUNARTO</t>
  </si>
  <si>
    <t>2410/FTSCY/WS95031 12505940.00 EKO SETIYAWAN</t>
  </si>
  <si>
    <t>2410/FTSCY/WS95051 249752820.00 SIDO RAYA UTAMA CV</t>
  </si>
  <si>
    <t>2410/FTSCY/WS95271 400000.00 krg 100 jt EKO SETIYAWAN</t>
  </si>
  <si>
    <t>2410/FTSCY/WS95031 99000000.00 titip 99jt GATUT SETYO WIBOWO</t>
  </si>
  <si>
    <t>TRSF E-BANKING DB TANGGAL :24/10</t>
  </si>
  <si>
    <t>2410/FTSCY/WS95011 Fri Oct 23 2026 14:00:00 GMT+0700 (Western Indonesia Time) ANDALAN YASA MITRA</t>
  </si>
  <si>
    <t>2410/FTSCY/WS95011 Thu Oct 22 2026 14:00:00 GMT+0700 (Western Indonesia Time) PITIK DIGITAL INDO</t>
  </si>
  <si>
    <t>2410/FTSCY/WS95011 Thu Oct 22 2026 14:00:00 GMT+0700 (Western Indonesia Time) BROILER MAKMUR TAN</t>
  </si>
  <si>
    <t>2410/FTSCY/WS95031 Fri Oct 23 2026 14:00:00 GMT+0700 (Western Indonesia Time) BRANTAS ABADI SENT</t>
  </si>
  <si>
    <t>2410/FTSCY/WS95271 NURUL AINI</t>
  </si>
  <si>
    <t>TRSF E-BANKING CR TANGGAL :24/10</t>
  </si>
  <si>
    <t>2410/FTSCY/WS95051 BAYAR AYAM RPA SBU ALDINI MARIA GUMIL</t>
  </si>
  <si>
    <t>2510/FTSCY/WS95011 112000000.00 Fri Oct 23 2026 14:00:00 GMT+0700 (Western Indonesia Time) ANDALAN YASA MITRA</t>
  </si>
  <si>
    <t>2510/FTSCY/WS95011 116172000.00 Fri Oct 23 2026 14:00:00 GMT+0700 (Western Indonesia Time) ANDALAN YASA MITRA</t>
  </si>
  <si>
    <t>2510/FTSCY/WS95011 115200000.00 23/10 tuban PITIK DIGITAL INDO</t>
  </si>
  <si>
    <t>2510/FTSCY/WS95011 63760400.00 Titip RUKUN MITRA BERSAM</t>
  </si>
  <si>
    <t>2510/FTSCY/WS95031 10663100.00 krg 7 jta RODHIATUS SOLEHA</t>
  </si>
  <si>
    <t>2510/FTSCY/WS95031 60120000.00 PT BJP SRI ASIH ANGGRAENI</t>
  </si>
  <si>
    <t>2510/FTSCY/WS95271 3000000.00 RIRIN</t>
  </si>
  <si>
    <t>2510/FTSCY/WS95051 181689940.00 AH P HAIRUL 9 OKT PHALOSARI UNGGUL J</t>
  </si>
  <si>
    <t>2510/FTSCY/WS95051 56806860.00 AH P HAIRUL 19 OKT PHALOSARI UNGGUL J</t>
  </si>
  <si>
    <t>2510/FTSCY/WS95031 33344000.00 NURUL AINI</t>
  </si>
  <si>
    <t>2510/FTSCY/WS95271 154302000.00 Fri Oct 23 2026 14:00:00 GMT+0700 (Western Indonesia Time) RUKUN MITRA BERSAM</t>
  </si>
  <si>
    <t>2510/FTSCY/WS95031 9951640.00 EKO SETIYAWAN</t>
  </si>
  <si>
    <t>2510/FTSCY/WS95271 2665000.00 DIDIET SULISTYAWAN</t>
  </si>
  <si>
    <t>2510/FTSCY/WS95031 1700000.00 SUNARTO</t>
  </si>
  <si>
    <t>2510/FTSCY/WS95031 5923480.00 krg 10 jt MUJIANTO</t>
  </si>
  <si>
    <t>2510/FTSCY/WS95031 2094160.00 HERMAWAN</t>
  </si>
  <si>
    <t>TRSF E-BANKING CR TANGGAL :25/10</t>
  </si>
  <si>
    <t>25/10 /Z2921/00000 ZAINAL ARIFIN</t>
  </si>
  <si>
    <t>2510/FTSCY/WS95051 SIDO RAYA UTAMA CV</t>
  </si>
  <si>
    <t>2610/FTSCY/WS95051 121704830.00 BYR AYAM CBD RPA SBU ALDINI MARIA GUMIL</t>
  </si>
  <si>
    <t>2610/FTSCY/WS95011 425555380.00 Sat Oct 24 2026 14:00:00 GMT+0700 (Western Indonesia Time) GANESHA SATRIA NUS</t>
  </si>
  <si>
    <t>2610/FTSCY/WS95011 51176010.00 Sat Oct 24 2026 14:00:00 GMT+0700 (Western Indonesia Time) RUKUN MITRA BERSAM</t>
  </si>
  <si>
    <t>2610/FTSCY/WS95271 47976250.00 Sat Oct 24 2026 14:00:00 GMT+0700 (Western Indonesia Time) BINTANG TAMA SANTO</t>
  </si>
  <si>
    <t>2610/FTSCY/WS95031 7000000.00 RODHIATUS SOLEHA</t>
  </si>
  <si>
    <t>2610/FTSCY/WS95051 59248200.00 Byr lb tgl 25/10 MANDALA MAJU MAPAN</t>
  </si>
  <si>
    <t>CONATO BAKERY NICO 6019009510239343</t>
  </si>
  <si>
    <t>2610/FTSCY/WS95051 181827060.00 AH FM HAIRUL 12/10 PHALOSARI UNGGUL J</t>
  </si>
  <si>
    <t>2610/FTSCY/WS95051 48189900.00 AH FM HAIRUL 14/10 PHALOSARI UNGGUL J</t>
  </si>
  <si>
    <t>2610/FTSCY/WS95051 57549250.00 AH FM HAIRUL 17/10 PHALOSARI UNGGUL J</t>
  </si>
  <si>
    <t>2610/FTSCY/WS95271 113711500.00 Sat Oct 24 2026 14:00:00 GMT+0700 (Western Indonesia Time) TABASSAM JAYA FARM</t>
  </si>
  <si>
    <t>2610/FTSCY/WS95271 109599700.00 Sat Oct 24 2026 14:00:00 GMT+0700 (Western Indonesia Time) BROILER MAKMUR TAN</t>
  </si>
  <si>
    <t>2610/FTFVA/WS95031 55569/PT PRIMA FAJ mlg - 40190</t>
  </si>
  <si>
    <t>2610/FTSCY/WS95051 67307340.00 SIDO RAYA UTAMA CV</t>
  </si>
  <si>
    <t>2610/FTSCY/WS95031 9434790.00 EKO SETIYAWAN</t>
  </si>
  <si>
    <t>2610/FTSCY/WS95031 59195250.00 SUGENG RIADI</t>
  </si>
  <si>
    <t>2610/FTSCY/WS95031 2642460.00 sisa 2.5 jt SUNARTO</t>
  </si>
  <si>
    <t>TRSF E-BANKING DB TANGGAL :26/10</t>
  </si>
  <si>
    <t>2610/FTSCY/WS95271 Sat Oct 24 2026 14:00:00 GMT+0700 (Western Indonesia Time) ANUGERAH KARTIKA A</t>
  </si>
  <si>
    <t>2610/FTSCY/WS95271 Sun Oct 25 2026 14:00:00 GMT+0700 (Western Indonesia Time) ROFIQ MASJHURI</t>
  </si>
  <si>
    <t>2610/FTSCY/WS95031 pelunasan ROFIQ MASJHURI</t>
  </si>
  <si>
    <t>TRSF E-BANKING CR TANGGAL :26/10</t>
  </si>
  <si>
    <t>2610/FTSCY/WS95031 lunas GATUT SETYO WIBOWO</t>
  </si>
  <si>
    <t>2610/FTSCY/WS95031 NURUL AINI</t>
  </si>
  <si>
    <t>27/10 /Z2921/00000 ZAINAL ARIFIN</t>
  </si>
  <si>
    <t>2710/FTSCY/WS95271 100000000.00 Bayar Ayam CBD RPA SBU ALDINI MARIA GUMIL</t>
  </si>
  <si>
    <t>2710/FTSCY/WS95271 54737250.00 Sun Oct 25 2026 14:00:00 GMT+0700 (Western Indonesia Time) TABASSAM AZ ZUFAR</t>
  </si>
  <si>
    <t>2710/FTSCY/WS95271 52539300.00 Sun Oct 25 2026 14:00:00 GMT+0700 (Western Indonesia Time) TABASSAM AL HATTAK</t>
  </si>
  <si>
    <t>2710/FTSCY/WS95271 36310300.00 Mon Oct 26 2026 14:00:00 GMT+0700 (Western Indonesia Time) ANUGERAH KARTIKA A</t>
  </si>
  <si>
    <t>2710/FTSCY/WS95271 5516020.00 krg 10 jt MUJIANTO</t>
  </si>
  <si>
    <t>2710/FTSCY/WS95271 1719110.00 HERMAWAN</t>
  </si>
  <si>
    <t>2710/FTSCY/WS95031 58808900.00 PT BJP RISSA SABILA</t>
  </si>
  <si>
    <t>2710/FTSCY/WS95271 7400000.00 TOTOK HIDAYAT</t>
  </si>
  <si>
    <t>2710/FTSCY/WS95051 178896580.00 AH FM HAIRUL 9/10 PHALOSARI UNGGUL J</t>
  </si>
  <si>
    <t>27/10  WSID9503102 1220 TELKOMSEL 82318368518 MUHAMMAD HAIRUL MA</t>
  </si>
  <si>
    <t>2710/FTSCY/WS95051 69438840.00 ah 3836.4x18100 GEMILANG INTI SUKS</t>
  </si>
  <si>
    <t>2710/FTSCY/WS95031 36404500.00 pelunasan SUGENG RIADI</t>
  </si>
  <si>
    <t>2710/FTSCY/WS95031 15000000.00 BRANTAS ABADI SENT</t>
  </si>
  <si>
    <t>2710/FTSCY/WS95271 75000000.00 pelunasan BROILER MAKMUR TAN</t>
  </si>
  <si>
    <t>2710/FTSCY/WS95031 20836970.00 EKO SETIYAWAN</t>
  </si>
  <si>
    <t>2710/FTSCY/WS95271 3000000.00 SUNARTO</t>
  </si>
  <si>
    <t>2710/FTSCY/WS95031 2879160.00 FAJAR ANDREANZAH</t>
  </si>
  <si>
    <t>2710/FTSCY/WS95011 109809030.00 Mon Oct 26 2026 14:00:00 GMT+0700 (Western Indonesia Time) RUKUN MITRA BERSAM</t>
  </si>
  <si>
    <t>2710/FTSCY/WS95051 338231900.00 SIDO RAYA UTAMA CV</t>
  </si>
  <si>
    <t>TARIKAN ATM 28/10</t>
  </si>
  <si>
    <t>2810/FTSCY/WS95011 175000000.00 BAYAR AYAM RPA SBU ALDINI MARIA GUMIL</t>
  </si>
  <si>
    <t>28/10  WSID9503102 0507 FIF 803001249921 MUHAMMAD HAIRUL MA</t>
  </si>
  <si>
    <t>2810/FTSCY/WS95031 2500000.00 BELA PRAMUDITA</t>
  </si>
  <si>
    <t>2810/FTSCY/WS95051 121966500.00 Byr lb tgl 27/10 MANDALA MAJU MAPAN</t>
  </si>
  <si>
    <t>2810/FTSCY/WS95011 100759020.00 Mon Oct 26 2026 14:00:00 GMT+0700 (Western Indonesia Time) BINTANG TAMA SANTO</t>
  </si>
  <si>
    <t>2810/FTSCY/WS95011 189883800.00 Mon Oct 26 2026 14:00:00 GMT+0700 (Western Indonesia Time) PITIK DIGITAL INDO</t>
  </si>
  <si>
    <t>2810/FTSCY/WS95011 51493750.00 Mon Oct 26 2026 14:00:00 GMT+0700 (Western Indonesia Time) BINTANG TAMA SANTO</t>
  </si>
  <si>
    <t>2810/FTSCY/WS95011 55958580.00 Mon Oct 26 2026 14:00:00 GMT+0700 (Western Indonesia Time) TUMBUH OPTIMAL PRI</t>
  </si>
  <si>
    <t>2810/FTSCY/WS95011 101870540.00 Mon Oct 26 2026 14:00:00 GMT+0700 (Western Indonesia Time) TABASSAM JAYA FARM</t>
  </si>
  <si>
    <t>2810/FTSCY/WS95271 6300000.00 pelunasan 26/10 TABASSAM JAYA FARM</t>
  </si>
  <si>
    <t>2810/FTSCY/WS95271 33010130.00 Mon Oct 26 2026 14:00:00 GMT+0700 (Western Indonesia Time) ANDALAN YASA MITRA</t>
  </si>
  <si>
    <t>2810/FTSCY/WS95271 52236800.00 Tue Oct 27 2026 14:00:00 GMT+0700 (Western Indonesia Time) ANUGERAH KARTIKA A</t>
  </si>
  <si>
    <t>2810/FTSCY/WS95271 56040250.00 Tue Oct 27 2026 14:00:00 GMT+0700 (Western Indonesia Time) LAWU ABADI NUSA PT</t>
  </si>
  <si>
    <t>2810/FTSCY/WS95271 2000000.00 DWI HERMANSYAH</t>
  </si>
  <si>
    <t>2810/FTSCY/WS95031 1255080.00 ANDE DOSO ANGGORO</t>
  </si>
  <si>
    <t>2810/FTSCY/WS95031 1212200.00 HERMAWAN</t>
  </si>
  <si>
    <t>TGL: 28/10 QR 008 00000.00PODO MORO</t>
  </si>
  <si>
    <t>2810/FTSCY/WS95031 200000.00 trims.. AHMAD MAMNUN</t>
  </si>
  <si>
    <t>SENJA COFFEE &amp; KIT 6019009510239343</t>
  </si>
  <si>
    <t>2810/FTSCY/WS95031 17657440.00 EKO SETIYAWAN</t>
  </si>
  <si>
    <t>2910/FTSCY/WS95051 122405090.00 SIDO RAYA UTAMA CV</t>
  </si>
  <si>
    <t>IDM TWUN-JELBUK 6019009510239343</t>
  </si>
  <si>
    <t>2910/FTSCY/WS95271 1650000.00 SUNARTO</t>
  </si>
  <si>
    <t>2910/FTSCY/WS95031 35000000.00 WAHYUDI</t>
  </si>
  <si>
    <t>3010/FTSCY/WS95051 2693170.00 sw 28/10 ERICKO HERMAWAN</t>
  </si>
  <si>
    <t>BIF TRANSFER KE 2 BUDIANTO MyBCA</t>
  </si>
  <si>
    <t>BIF BIAYA TXN KE 2 BUDIANTO MyBCA</t>
  </si>
  <si>
    <t>3010/FTFVA/WS95031 55569/PT PRIMA FAJ lmjg - 40190</t>
  </si>
  <si>
    <t>3010/FTSCY/WS95051 172118400.00 AH FM HAIRUL 13/10 PHALOSARI UNGGUL J</t>
  </si>
  <si>
    <t>3010/FTSCY/WS95051 45442870.00 AH FM HAIRUL 23/10 PHALOSARI UNGGUL J</t>
  </si>
  <si>
    <t>3010/FTSCY/WS95031 20306400.00 WAHYUDI</t>
  </si>
  <si>
    <t>3010/FTSCY/WS95011 169727400.00 Tue Oct 27 2026 14:00:00 GMT+0700 (Western Indonesia Time) PITIK DIGITAL INDO</t>
  </si>
  <si>
    <t>3010/FTSCY/WS95011 119477500.00 Fri Oct 30 2026 14:00:00 GMT+0700 (Western Indonesia Time) BINTANG TAMA SANTO</t>
  </si>
  <si>
    <t>3010/FTSCY/WS95031 19122000.00 NURUL AINI</t>
  </si>
  <si>
    <t>3010/FTSCY/WS95031 5000000.00 pelunasan BINTANG TAMA SANTO</t>
  </si>
  <si>
    <t>3010/FTSCY/WS95031 13706930.00 EKO SETIYAWAN</t>
  </si>
  <si>
    <t>3010/FTSCY/WS95031 1254080.00 5250000 FAJAR ANDREANZAH</t>
  </si>
  <si>
    <t>TRSF E-BANKING CR TANGGAL :30/10</t>
  </si>
  <si>
    <t>3010/FTSCY/WS95051 SIDO RAYA UTAMA CV</t>
  </si>
  <si>
    <t>3110/FTSCY/WS95271 51812250.00 Thu Oct 29 2026 14:00:00 GMT+0700 (Western Indonesia Time) BINTANG TAMA SANTO</t>
  </si>
  <si>
    <t>3110/FTSCY/WS95271 51415300.00 Thu Oct 29 2026 14:00:00 GMT+0700 (Western Indonesia Time) BINTANG TAMA SANTO</t>
  </si>
  <si>
    <t>3110/FTSCY/WS95271 38019600.00 Thu Oct 29 2026 14:00:00 GMT+0700 (Western Indonesia Time) TABASSAM AL HATTAK</t>
  </si>
  <si>
    <t>3110/FTSCY/WS95031 3167700.00 krg 10 jt MUJIANTO</t>
  </si>
  <si>
    <t>3110/FTSCY/WS95031 4750000.00 min 1.5 jt FAJAR ANDREANZAH</t>
  </si>
  <si>
    <t>3110/FTSCY/WS95031 2484380.00 MUJIANTO</t>
  </si>
  <si>
    <t>3110/FTSCY/WS95051 120721550.00 Byr lb tgl 30/10 MANDALA MAJU MAPAN</t>
  </si>
  <si>
    <t>3110/FTSCY/WS95031 1369130.00 EKO SETIYAWAN</t>
  </si>
  <si>
    <t>3110/FTSCY/WS95271 117597480.00 Thu Oct 29 2026 14:00:00 GMT+0700 (Western Indonesia Time) SUPER UNGGAS JAYA</t>
  </si>
  <si>
    <t>3110/FTSCY/WS95271 1321320.00 NURHAYATI</t>
  </si>
  <si>
    <t>3110/FTSCY/WS95051 1369130.00 sewa 30/10 ERICKO HERMAWAN</t>
  </si>
  <si>
    <t>TARIKAN ATM 31/10</t>
  </si>
  <si>
    <t>3110/FTSCY/WS95031 2000000.00 NURUL AINI</t>
  </si>
  <si>
    <t>3110/FTSCY/WS95031 6731830.00 Pelunasan Ayam Tgl 28 RPA SBU ALDINI MARIA GUMIL</t>
  </si>
  <si>
    <t>3110/FTSCY/WS95051 170074630.00 AH FM HAIRUL 14/10 PHALOSARI UNGGUL J</t>
  </si>
  <si>
    <t>3110/FTSCY/WS95051 169347200.00 AH FM HAIRUL 16/10 PHALOSARI UNGGUL J</t>
  </si>
  <si>
    <t>3110/FTSCY/WS95031 48357760.00 Thu Oct 29 2026 14:00:00 GMT+0700 (Western Indonesia Time) ANUGERAH KARTIKA A</t>
  </si>
  <si>
    <t>3110/FTSCY/WS95031 2642260.00 NURUL AINI</t>
  </si>
  <si>
    <t>3110/FTSCY/WS95031 2642260.00 SUNARTO</t>
  </si>
  <si>
    <t>3110/FTSCY/WS95031 16036900.00 EKO SETIYAWAN</t>
  </si>
  <si>
    <t>3110/FTSCY/WS95031 300000.00 EKO SETIYAWAN</t>
  </si>
  <si>
    <t>3110/FTSCY/WS95271 30000000.00 SUGENG RIADI</t>
  </si>
  <si>
    <t>3110/FTSCY/WS95031 15000000.00 SUGENG RIADI</t>
  </si>
  <si>
    <t>BUNGA</t>
  </si>
  <si>
    <t>PAJAK BUNGA</t>
  </si>
  <si>
    <t xml:space="preserve"> SALDO AWAL : MUTASI CR : MUTASI DB : SALDO AKHIR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</si>
</sst>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d&quot;/&quot;mm"/>
    <numFmt numFmtId="166" formatCode="d/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2" numFmtId="2" xfId="0" applyAlignment="1" applyFont="1" applyNumberFormat="1">
      <alignment vertical="bottom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2" fontId="1" numFmtId="166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Alignment="1" applyFill="1" applyFont="1" applyNumberFormat="1">
      <alignment readingOrder="0"/>
    </xf>
    <xf borderId="0" fillId="2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4.5"/>
  </cols>
  <sheetData>
    <row r="1">
      <c r="A1" s="1"/>
      <c r="B1" s="3"/>
      <c r="D1" s="4"/>
      <c r="E1" s="4"/>
      <c r="F1" s="4"/>
      <c r="G1" s="5"/>
      <c r="H1" s="5"/>
      <c r="I1" s="6"/>
    </row>
    <row r="2">
      <c r="A2" s="1">
        <v>46296.0</v>
      </c>
      <c r="B2" s="3" t="s">
        <v>0</v>
      </c>
      <c r="D2" s="4"/>
      <c r="E2" s="4">
        <f>SUM(E3:E625) </f>
        <v>19948084434</v>
      </c>
      <c r="F2" s="4"/>
      <c r="G2" s="5">
        <v>1.6079444909E8</v>
      </c>
      <c r="H2" s="5">
        <v>1.6079444909E8</v>
      </c>
      <c r="I2" s="6"/>
    </row>
    <row r="3">
      <c r="A3" s="1">
        <v>46296.0</v>
      </c>
      <c r="B3" s="3" t="s">
        <v>1</v>
      </c>
      <c r="C3" s="3" t="s">
        <v>2</v>
      </c>
      <c r="D3" s="5">
        <v>5.235E7</v>
      </c>
      <c r="E3" s="4"/>
      <c r="F3" s="5" t="s">
        <v>3</v>
      </c>
      <c r="G3" s="4">
        <f>G2-D3+E3</f>
        <v>108444449.1</v>
      </c>
      <c r="H3" s="5">
        <v>1.0844444909E8</v>
      </c>
      <c r="I3" s="6"/>
    </row>
    <row r="4">
      <c r="A4" s="1">
        <v>46296.0</v>
      </c>
      <c r="B4" s="3" t="s">
        <v>1</v>
      </c>
      <c r="C4" s="3" t="s">
        <v>4</v>
      </c>
      <c r="D4" s="5">
        <v>1340000.0</v>
      </c>
      <c r="E4" s="4"/>
      <c r="F4" s="5" t="s">
        <v>3</v>
      </c>
      <c r="G4" s="4">
        <f t="array" ref="G4:G625">SCAN(G3, MAP(D4:D625, E4:E625, LAMBDA(d, c, IF(AND(d="", c=""), "", N(c) - N(d)))), LAMBDA(saldo, mutasi, IF(mutasi="", "", saldo + mutasi)))</f>
        <v>107104449.1</v>
      </c>
      <c r="H4" s="5"/>
      <c r="I4" s="6"/>
    </row>
    <row r="5">
      <c r="A5" s="1">
        <v>46296.0</v>
      </c>
      <c r="B5" s="3" t="s">
        <v>1</v>
      </c>
      <c r="C5" s="3" t="s">
        <v>5</v>
      </c>
      <c r="D5" s="5">
        <v>4312640.0</v>
      </c>
      <c r="E5" s="4"/>
      <c r="F5" s="5" t="s">
        <v>3</v>
      </c>
      <c r="G5" s="4">
        <v>1.0279180909E8</v>
      </c>
      <c r="H5" s="5"/>
      <c r="I5" s="6"/>
    </row>
    <row r="6">
      <c r="A6" s="1">
        <v>46296.0</v>
      </c>
      <c r="B6" s="3" t="s">
        <v>1</v>
      </c>
      <c r="C6" s="3" t="s">
        <v>6</v>
      </c>
      <c r="D6" s="5">
        <v>5947060.0</v>
      </c>
      <c r="E6" s="4"/>
      <c r="F6" s="5" t="s">
        <v>3</v>
      </c>
      <c r="G6" s="4">
        <v>9.684474909E7</v>
      </c>
      <c r="H6" s="5"/>
      <c r="I6" s="6"/>
    </row>
    <row r="7">
      <c r="A7" s="1">
        <v>46296.0</v>
      </c>
      <c r="B7" s="3" t="s">
        <v>1</v>
      </c>
      <c r="C7" s="3" t="s">
        <v>7</v>
      </c>
      <c r="D7" s="5">
        <v>2000000.0</v>
      </c>
      <c r="E7" s="4"/>
      <c r="F7" s="5" t="s">
        <v>3</v>
      </c>
      <c r="G7" s="4">
        <v>9.484474909E7</v>
      </c>
      <c r="H7" s="5"/>
      <c r="I7" s="6" t="s">
        <v>8</v>
      </c>
    </row>
    <row r="8">
      <c r="A8" s="1">
        <v>46296.0</v>
      </c>
      <c r="B8" s="3" t="s">
        <v>1</v>
      </c>
      <c r="C8" s="3" t="s">
        <v>9</v>
      </c>
      <c r="D8" s="5">
        <v>8.911379E7</v>
      </c>
      <c r="E8" s="4"/>
      <c r="F8" s="5" t="s">
        <v>3</v>
      </c>
      <c r="G8" s="4">
        <v>5730959.090000004</v>
      </c>
      <c r="H8" s="5"/>
      <c r="I8" s="6" t="s">
        <v>8</v>
      </c>
    </row>
    <row r="9">
      <c r="A9" s="1">
        <v>46296.0</v>
      </c>
      <c r="B9" s="3" t="s">
        <v>10</v>
      </c>
      <c r="C9" s="3" t="s">
        <v>11</v>
      </c>
      <c r="D9" s="5"/>
      <c r="E9" s="5">
        <v>1.962523E7</v>
      </c>
      <c r="F9" s="5" t="s">
        <v>12</v>
      </c>
      <c r="G9" s="4">
        <v>2.5356189090000004E7</v>
      </c>
      <c r="H9" s="4"/>
      <c r="I9" s="6" t="s">
        <v>13</v>
      </c>
    </row>
    <row r="10">
      <c r="A10" s="1">
        <v>46296.0</v>
      </c>
      <c r="B10" s="3" t="s">
        <v>10</v>
      </c>
      <c r="C10" s="3" t="s">
        <v>14</v>
      </c>
      <c r="D10" s="5"/>
      <c r="E10" s="5">
        <v>5.0E7</v>
      </c>
      <c r="F10" s="5" t="s">
        <v>12</v>
      </c>
      <c r="G10" s="4">
        <v>7.535618909E7</v>
      </c>
      <c r="H10" s="5">
        <v>7.535618909E7</v>
      </c>
      <c r="I10" s="6" t="s">
        <v>8</v>
      </c>
    </row>
    <row r="11">
      <c r="A11" s="1">
        <v>46297.0</v>
      </c>
      <c r="B11" s="3" t="s">
        <v>15</v>
      </c>
      <c r="C11" s="3" t="s">
        <v>16</v>
      </c>
      <c r="D11" s="5">
        <v>5.85195E7</v>
      </c>
      <c r="E11" s="4"/>
      <c r="F11" s="5" t="s">
        <v>3</v>
      </c>
      <c r="G11" s="4">
        <v>1.6836689090000004E7</v>
      </c>
      <c r="H11" s="5"/>
      <c r="I11" s="6" t="s">
        <v>8</v>
      </c>
    </row>
    <row r="12">
      <c r="A12" s="1">
        <v>46297.0</v>
      </c>
      <c r="B12" s="3" t="s">
        <v>17</v>
      </c>
      <c r="C12" s="3" t="s">
        <v>18</v>
      </c>
      <c r="D12" s="5"/>
      <c r="E12" s="5">
        <v>5.252E7</v>
      </c>
      <c r="F12" s="5" t="s">
        <v>12</v>
      </c>
      <c r="G12" s="4">
        <v>6.935668909E7</v>
      </c>
      <c r="H12" s="4"/>
      <c r="I12" s="6" t="s">
        <v>8</v>
      </c>
    </row>
    <row r="13">
      <c r="A13" s="1">
        <v>46297.0</v>
      </c>
      <c r="B13" s="3" t="s">
        <v>15</v>
      </c>
      <c r="C13" s="3" t="s">
        <v>19</v>
      </c>
      <c r="D13" s="5">
        <v>4.0E7</v>
      </c>
      <c r="E13" s="4"/>
      <c r="F13" s="5" t="s">
        <v>3</v>
      </c>
      <c r="G13" s="4">
        <v>2.9356689090000004E7</v>
      </c>
      <c r="H13" s="5"/>
      <c r="I13" s="6" t="s">
        <v>8</v>
      </c>
    </row>
    <row r="14">
      <c r="A14" s="1">
        <v>46297.0</v>
      </c>
      <c r="B14" s="3" t="s">
        <v>15</v>
      </c>
      <c r="C14" s="3" t="s">
        <v>20</v>
      </c>
      <c r="D14" s="5">
        <v>2.923465E7</v>
      </c>
      <c r="E14" s="4"/>
      <c r="F14" s="5" t="s">
        <v>3</v>
      </c>
      <c r="G14" s="4">
        <v>122039.09000000358</v>
      </c>
      <c r="H14" s="5"/>
      <c r="I14" s="6" t="s">
        <v>8</v>
      </c>
    </row>
    <row r="15">
      <c r="A15" s="1">
        <v>46297.0</v>
      </c>
      <c r="B15" s="3" t="s">
        <v>10</v>
      </c>
      <c r="C15" s="3" t="s">
        <v>21</v>
      </c>
      <c r="D15" s="5"/>
      <c r="E15" s="5">
        <v>1.685E7</v>
      </c>
      <c r="F15" s="5" t="s">
        <v>12</v>
      </c>
      <c r="G15" s="4">
        <v>1.6972039090000004E7</v>
      </c>
      <c r="H15" s="5">
        <v>1.697203909E7</v>
      </c>
      <c r="I15" s="6" t="s">
        <v>8</v>
      </c>
    </row>
    <row r="16">
      <c r="A16" s="1">
        <v>46297.0</v>
      </c>
      <c r="B16" s="3" t="s">
        <v>1</v>
      </c>
      <c r="C16" s="3" t="s">
        <v>22</v>
      </c>
      <c r="D16" s="5">
        <v>715500.0</v>
      </c>
      <c r="E16" s="4"/>
      <c r="F16" s="5" t="s">
        <v>3</v>
      </c>
      <c r="G16" s="4">
        <v>1.6256539090000004E7</v>
      </c>
      <c r="H16" s="5">
        <v>1.625653909E7</v>
      </c>
      <c r="I16" s="6" t="s">
        <v>8</v>
      </c>
    </row>
    <row r="17">
      <c r="A17" s="1">
        <v>46297.0</v>
      </c>
      <c r="B17" s="3" t="s">
        <v>1</v>
      </c>
      <c r="C17" s="3" t="s">
        <v>23</v>
      </c>
      <c r="D17" s="5">
        <v>1.62E7</v>
      </c>
      <c r="E17" s="4"/>
      <c r="F17" s="5" t="s">
        <v>3</v>
      </c>
      <c r="G17" s="4">
        <v>56539.090000003576</v>
      </c>
      <c r="H17" s="4"/>
      <c r="I17" s="6" t="s">
        <v>8</v>
      </c>
    </row>
    <row r="18">
      <c r="A18" s="1">
        <v>46297.0</v>
      </c>
      <c r="B18" s="3" t="s">
        <v>10</v>
      </c>
      <c r="C18" s="3" t="s">
        <v>24</v>
      </c>
      <c r="D18" s="5"/>
      <c r="E18" s="5">
        <v>1.0E8</v>
      </c>
      <c r="F18" s="5" t="s">
        <v>12</v>
      </c>
      <c r="G18" s="4">
        <v>1.0005653909E8</v>
      </c>
      <c r="H18" s="4"/>
      <c r="I18" s="6" t="s">
        <v>8</v>
      </c>
    </row>
    <row r="19">
      <c r="A19" s="1">
        <v>46297.0</v>
      </c>
      <c r="B19" s="3" t="s">
        <v>10</v>
      </c>
      <c r="C19" s="3" t="s">
        <v>25</v>
      </c>
      <c r="D19" s="5"/>
      <c r="E19" s="5">
        <v>2.0E8</v>
      </c>
      <c r="F19" s="5" t="s">
        <v>12</v>
      </c>
      <c r="G19" s="4">
        <v>3.0005653909000003E8</v>
      </c>
      <c r="H19" s="4"/>
      <c r="I19" s="6" t="s">
        <v>8</v>
      </c>
    </row>
    <row r="20">
      <c r="A20" s="1">
        <v>46297.0</v>
      </c>
      <c r="B20" s="3" t="s">
        <v>10</v>
      </c>
      <c r="C20" s="3" t="s">
        <v>26</v>
      </c>
      <c r="D20" s="5"/>
      <c r="E20" s="5">
        <v>1.4136E8</v>
      </c>
      <c r="F20" s="5" t="s">
        <v>12</v>
      </c>
      <c r="G20" s="4">
        <v>4.4141653909000003E8</v>
      </c>
      <c r="H20" s="4"/>
      <c r="I20" s="6" t="s">
        <v>8</v>
      </c>
    </row>
    <row r="21">
      <c r="A21" s="1">
        <v>46297.0</v>
      </c>
      <c r="B21" s="3" t="s">
        <v>10</v>
      </c>
      <c r="C21" s="3" t="s">
        <v>27</v>
      </c>
      <c r="D21" s="5"/>
      <c r="E21" s="5">
        <v>312480.0</v>
      </c>
      <c r="F21" s="5" t="s">
        <v>12</v>
      </c>
      <c r="G21" s="4">
        <v>4.4172901909000003E8</v>
      </c>
      <c r="H21" s="4"/>
      <c r="I21" s="6" t="s">
        <v>8</v>
      </c>
    </row>
    <row r="22">
      <c r="A22" s="1">
        <v>46297.0</v>
      </c>
      <c r="B22" s="3" t="s">
        <v>1</v>
      </c>
      <c r="C22" s="3" t="s">
        <v>28</v>
      </c>
      <c r="D22" s="5">
        <v>1.488689E8</v>
      </c>
      <c r="E22" s="4"/>
      <c r="F22" s="5" t="s">
        <v>3</v>
      </c>
      <c r="G22" s="4">
        <v>2.9286011909000003E8</v>
      </c>
      <c r="H22" s="4"/>
      <c r="I22" s="6" t="s">
        <v>8</v>
      </c>
    </row>
    <row r="23">
      <c r="A23" s="1">
        <v>46297.0</v>
      </c>
      <c r="B23" s="3" t="s">
        <v>1</v>
      </c>
      <c r="C23" s="3" t="s">
        <v>29</v>
      </c>
      <c r="D23" s="5">
        <v>5.7E7</v>
      </c>
      <c r="E23" s="4"/>
      <c r="F23" s="5" t="s">
        <v>3</v>
      </c>
      <c r="G23" s="4">
        <v>2.3586011909000003E8</v>
      </c>
      <c r="H23" s="4"/>
      <c r="I23" s="6"/>
    </row>
    <row r="24">
      <c r="A24" s="1">
        <v>46297.0</v>
      </c>
      <c r="B24" s="3" t="s">
        <v>1</v>
      </c>
      <c r="C24" s="3" t="s">
        <v>30</v>
      </c>
      <c r="D24" s="5">
        <v>1.27232E8</v>
      </c>
      <c r="E24" s="4"/>
      <c r="F24" s="5" t="s">
        <v>3</v>
      </c>
      <c r="G24" s="4">
        <v>1.0862811909000003E8</v>
      </c>
      <c r="H24" s="4"/>
      <c r="I24" s="6"/>
    </row>
    <row r="25">
      <c r="A25" s="1">
        <v>46297.0</v>
      </c>
      <c r="B25" s="3" t="s">
        <v>1</v>
      </c>
      <c r="C25" s="3" t="s">
        <v>31</v>
      </c>
      <c r="D25" s="5">
        <v>6.825E7</v>
      </c>
      <c r="E25" s="4"/>
      <c r="F25" s="5" t="s">
        <v>3</v>
      </c>
      <c r="G25" s="4">
        <v>4.037811909000003E7</v>
      </c>
      <c r="H25" s="4"/>
      <c r="I25" s="6" t="s">
        <v>8</v>
      </c>
    </row>
    <row r="26">
      <c r="A26" s="1">
        <v>46297.0</v>
      </c>
      <c r="B26" s="3" t="s">
        <v>1</v>
      </c>
      <c r="C26" s="3" t="s">
        <v>32</v>
      </c>
      <c r="D26" s="5">
        <v>1.2E7</v>
      </c>
      <c r="E26" s="4"/>
      <c r="F26" s="5" t="s">
        <v>3</v>
      </c>
      <c r="G26" s="4">
        <v>2.8378119090000033E7</v>
      </c>
      <c r="H26" s="4"/>
      <c r="I26" s="6"/>
    </row>
    <row r="27">
      <c r="A27" s="1">
        <v>46297.0</v>
      </c>
      <c r="B27" s="3" t="s">
        <v>33</v>
      </c>
      <c r="C27" s="3" t="s">
        <v>34</v>
      </c>
      <c r="D27" s="5">
        <v>47000.0</v>
      </c>
      <c r="E27" s="4"/>
      <c r="F27" s="5" t="s">
        <v>3</v>
      </c>
      <c r="G27" s="4">
        <v>2.8331119090000033E7</v>
      </c>
      <c r="H27" s="4"/>
      <c r="I27" s="6"/>
    </row>
    <row r="28">
      <c r="A28" s="1">
        <v>46297.0</v>
      </c>
      <c r="B28" s="3" t="s">
        <v>33</v>
      </c>
      <c r="C28" s="3" t="s">
        <v>35</v>
      </c>
      <c r="D28" s="5">
        <v>2500.0</v>
      </c>
      <c r="E28" s="4"/>
      <c r="F28" s="5" t="s">
        <v>3</v>
      </c>
      <c r="G28" s="4">
        <v>2.8328619090000033E7</v>
      </c>
      <c r="H28" s="5">
        <v>2.832861909E7</v>
      </c>
      <c r="I28" s="6" t="s">
        <v>8</v>
      </c>
    </row>
    <row r="29">
      <c r="A29" s="1">
        <v>46297.0</v>
      </c>
      <c r="B29" s="3" t="s">
        <v>1</v>
      </c>
      <c r="C29" s="3" t="s">
        <v>36</v>
      </c>
      <c r="D29" s="5">
        <v>3100000.0</v>
      </c>
      <c r="E29" s="4"/>
      <c r="F29" s="5" t="s">
        <v>3</v>
      </c>
      <c r="G29" s="4">
        <v>2.5228619090000033E7</v>
      </c>
      <c r="H29" s="5">
        <v>2.522861909E7</v>
      </c>
      <c r="I29" s="6" t="s">
        <v>8</v>
      </c>
    </row>
    <row r="30">
      <c r="A30" s="1">
        <v>46298.0</v>
      </c>
      <c r="B30" s="3" t="s">
        <v>37</v>
      </c>
      <c r="C30" s="3" t="s">
        <v>38</v>
      </c>
      <c r="D30" s="5"/>
      <c r="E30" s="5">
        <v>1.8846389E8</v>
      </c>
      <c r="F30" s="5" t="s">
        <v>12</v>
      </c>
      <c r="G30" s="4">
        <v>2.1369250909000003E8</v>
      </c>
      <c r="H30" s="4"/>
      <c r="I30" s="6"/>
    </row>
    <row r="31">
      <c r="A31" s="1">
        <v>46298.0</v>
      </c>
      <c r="B31" s="3" t="s">
        <v>37</v>
      </c>
      <c r="C31" s="3" t="s">
        <v>39</v>
      </c>
      <c r="D31" s="5"/>
      <c r="E31" s="5">
        <v>6.5E7</v>
      </c>
      <c r="F31" s="5" t="s">
        <v>12</v>
      </c>
      <c r="G31" s="4">
        <v>2.7869250909000003E8</v>
      </c>
      <c r="H31" s="4"/>
      <c r="I31" s="6" t="s">
        <v>8</v>
      </c>
    </row>
    <row r="32">
      <c r="A32" s="1">
        <v>46298.0</v>
      </c>
      <c r="B32" s="3" t="s">
        <v>37</v>
      </c>
      <c r="C32" s="3" t="s">
        <v>40</v>
      </c>
      <c r="D32" s="5"/>
      <c r="E32" s="5">
        <v>4.454908E7</v>
      </c>
      <c r="F32" s="5" t="s">
        <v>12</v>
      </c>
      <c r="G32" s="4">
        <v>3.2324158909000003E8</v>
      </c>
      <c r="H32" s="4"/>
      <c r="I32" s="6" t="s">
        <v>8</v>
      </c>
    </row>
    <row r="33">
      <c r="A33" s="1">
        <v>46298.0</v>
      </c>
      <c r="B33" s="3" t="s">
        <v>41</v>
      </c>
      <c r="C33" s="3" t="s">
        <v>42</v>
      </c>
      <c r="D33" s="5">
        <v>2.41878E8</v>
      </c>
      <c r="E33" s="4"/>
      <c r="F33" s="5" t="s">
        <v>3</v>
      </c>
      <c r="G33" s="4">
        <v>8.136358909000003E7</v>
      </c>
      <c r="H33" s="4"/>
      <c r="I33" s="6"/>
    </row>
    <row r="34">
      <c r="A34" s="1">
        <v>46298.0</v>
      </c>
      <c r="B34" s="3" t="s">
        <v>1</v>
      </c>
      <c r="C34" s="3" t="s">
        <v>43</v>
      </c>
      <c r="D34" s="5">
        <v>5.97276E7</v>
      </c>
      <c r="E34" s="4"/>
      <c r="F34" s="5" t="s">
        <v>3</v>
      </c>
      <c r="G34" s="4">
        <v>2.1635989090000033E7</v>
      </c>
      <c r="H34" s="4"/>
      <c r="I34" s="6"/>
    </row>
    <row r="35">
      <c r="A35" s="1">
        <v>46298.0</v>
      </c>
      <c r="B35" s="3" t="s">
        <v>1</v>
      </c>
      <c r="C35" s="3" t="s">
        <v>44</v>
      </c>
      <c r="D35" s="5">
        <v>1543000.0</v>
      </c>
      <c r="E35" s="4"/>
      <c r="F35" s="5" t="s">
        <v>3</v>
      </c>
      <c r="G35" s="4">
        <v>2.0092989090000033E7</v>
      </c>
      <c r="H35" s="4"/>
      <c r="I35" s="6" t="s">
        <v>45</v>
      </c>
    </row>
    <row r="36">
      <c r="A36" s="1">
        <v>46298.0</v>
      </c>
      <c r="B36" s="3" t="s">
        <v>10</v>
      </c>
      <c r="C36" s="3" t="s">
        <v>46</v>
      </c>
      <c r="D36" s="5"/>
      <c r="E36" s="5">
        <v>6.4407E7</v>
      </c>
      <c r="F36" s="5" t="s">
        <v>12</v>
      </c>
      <c r="G36" s="4">
        <v>8.449998909000003E7</v>
      </c>
      <c r="H36" s="4"/>
      <c r="I36" s="6" t="s">
        <v>45</v>
      </c>
    </row>
    <row r="37">
      <c r="A37" s="1">
        <v>46298.0</v>
      </c>
      <c r="B37" s="3" t="s">
        <v>10</v>
      </c>
      <c r="C37" s="3" t="s">
        <v>47</v>
      </c>
      <c r="D37" s="5"/>
      <c r="E37" s="5">
        <v>6.65256E7</v>
      </c>
      <c r="F37" s="5" t="s">
        <v>12</v>
      </c>
      <c r="G37" s="4">
        <v>1.5102558909000003E8</v>
      </c>
      <c r="H37" s="4"/>
      <c r="I37" s="6" t="s">
        <v>8</v>
      </c>
    </row>
    <row r="38">
      <c r="A38" s="1">
        <v>46298.0</v>
      </c>
      <c r="B38" s="3" t="s">
        <v>48</v>
      </c>
      <c r="C38" s="3" t="s">
        <v>49</v>
      </c>
      <c r="D38" s="5">
        <v>27000.0</v>
      </c>
      <c r="E38" s="4"/>
      <c r="F38" s="4"/>
      <c r="G38" s="4">
        <v>1.5099858909000003E8</v>
      </c>
      <c r="H38" s="4"/>
      <c r="I38" s="6" t="s">
        <v>8</v>
      </c>
    </row>
    <row r="39">
      <c r="A39" s="1">
        <v>46298.0</v>
      </c>
      <c r="B39" s="3" t="s">
        <v>1</v>
      </c>
      <c r="C39" s="3" t="s">
        <v>50</v>
      </c>
      <c r="D39" s="5">
        <v>1.4316248E8</v>
      </c>
      <c r="E39" s="4"/>
      <c r="F39" s="5" t="s">
        <v>3</v>
      </c>
      <c r="G39" s="4">
        <v>7836109.090000033</v>
      </c>
      <c r="H39" s="4"/>
      <c r="I39" s="6" t="s">
        <v>45</v>
      </c>
    </row>
    <row r="40">
      <c r="A40" s="1">
        <v>46298.0</v>
      </c>
      <c r="B40" s="3" t="s">
        <v>10</v>
      </c>
      <c r="C40" s="3" t="s">
        <v>51</v>
      </c>
      <c r="D40" s="5"/>
      <c r="E40" s="5">
        <v>1.9162445E8</v>
      </c>
      <c r="F40" s="5" t="s">
        <v>12</v>
      </c>
      <c r="G40" s="4">
        <v>1.9946055909000003E8</v>
      </c>
      <c r="H40" s="4"/>
      <c r="I40" s="6" t="s">
        <v>8</v>
      </c>
    </row>
    <row r="41">
      <c r="A41" s="1">
        <v>46298.0</v>
      </c>
      <c r="B41" s="3" t="s">
        <v>1</v>
      </c>
      <c r="C41" s="3" t="s">
        <v>52</v>
      </c>
      <c r="D41" s="5">
        <v>5.901364E7</v>
      </c>
      <c r="E41" s="4"/>
      <c r="F41" s="5" t="s">
        <v>3</v>
      </c>
      <c r="G41" s="4">
        <v>1.4044691909000003E8</v>
      </c>
      <c r="H41" s="5">
        <v>1.4044691909E8</v>
      </c>
      <c r="I41" s="6"/>
    </row>
    <row r="42">
      <c r="A42" s="1">
        <v>46298.0</v>
      </c>
      <c r="B42" s="3" t="s">
        <v>53</v>
      </c>
      <c r="C42" s="3" t="s">
        <v>53</v>
      </c>
      <c r="D42" s="5">
        <v>500000.0</v>
      </c>
      <c r="E42" s="4"/>
      <c r="F42" s="4"/>
      <c r="G42" s="4">
        <v>1.3994691909000003E8</v>
      </c>
      <c r="H42" s="5">
        <v>1.3994691909E8</v>
      </c>
      <c r="I42" s="6"/>
    </row>
    <row r="43">
      <c r="A43" s="1">
        <v>46298.0</v>
      </c>
      <c r="B43" s="3" t="s">
        <v>1</v>
      </c>
      <c r="C43" s="3" t="s">
        <v>54</v>
      </c>
      <c r="D43" s="5">
        <v>6.433812E7</v>
      </c>
      <c r="E43" s="4"/>
      <c r="F43" s="5" t="s">
        <v>3</v>
      </c>
      <c r="G43" s="4">
        <v>7.560879909000003E7</v>
      </c>
      <c r="H43" s="4"/>
      <c r="I43" s="6" t="s">
        <v>8</v>
      </c>
    </row>
    <row r="44">
      <c r="A44" s="1">
        <v>46298.0</v>
      </c>
      <c r="B44" s="3" t="s">
        <v>10</v>
      </c>
      <c r="C44" s="3" t="s">
        <v>55</v>
      </c>
      <c r="D44" s="5"/>
      <c r="E44" s="5">
        <v>7.258E7</v>
      </c>
      <c r="F44" s="5" t="s">
        <v>12</v>
      </c>
      <c r="G44" s="4">
        <v>1.4818879909000003E8</v>
      </c>
      <c r="H44" s="4"/>
      <c r="I44" s="6" t="s">
        <v>8</v>
      </c>
    </row>
    <row r="45">
      <c r="A45" s="1">
        <v>46298.0</v>
      </c>
      <c r="B45" s="3" t="s">
        <v>10</v>
      </c>
      <c r="C45" s="3" t="s">
        <v>56</v>
      </c>
      <c r="D45" s="5"/>
      <c r="E45" s="5">
        <v>6.06E7</v>
      </c>
      <c r="F45" s="5" t="s">
        <v>12</v>
      </c>
      <c r="G45" s="4">
        <v>2.0878879909000003E8</v>
      </c>
      <c r="H45" s="4"/>
      <c r="I45" s="6"/>
    </row>
    <row r="46">
      <c r="A46" s="1">
        <v>46298.0</v>
      </c>
      <c r="B46" s="3" t="s">
        <v>10</v>
      </c>
      <c r="C46" s="3" t="s">
        <v>57</v>
      </c>
      <c r="D46" s="5"/>
      <c r="E46" s="5">
        <v>1.0E8</v>
      </c>
      <c r="F46" s="5" t="s">
        <v>12</v>
      </c>
      <c r="G46" s="4">
        <v>3.0878879909000003E8</v>
      </c>
      <c r="H46" s="4"/>
      <c r="I46" s="6" t="s">
        <v>8</v>
      </c>
    </row>
    <row r="47">
      <c r="A47" s="1">
        <v>46298.0</v>
      </c>
      <c r="B47" s="3" t="s">
        <v>10</v>
      </c>
      <c r="C47" s="3" t="s">
        <v>58</v>
      </c>
      <c r="D47" s="5"/>
      <c r="E47" s="5">
        <v>1.2642244E8</v>
      </c>
      <c r="F47" s="5" t="s">
        <v>12</v>
      </c>
      <c r="G47" s="4">
        <v>4.3521123909000003E8</v>
      </c>
      <c r="H47" s="4"/>
      <c r="I47" s="6" t="s">
        <v>8</v>
      </c>
    </row>
    <row r="48">
      <c r="A48" s="1">
        <v>46298.0</v>
      </c>
      <c r="B48" s="3" t="s">
        <v>33</v>
      </c>
      <c r="C48" s="3" t="s">
        <v>59</v>
      </c>
      <c r="D48" s="5">
        <v>200000.0</v>
      </c>
      <c r="E48" s="4"/>
      <c r="F48" s="5" t="s">
        <v>3</v>
      </c>
      <c r="G48" s="4">
        <v>4.3501123909000003E8</v>
      </c>
      <c r="H48" s="4"/>
      <c r="I48" s="6" t="s">
        <v>8</v>
      </c>
    </row>
    <row r="49">
      <c r="A49" s="1">
        <v>46298.0</v>
      </c>
      <c r="B49" s="3" t="s">
        <v>33</v>
      </c>
      <c r="C49" s="3" t="s">
        <v>60</v>
      </c>
      <c r="D49" s="5">
        <v>2500.0</v>
      </c>
      <c r="E49" s="4"/>
      <c r="F49" s="5" t="s">
        <v>3</v>
      </c>
      <c r="G49" s="4">
        <v>4.3500873909000003E8</v>
      </c>
      <c r="H49" s="4"/>
      <c r="I49" s="6" t="s">
        <v>8</v>
      </c>
    </row>
    <row r="50">
      <c r="A50" s="1">
        <v>46298.0</v>
      </c>
      <c r="B50" s="3" t="s">
        <v>10</v>
      </c>
      <c r="C50" s="3" t="s">
        <v>61</v>
      </c>
      <c r="D50" s="5"/>
      <c r="E50" s="5">
        <v>5.557972E7</v>
      </c>
      <c r="F50" s="5" t="s">
        <v>12</v>
      </c>
      <c r="G50" s="4">
        <v>4.9058845909000003E8</v>
      </c>
      <c r="H50" s="4"/>
      <c r="I50" s="6" t="s">
        <v>8</v>
      </c>
    </row>
    <row r="51">
      <c r="A51" s="1">
        <v>46298.0</v>
      </c>
      <c r="B51" s="3" t="s">
        <v>10</v>
      </c>
      <c r="C51" s="3" t="s">
        <v>62</v>
      </c>
      <c r="D51" s="5"/>
      <c r="E51" s="5">
        <v>2.320838E8</v>
      </c>
      <c r="F51" s="5" t="s">
        <v>12</v>
      </c>
      <c r="G51" s="4">
        <v>7.2267225909E8</v>
      </c>
      <c r="H51" s="4"/>
      <c r="I51" s="6"/>
    </row>
    <row r="52">
      <c r="A52" s="1">
        <v>46298.0</v>
      </c>
      <c r="B52" s="3" t="s">
        <v>1</v>
      </c>
      <c r="C52" s="3" t="s">
        <v>63</v>
      </c>
      <c r="D52" s="5">
        <v>1.592719E7</v>
      </c>
      <c r="E52" s="4"/>
      <c r="F52" s="5" t="s">
        <v>3</v>
      </c>
      <c r="G52" s="4">
        <v>7.0674506909E8</v>
      </c>
      <c r="H52" s="4"/>
      <c r="I52" s="6" t="s">
        <v>8</v>
      </c>
    </row>
    <row r="53">
      <c r="A53" s="1">
        <v>46298.0</v>
      </c>
      <c r="B53" s="3" t="s">
        <v>1</v>
      </c>
      <c r="C53" s="3" t="s">
        <v>64</v>
      </c>
      <c r="D53" s="5">
        <v>1000000.0</v>
      </c>
      <c r="E53" s="4"/>
      <c r="F53" s="5" t="s">
        <v>3</v>
      </c>
      <c r="G53" s="4">
        <v>7.0574506909E8</v>
      </c>
      <c r="H53" s="5">
        <v>7.0574506909E8</v>
      </c>
      <c r="I53" s="6"/>
    </row>
    <row r="54">
      <c r="A54" s="1">
        <v>46299.0</v>
      </c>
      <c r="B54" s="3" t="s">
        <v>65</v>
      </c>
      <c r="C54" s="3" t="s">
        <v>66</v>
      </c>
      <c r="D54" s="5">
        <v>4.4108E7</v>
      </c>
      <c r="E54" s="4"/>
      <c r="F54" s="5" t="s">
        <v>3</v>
      </c>
      <c r="G54" s="4">
        <v>6.6163706909E8</v>
      </c>
      <c r="H54" s="4"/>
      <c r="I54" s="6" t="s">
        <v>8</v>
      </c>
    </row>
    <row r="55">
      <c r="A55" s="1">
        <v>46299.0</v>
      </c>
      <c r="B55" s="3" t="s">
        <v>65</v>
      </c>
      <c r="C55" s="3" t="s">
        <v>67</v>
      </c>
      <c r="D55" s="5">
        <v>5.72185E7</v>
      </c>
      <c r="E55" s="4"/>
      <c r="F55" s="5" t="s">
        <v>3</v>
      </c>
      <c r="G55" s="4">
        <v>6.0441856909E8</v>
      </c>
      <c r="H55" s="5">
        <v>6.0441856909E8</v>
      </c>
      <c r="I55" s="6" t="s">
        <v>8</v>
      </c>
    </row>
    <row r="56">
      <c r="A56" s="1">
        <v>46299.0</v>
      </c>
      <c r="B56" s="3" t="s">
        <v>65</v>
      </c>
      <c r="C56" s="3" t="s">
        <v>68</v>
      </c>
      <c r="D56" s="5">
        <v>5.6904E7</v>
      </c>
      <c r="E56" s="4"/>
      <c r="F56" s="5" t="s">
        <v>3</v>
      </c>
      <c r="G56" s="4">
        <v>5.4751456909E8</v>
      </c>
      <c r="H56" s="5">
        <v>5.4751456909E8</v>
      </c>
      <c r="I56" s="6" t="s">
        <v>8</v>
      </c>
    </row>
    <row r="57">
      <c r="A57" s="1">
        <v>46299.0</v>
      </c>
      <c r="B57" s="3" t="s">
        <v>65</v>
      </c>
      <c r="C57" s="3" t="s">
        <v>69</v>
      </c>
      <c r="D57" s="5">
        <v>5.93385E7</v>
      </c>
      <c r="E57" s="4"/>
      <c r="F57" s="5" t="s">
        <v>3</v>
      </c>
      <c r="G57" s="4">
        <v>4.8817606909000003E8</v>
      </c>
      <c r="H57" s="4"/>
      <c r="I57" s="6"/>
    </row>
    <row r="58">
      <c r="A58" s="1">
        <v>46299.0</v>
      </c>
      <c r="B58" s="3" t="s">
        <v>65</v>
      </c>
      <c r="C58" s="3" t="s">
        <v>70</v>
      </c>
      <c r="D58" s="5">
        <v>1.8896525E8</v>
      </c>
      <c r="E58" s="4"/>
      <c r="F58" s="5" t="s">
        <v>3</v>
      </c>
      <c r="G58" s="4">
        <v>2.9921081909000003E8</v>
      </c>
      <c r="H58" s="4"/>
      <c r="I58" s="6" t="s">
        <v>8</v>
      </c>
    </row>
    <row r="59">
      <c r="A59" s="1">
        <v>46299.0</v>
      </c>
      <c r="B59" s="3" t="s">
        <v>65</v>
      </c>
      <c r="C59" s="3" t="s">
        <v>71</v>
      </c>
      <c r="D59" s="5">
        <v>9.346486E7</v>
      </c>
      <c r="E59" s="4"/>
      <c r="F59" s="5" t="s">
        <v>3</v>
      </c>
      <c r="G59" s="4">
        <v>2.0574595909000003E8</v>
      </c>
      <c r="H59" s="4"/>
      <c r="I59" s="6" t="s">
        <v>8</v>
      </c>
    </row>
    <row r="60">
      <c r="A60" s="1">
        <v>46299.0</v>
      </c>
      <c r="B60" s="3" t="s">
        <v>65</v>
      </c>
      <c r="C60" s="3" t="s">
        <v>72</v>
      </c>
      <c r="D60" s="5">
        <v>9.2128E7</v>
      </c>
      <c r="E60" s="4"/>
      <c r="F60" s="5" t="s">
        <v>3</v>
      </c>
      <c r="G60" s="4">
        <v>1.1361795909000003E8</v>
      </c>
      <c r="H60" s="4"/>
      <c r="I60" s="6" t="s">
        <v>8</v>
      </c>
    </row>
    <row r="61">
      <c r="A61" s="1">
        <v>46299.0</v>
      </c>
      <c r="B61" s="3" t="s">
        <v>65</v>
      </c>
      <c r="C61" s="3" t="s">
        <v>73</v>
      </c>
      <c r="D61" s="5">
        <v>6.0E7</v>
      </c>
      <c r="E61" s="4"/>
      <c r="F61" s="5" t="s">
        <v>3</v>
      </c>
      <c r="G61" s="4">
        <v>5.361795909000003E7</v>
      </c>
      <c r="H61" s="4"/>
      <c r="I61" s="6" t="s">
        <v>8</v>
      </c>
    </row>
    <row r="62">
      <c r="A62" s="1">
        <v>46299.0</v>
      </c>
      <c r="B62" s="3" t="s">
        <v>65</v>
      </c>
      <c r="C62" s="3" t="s">
        <v>74</v>
      </c>
      <c r="D62" s="5">
        <v>3808450.0</v>
      </c>
      <c r="E62" s="4"/>
      <c r="F62" s="5" t="s">
        <v>3</v>
      </c>
      <c r="G62" s="4">
        <v>4.980950909000003E7</v>
      </c>
      <c r="H62" s="4"/>
      <c r="I62" s="6"/>
    </row>
    <row r="63">
      <c r="A63" s="1">
        <v>46299.0</v>
      </c>
      <c r="B63" s="3" t="s">
        <v>75</v>
      </c>
      <c r="C63" s="3" t="s">
        <v>76</v>
      </c>
      <c r="D63" s="5"/>
      <c r="E63" s="5">
        <v>1850000.0</v>
      </c>
      <c r="F63" s="5" t="s">
        <v>12</v>
      </c>
      <c r="G63" s="4">
        <v>5.165950909000003E7</v>
      </c>
      <c r="H63" s="4"/>
      <c r="I63" s="6" t="s">
        <v>8</v>
      </c>
    </row>
    <row r="64">
      <c r="A64" s="1">
        <v>46299.0</v>
      </c>
      <c r="B64" s="3" t="s">
        <v>1</v>
      </c>
      <c r="C64" s="3" t="s">
        <v>77</v>
      </c>
      <c r="D64" s="5">
        <v>5.0E7</v>
      </c>
      <c r="E64" s="4"/>
      <c r="F64" s="5" t="s">
        <v>3</v>
      </c>
      <c r="G64" s="4">
        <v>1659509.0900000334</v>
      </c>
      <c r="H64" s="4"/>
      <c r="I64" s="6" t="s">
        <v>8</v>
      </c>
    </row>
    <row r="65">
      <c r="A65" s="1">
        <v>46299.0</v>
      </c>
      <c r="B65" s="3" t="s">
        <v>1</v>
      </c>
      <c r="C65" s="3" t="s">
        <v>78</v>
      </c>
      <c r="D65" s="5">
        <v>1140000.0</v>
      </c>
      <c r="E65" s="4"/>
      <c r="F65" s="5" t="s">
        <v>3</v>
      </c>
      <c r="G65" s="4">
        <v>519509.0900000334</v>
      </c>
      <c r="H65" s="4"/>
      <c r="I65" s="6"/>
    </row>
    <row r="66">
      <c r="A66" s="1">
        <v>46299.0</v>
      </c>
      <c r="B66" s="3" t="s">
        <v>1</v>
      </c>
      <c r="C66" s="3" t="s">
        <v>79</v>
      </c>
      <c r="D66" s="5">
        <v>155881.0</v>
      </c>
      <c r="E66" s="4"/>
      <c r="F66" s="5" t="s">
        <v>3</v>
      </c>
      <c r="G66" s="4">
        <v>363628.0900000334</v>
      </c>
      <c r="H66" s="4"/>
      <c r="I66" s="6"/>
    </row>
    <row r="67">
      <c r="A67" s="1">
        <v>46299.0</v>
      </c>
      <c r="B67" s="3" t="s">
        <v>10</v>
      </c>
      <c r="C67" s="3" t="s">
        <v>80</v>
      </c>
      <c r="D67" s="5"/>
      <c r="E67" s="5">
        <v>6.4596E7</v>
      </c>
      <c r="F67" s="5" t="s">
        <v>12</v>
      </c>
      <c r="G67" s="4">
        <v>6.495962809000003E7</v>
      </c>
      <c r="H67" s="4"/>
      <c r="I67" s="6"/>
    </row>
    <row r="68">
      <c r="A68" s="1">
        <v>46299.0</v>
      </c>
      <c r="B68" s="3" t="s">
        <v>10</v>
      </c>
      <c r="C68" s="3" t="s">
        <v>81</v>
      </c>
      <c r="D68" s="5"/>
      <c r="E68" s="5">
        <v>2.37326E8</v>
      </c>
      <c r="F68" s="5" t="s">
        <v>12</v>
      </c>
      <c r="G68" s="4">
        <v>3.0228562809000003E8</v>
      </c>
      <c r="H68" s="5">
        <v>3.0228562809E8</v>
      </c>
      <c r="I68" s="6"/>
    </row>
    <row r="69">
      <c r="A69" s="1">
        <v>46299.0</v>
      </c>
      <c r="B69" s="3" t="s">
        <v>1</v>
      </c>
      <c r="C69" s="3" t="s">
        <v>82</v>
      </c>
      <c r="D69" s="5">
        <v>4.46785E7</v>
      </c>
      <c r="E69" s="4"/>
      <c r="F69" s="5" t="s">
        <v>3</v>
      </c>
      <c r="G69" s="4">
        <v>2.5760712809000003E8</v>
      </c>
      <c r="H69" s="5">
        <v>2.5760712809E8</v>
      </c>
      <c r="I69" s="6"/>
    </row>
    <row r="70">
      <c r="A70" s="1">
        <v>46299.0</v>
      </c>
      <c r="B70" s="3" t="s">
        <v>1</v>
      </c>
      <c r="C70" s="3" t="s">
        <v>83</v>
      </c>
      <c r="D70" s="5">
        <v>3.7E7</v>
      </c>
      <c r="E70" s="4"/>
      <c r="F70" s="5" t="s">
        <v>3</v>
      </c>
      <c r="G70" s="4">
        <v>2.2060712809000003E8</v>
      </c>
      <c r="H70" s="4"/>
      <c r="I70" s="6"/>
    </row>
    <row r="71">
      <c r="A71" s="1">
        <v>46299.0</v>
      </c>
      <c r="B71" s="3" t="s">
        <v>48</v>
      </c>
      <c r="C71" s="3" t="s">
        <v>84</v>
      </c>
      <c r="D71" s="5">
        <v>52000.0</v>
      </c>
      <c r="E71" s="4"/>
      <c r="F71" s="4"/>
      <c r="G71" s="4">
        <v>2.2055512809000003E8</v>
      </c>
      <c r="H71" s="4"/>
      <c r="I71" s="6"/>
    </row>
    <row r="72">
      <c r="A72" s="1">
        <v>46299.0</v>
      </c>
      <c r="B72" s="3" t="s">
        <v>1</v>
      </c>
      <c r="C72" s="3" t="s">
        <v>85</v>
      </c>
      <c r="D72" s="5">
        <v>1.25436E8</v>
      </c>
      <c r="E72" s="4"/>
      <c r="F72" s="5" t="s">
        <v>3</v>
      </c>
      <c r="G72" s="4">
        <v>9.511912809000003E7</v>
      </c>
      <c r="H72" s="4"/>
      <c r="I72" s="6"/>
    </row>
    <row r="73">
      <c r="A73" s="1">
        <v>46299.0</v>
      </c>
      <c r="B73" s="3" t="s">
        <v>10</v>
      </c>
      <c r="C73" s="3" t="s">
        <v>86</v>
      </c>
      <c r="D73" s="5"/>
      <c r="E73" s="5">
        <v>1.8214224E8</v>
      </c>
      <c r="F73" s="5" t="s">
        <v>12</v>
      </c>
      <c r="G73" s="4">
        <v>2.7726136809000003E8</v>
      </c>
      <c r="H73" s="4"/>
      <c r="I73" s="6"/>
    </row>
    <row r="74">
      <c r="A74" s="1">
        <v>46299.0</v>
      </c>
      <c r="B74" s="3" t="s">
        <v>1</v>
      </c>
      <c r="C74" s="3" t="s">
        <v>87</v>
      </c>
      <c r="D74" s="5">
        <v>6.6861E7</v>
      </c>
      <c r="E74" s="4"/>
      <c r="F74" s="5" t="s">
        <v>3</v>
      </c>
      <c r="G74" s="4">
        <v>2.1040036809000003E8</v>
      </c>
      <c r="H74" s="4"/>
      <c r="I74" s="6"/>
    </row>
    <row r="75">
      <c r="A75" s="1">
        <v>46299.0</v>
      </c>
      <c r="B75" s="3" t="s">
        <v>1</v>
      </c>
      <c r="C75" s="3" t="s">
        <v>88</v>
      </c>
      <c r="D75" s="5">
        <v>831040.0</v>
      </c>
      <c r="E75" s="4"/>
      <c r="F75" s="5" t="s">
        <v>3</v>
      </c>
      <c r="G75" s="4">
        <v>2.0956932809000003E8</v>
      </c>
      <c r="H75" s="4"/>
      <c r="I75" s="6"/>
    </row>
    <row r="76">
      <c r="A76" s="1">
        <v>46299.0</v>
      </c>
      <c r="B76" s="3" t="s">
        <v>10</v>
      </c>
      <c r="C76" s="3" t="s">
        <v>89</v>
      </c>
      <c r="D76" s="5"/>
      <c r="E76" s="5">
        <v>1.0E8</v>
      </c>
      <c r="F76" s="5" t="s">
        <v>12</v>
      </c>
      <c r="G76" s="4">
        <v>3.0956932809000003E8</v>
      </c>
      <c r="H76" s="4"/>
      <c r="I76" s="6"/>
    </row>
    <row r="77">
      <c r="A77" s="1">
        <v>46299.0</v>
      </c>
      <c r="B77" s="3" t="s">
        <v>10</v>
      </c>
      <c r="C77" s="3" t="s">
        <v>90</v>
      </c>
      <c r="D77" s="5"/>
      <c r="E77" s="5">
        <v>1.2546744E8</v>
      </c>
      <c r="F77" s="5" t="s">
        <v>12</v>
      </c>
      <c r="G77" s="4">
        <v>4.3503676809000003E8</v>
      </c>
      <c r="H77" s="4"/>
      <c r="I77" s="6"/>
    </row>
    <row r="78">
      <c r="A78" s="1">
        <v>46299.0</v>
      </c>
      <c r="B78" s="3" t="s">
        <v>10</v>
      </c>
      <c r="C78" s="3" t="s">
        <v>91</v>
      </c>
      <c r="D78" s="5"/>
      <c r="E78" s="5">
        <v>5.911244E7</v>
      </c>
      <c r="F78" s="5" t="s">
        <v>12</v>
      </c>
      <c r="G78" s="4">
        <v>4.9414920809000003E8</v>
      </c>
      <c r="H78" s="4"/>
      <c r="I78" s="6"/>
    </row>
    <row r="79">
      <c r="A79" s="1">
        <v>46299.0</v>
      </c>
      <c r="B79" s="3" t="s">
        <v>1</v>
      </c>
      <c r="C79" s="3" t="s">
        <v>92</v>
      </c>
      <c r="D79" s="5">
        <v>3800000.0</v>
      </c>
      <c r="E79" s="4"/>
      <c r="F79" s="5" t="s">
        <v>3</v>
      </c>
      <c r="G79" s="4">
        <v>4.9034920809000003E8</v>
      </c>
      <c r="H79" s="4"/>
      <c r="I79" s="6"/>
    </row>
    <row r="80">
      <c r="A80" s="1">
        <v>46299.0</v>
      </c>
      <c r="B80" s="3" t="s">
        <v>10</v>
      </c>
      <c r="C80" s="3" t="s">
        <v>93</v>
      </c>
      <c r="D80" s="5"/>
      <c r="E80" s="5">
        <v>2.4956892E8</v>
      </c>
      <c r="F80" s="5" t="s">
        <v>12</v>
      </c>
      <c r="G80" s="4">
        <v>7.3991812809E8</v>
      </c>
      <c r="H80" s="5">
        <v>7.3991812809E8</v>
      </c>
      <c r="I80" s="6"/>
    </row>
    <row r="81">
      <c r="A81" s="1">
        <v>46299.0</v>
      </c>
      <c r="B81" s="3" t="s">
        <v>1</v>
      </c>
      <c r="C81" s="3" t="s">
        <v>94</v>
      </c>
      <c r="D81" s="5">
        <v>1.6668785E7</v>
      </c>
      <c r="E81" s="4"/>
      <c r="F81" s="5" t="s">
        <v>3</v>
      </c>
      <c r="G81" s="4">
        <v>7.2324934309E8</v>
      </c>
      <c r="H81" s="5">
        <v>7.2324934309E8</v>
      </c>
      <c r="I81" s="6"/>
    </row>
    <row r="82">
      <c r="A82" s="1">
        <v>46299.0</v>
      </c>
      <c r="B82" s="3" t="s">
        <v>1</v>
      </c>
      <c r="C82" s="3" t="s">
        <v>95</v>
      </c>
      <c r="D82" s="5">
        <v>7926300.0</v>
      </c>
      <c r="E82" s="4"/>
      <c r="F82" s="5" t="s">
        <v>3</v>
      </c>
      <c r="G82" s="4">
        <v>7.1532304309E8</v>
      </c>
      <c r="H82" s="4"/>
      <c r="I82" s="6"/>
    </row>
    <row r="83">
      <c r="A83" s="1">
        <v>46299.0</v>
      </c>
      <c r="B83" s="3" t="s">
        <v>1</v>
      </c>
      <c r="C83" s="3" t="s">
        <v>96</v>
      </c>
      <c r="D83" s="5">
        <v>6086710.0</v>
      </c>
      <c r="E83" s="4"/>
      <c r="F83" s="5" t="s">
        <v>3</v>
      </c>
      <c r="G83" s="4">
        <v>7.0923633309E8</v>
      </c>
      <c r="H83" s="4"/>
      <c r="I83" s="6"/>
    </row>
    <row r="84">
      <c r="A84" s="1">
        <v>46299.0</v>
      </c>
      <c r="B84" s="3" t="s">
        <v>1</v>
      </c>
      <c r="C84" s="3" t="s">
        <v>97</v>
      </c>
      <c r="D84" s="5">
        <v>1000000.0</v>
      </c>
      <c r="E84" s="4"/>
      <c r="F84" s="5" t="s">
        <v>3</v>
      </c>
      <c r="G84" s="4">
        <v>7.0823633309E8</v>
      </c>
      <c r="H84" s="4"/>
      <c r="I84" s="6"/>
    </row>
    <row r="85">
      <c r="A85" s="1">
        <v>46299.0</v>
      </c>
      <c r="B85" s="3" t="s">
        <v>1</v>
      </c>
      <c r="C85" s="3" t="s">
        <v>98</v>
      </c>
      <c r="D85" s="5">
        <v>6.24423E7</v>
      </c>
      <c r="E85" s="4"/>
      <c r="F85" s="5" t="s">
        <v>3</v>
      </c>
      <c r="G85" s="4">
        <v>6.4579403309E8</v>
      </c>
      <c r="H85" s="4"/>
      <c r="I85" s="6"/>
    </row>
    <row r="86">
      <c r="A86" s="1">
        <v>46299.0</v>
      </c>
      <c r="B86" s="3" t="s">
        <v>1</v>
      </c>
      <c r="C86" s="3" t="s">
        <v>99</v>
      </c>
      <c r="D86" s="5">
        <v>5.539E7</v>
      </c>
      <c r="E86" s="4"/>
      <c r="F86" s="5" t="s">
        <v>3</v>
      </c>
      <c r="G86" s="4">
        <v>5.9040403309E8</v>
      </c>
      <c r="H86" s="4"/>
      <c r="I86" s="6"/>
    </row>
    <row r="87">
      <c r="A87" s="1">
        <v>46299.0</v>
      </c>
      <c r="B87" s="3" t="s">
        <v>1</v>
      </c>
      <c r="C87" s="3" t="s">
        <v>100</v>
      </c>
      <c r="D87" s="5">
        <v>5.225415E7</v>
      </c>
      <c r="E87" s="4"/>
      <c r="F87" s="5" t="s">
        <v>3</v>
      </c>
      <c r="G87" s="4">
        <v>5.3814988309E8</v>
      </c>
      <c r="H87" s="4"/>
      <c r="I87" s="6"/>
    </row>
    <row r="88">
      <c r="A88" s="1">
        <v>46299.0</v>
      </c>
      <c r="B88" s="3" t="s">
        <v>1</v>
      </c>
      <c r="C88" s="3" t="s">
        <v>101</v>
      </c>
      <c r="D88" s="5">
        <v>4.85376E7</v>
      </c>
      <c r="E88" s="4"/>
      <c r="F88" s="5" t="s">
        <v>3</v>
      </c>
      <c r="G88" s="4">
        <v>4.8961228309000003E8</v>
      </c>
      <c r="H88" s="4"/>
      <c r="I88" s="6"/>
    </row>
    <row r="89">
      <c r="A89" s="1">
        <v>46299.0</v>
      </c>
      <c r="B89" s="3" t="s">
        <v>1</v>
      </c>
      <c r="C89" s="3" t="s">
        <v>102</v>
      </c>
      <c r="D89" s="5">
        <v>1.280109E8</v>
      </c>
      <c r="E89" s="4"/>
      <c r="F89" s="5" t="s">
        <v>3</v>
      </c>
      <c r="G89" s="4">
        <v>3.6160138309000003E8</v>
      </c>
      <c r="H89" s="4"/>
      <c r="I89" s="6"/>
    </row>
    <row r="90">
      <c r="A90" s="1">
        <v>46299.0</v>
      </c>
      <c r="B90" s="3" t="s">
        <v>1</v>
      </c>
      <c r="C90" s="3" t="s">
        <v>103</v>
      </c>
      <c r="D90" s="5">
        <v>1.126422E8</v>
      </c>
      <c r="E90" s="4"/>
      <c r="F90" s="5" t="s">
        <v>3</v>
      </c>
      <c r="G90" s="4">
        <v>2.4895918309000003E8</v>
      </c>
      <c r="H90" s="4"/>
      <c r="I90" s="6"/>
    </row>
    <row r="91">
      <c r="A91" s="1">
        <v>46299.0</v>
      </c>
      <c r="B91" s="3" t="s">
        <v>1</v>
      </c>
      <c r="C91" s="3" t="s">
        <v>104</v>
      </c>
      <c r="D91" s="5">
        <v>5.6714E7</v>
      </c>
      <c r="E91" s="4"/>
      <c r="F91" s="5" t="s">
        <v>3</v>
      </c>
      <c r="G91" s="4">
        <v>1.9224518309000003E8</v>
      </c>
      <c r="H91" s="4"/>
      <c r="I91" s="6"/>
    </row>
    <row r="92">
      <c r="A92" s="1">
        <v>46299.0</v>
      </c>
      <c r="B92" s="3" t="s">
        <v>1</v>
      </c>
      <c r="C92" s="3" t="s">
        <v>105</v>
      </c>
      <c r="D92" s="5">
        <v>7.106E7</v>
      </c>
      <c r="E92" s="4"/>
      <c r="F92" s="5" t="s">
        <v>3</v>
      </c>
      <c r="G92" s="4">
        <v>1.2118518309000003E8</v>
      </c>
      <c r="H92" s="4"/>
      <c r="I92" s="6"/>
    </row>
    <row r="93">
      <c r="A93" s="1">
        <v>46299.0</v>
      </c>
      <c r="B93" s="3" t="s">
        <v>1</v>
      </c>
      <c r="C93" s="3" t="s">
        <v>106</v>
      </c>
      <c r="D93" s="5">
        <v>2.98505E7</v>
      </c>
      <c r="E93" s="4"/>
      <c r="F93" s="5" t="s">
        <v>3</v>
      </c>
      <c r="G93" s="4">
        <v>9.133468309000003E7</v>
      </c>
      <c r="H93" s="5">
        <v>9.133468309E7</v>
      </c>
      <c r="I93" s="6"/>
    </row>
    <row r="94">
      <c r="A94" s="1">
        <v>46300.0</v>
      </c>
      <c r="B94" s="3" t="s">
        <v>1</v>
      </c>
      <c r="C94" s="3" t="s">
        <v>107</v>
      </c>
      <c r="D94" s="5">
        <v>8.9E7</v>
      </c>
      <c r="E94" s="4"/>
      <c r="F94" s="5" t="s">
        <v>3</v>
      </c>
      <c r="G94" s="4">
        <v>2334683.0900000334</v>
      </c>
      <c r="H94" s="5">
        <v>2334683.09</v>
      </c>
      <c r="I94" s="6"/>
    </row>
    <row r="95">
      <c r="A95" s="1">
        <v>46300.0</v>
      </c>
      <c r="B95" s="3" t="s">
        <v>1</v>
      </c>
      <c r="C95" s="3" t="s">
        <v>108</v>
      </c>
      <c r="D95" s="5">
        <v>2223720.0</v>
      </c>
      <c r="E95" s="4"/>
      <c r="F95" s="5" t="s">
        <v>3</v>
      </c>
      <c r="G95" s="4">
        <v>110963.09000003338</v>
      </c>
      <c r="H95" s="4"/>
      <c r="I95" s="6"/>
    </row>
    <row r="96">
      <c r="A96" s="1">
        <v>46300.0</v>
      </c>
      <c r="B96" s="3" t="s">
        <v>10</v>
      </c>
      <c r="C96" s="3" t="s">
        <v>109</v>
      </c>
      <c r="D96" s="5"/>
      <c r="E96" s="5">
        <v>7.66074E7</v>
      </c>
      <c r="F96" s="5" t="s">
        <v>12</v>
      </c>
      <c r="G96" s="4">
        <v>7.671836309000003E7</v>
      </c>
      <c r="H96" s="4"/>
      <c r="I96" s="6"/>
    </row>
    <row r="97">
      <c r="A97" s="1">
        <v>46300.0</v>
      </c>
      <c r="B97" s="3" t="s">
        <v>10</v>
      </c>
      <c r="C97" s="3" t="s">
        <v>110</v>
      </c>
      <c r="D97" s="5"/>
      <c r="E97" s="5">
        <v>1.2412619E8</v>
      </c>
      <c r="F97" s="5" t="s">
        <v>12</v>
      </c>
      <c r="G97" s="4">
        <v>2.0084455309000003E8</v>
      </c>
      <c r="H97" s="4"/>
      <c r="I97" s="6"/>
    </row>
    <row r="98">
      <c r="A98" s="1">
        <v>46300.0</v>
      </c>
      <c r="B98" s="3" t="s">
        <v>10</v>
      </c>
      <c r="C98" s="3" t="s">
        <v>111</v>
      </c>
      <c r="D98" s="5"/>
      <c r="E98" s="5">
        <v>6.224283E7</v>
      </c>
      <c r="F98" s="5" t="s">
        <v>12</v>
      </c>
      <c r="G98" s="4">
        <v>2.6308738309000003E8</v>
      </c>
      <c r="H98" s="4"/>
      <c r="I98" s="6"/>
    </row>
    <row r="99">
      <c r="A99" s="1">
        <v>46300.0</v>
      </c>
      <c r="B99" s="3" t="s">
        <v>1</v>
      </c>
      <c r="C99" s="3" t="s">
        <v>112</v>
      </c>
      <c r="D99" s="5">
        <v>6.9844E7</v>
      </c>
      <c r="E99" s="4"/>
      <c r="F99" s="5" t="s">
        <v>3</v>
      </c>
      <c r="G99" s="4">
        <v>1.9324338309000003E8</v>
      </c>
      <c r="H99" s="4"/>
      <c r="I99" s="6"/>
    </row>
    <row r="100">
      <c r="A100" s="1">
        <v>46300.0</v>
      </c>
      <c r="B100" s="3" t="s">
        <v>1</v>
      </c>
      <c r="C100" s="3" t="s">
        <v>113</v>
      </c>
      <c r="D100" s="5">
        <v>1.278149E8</v>
      </c>
      <c r="E100" s="4"/>
      <c r="F100" s="5" t="s">
        <v>3</v>
      </c>
      <c r="G100" s="4">
        <v>6.542848309000003E7</v>
      </c>
      <c r="H100" s="4"/>
      <c r="I100" s="6"/>
    </row>
    <row r="101">
      <c r="A101" s="1">
        <v>46300.0</v>
      </c>
      <c r="B101" s="3" t="s">
        <v>1</v>
      </c>
      <c r="C101" s="3" t="s">
        <v>114</v>
      </c>
      <c r="D101" s="5">
        <v>6.464E7</v>
      </c>
      <c r="E101" s="4"/>
      <c r="F101" s="5" t="s">
        <v>3</v>
      </c>
      <c r="G101" s="4">
        <v>788483.0900000334</v>
      </c>
      <c r="H101" s="4"/>
      <c r="I101" s="6"/>
    </row>
    <row r="102">
      <c r="A102" s="1">
        <v>46300.0</v>
      </c>
      <c r="B102" s="3" t="s">
        <v>10</v>
      </c>
      <c r="C102" s="3" t="s">
        <v>115</v>
      </c>
      <c r="D102" s="5"/>
      <c r="E102" s="5">
        <v>2.23E7</v>
      </c>
      <c r="F102" s="5" t="s">
        <v>12</v>
      </c>
      <c r="G102" s="4">
        <v>2.3088483090000033E7</v>
      </c>
      <c r="H102" s="4"/>
      <c r="I102" s="6"/>
    </row>
    <row r="103">
      <c r="A103" s="1">
        <v>46300.0</v>
      </c>
      <c r="B103" s="3" t="s">
        <v>1</v>
      </c>
      <c r="C103" s="3" t="s">
        <v>116</v>
      </c>
      <c r="D103" s="5">
        <v>6000000.0</v>
      </c>
      <c r="E103" s="4"/>
      <c r="F103" s="5" t="s">
        <v>3</v>
      </c>
      <c r="G103" s="4">
        <v>1.7088483090000033E7</v>
      </c>
      <c r="H103" s="4"/>
      <c r="I103" s="6"/>
    </row>
    <row r="104">
      <c r="A104" s="1">
        <v>46300.0</v>
      </c>
      <c r="B104" s="3" t="s">
        <v>10</v>
      </c>
      <c r="C104" s="3" t="s">
        <v>117</v>
      </c>
      <c r="D104" s="5"/>
      <c r="E104" s="5">
        <v>4.906076E7</v>
      </c>
      <c r="F104" s="5" t="s">
        <v>12</v>
      </c>
      <c r="G104" s="4">
        <v>6.614924309000003E7</v>
      </c>
      <c r="H104" s="4"/>
      <c r="I104" s="6"/>
    </row>
    <row r="105">
      <c r="A105" s="1">
        <v>46300.0</v>
      </c>
      <c r="B105" s="3" t="s">
        <v>1</v>
      </c>
      <c r="C105" s="3" t="s">
        <v>118</v>
      </c>
      <c r="D105" s="5">
        <v>1200000.0</v>
      </c>
      <c r="E105" s="4"/>
      <c r="F105" s="5" t="s">
        <v>3</v>
      </c>
      <c r="G105" s="4">
        <v>6.494924309000003E7</v>
      </c>
      <c r="H105" s="5">
        <v>6.494924309E7</v>
      </c>
      <c r="I105" s="6"/>
    </row>
    <row r="106">
      <c r="A106" s="1">
        <v>46300.0</v>
      </c>
      <c r="B106" s="3" t="s">
        <v>1</v>
      </c>
      <c r="C106" s="3" t="s">
        <v>119</v>
      </c>
      <c r="D106" s="5">
        <v>1.0E7</v>
      </c>
      <c r="E106" s="4"/>
      <c r="F106" s="5" t="s">
        <v>3</v>
      </c>
      <c r="G106" s="4">
        <v>5.494924309000003E7</v>
      </c>
      <c r="H106" s="5">
        <v>5.494924309E7</v>
      </c>
      <c r="I106" s="6"/>
    </row>
    <row r="107">
      <c r="A107" s="1">
        <v>46300.0</v>
      </c>
      <c r="B107" s="3" t="s">
        <v>10</v>
      </c>
      <c r="C107" s="3" t="s">
        <v>120</v>
      </c>
      <c r="D107" s="5"/>
      <c r="E107" s="5">
        <v>1.0E8</v>
      </c>
      <c r="F107" s="5" t="s">
        <v>12</v>
      </c>
      <c r="G107" s="4">
        <v>1.5494924309000003E8</v>
      </c>
      <c r="H107" s="4"/>
      <c r="I107" s="6"/>
    </row>
    <row r="108">
      <c r="A108" s="1">
        <v>46300.0</v>
      </c>
      <c r="B108" s="3" t="s">
        <v>1</v>
      </c>
      <c r="C108" s="3" t="s">
        <v>121</v>
      </c>
      <c r="D108" s="5">
        <v>7.030656E7</v>
      </c>
      <c r="E108" s="4"/>
      <c r="F108" s="5" t="s">
        <v>3</v>
      </c>
      <c r="G108" s="4">
        <v>8.464268309000003E7</v>
      </c>
      <c r="H108" s="4"/>
      <c r="I108" s="6"/>
    </row>
    <row r="109">
      <c r="A109" s="1">
        <v>46300.0</v>
      </c>
      <c r="B109" s="3" t="s">
        <v>1</v>
      </c>
      <c r="C109" s="3" t="s">
        <v>122</v>
      </c>
      <c r="D109" s="5">
        <v>6.60318E7</v>
      </c>
      <c r="E109" s="4"/>
      <c r="F109" s="5" t="s">
        <v>3</v>
      </c>
      <c r="G109" s="4">
        <v>1.8610883090000033E7</v>
      </c>
      <c r="H109" s="4"/>
      <c r="I109" s="6"/>
    </row>
    <row r="110">
      <c r="A110" s="1">
        <v>46300.0</v>
      </c>
      <c r="B110" s="3" t="s">
        <v>1</v>
      </c>
      <c r="C110" s="3" t="s">
        <v>123</v>
      </c>
      <c r="D110" s="5">
        <v>1800000.0</v>
      </c>
      <c r="E110" s="4"/>
      <c r="F110" s="5" t="s">
        <v>3</v>
      </c>
      <c r="G110" s="4">
        <v>1.6810883090000033E7</v>
      </c>
      <c r="H110" s="4"/>
      <c r="I110" s="6"/>
    </row>
    <row r="111">
      <c r="A111" s="1">
        <v>46300.0</v>
      </c>
      <c r="B111" s="3" t="s">
        <v>1</v>
      </c>
      <c r="C111" s="3" t="s">
        <v>124</v>
      </c>
      <c r="D111" s="5">
        <v>1300000.0</v>
      </c>
      <c r="E111" s="4"/>
      <c r="F111" s="5" t="s">
        <v>3</v>
      </c>
      <c r="G111" s="4">
        <v>1.5510883090000033E7</v>
      </c>
      <c r="H111" s="4"/>
      <c r="I111" s="6"/>
    </row>
    <row r="112">
      <c r="A112" s="1">
        <v>46300.0</v>
      </c>
      <c r="B112" s="3" t="s">
        <v>1</v>
      </c>
      <c r="C112" s="3" t="s">
        <v>125</v>
      </c>
      <c r="D112" s="5">
        <v>2480000.0</v>
      </c>
      <c r="E112" s="4"/>
      <c r="F112" s="5" t="s">
        <v>3</v>
      </c>
      <c r="G112" s="4">
        <v>1.3030883090000033E7</v>
      </c>
      <c r="H112" s="4"/>
      <c r="I112" s="6"/>
    </row>
    <row r="113">
      <c r="A113" s="1">
        <v>46300.0</v>
      </c>
      <c r="B113" s="3" t="s">
        <v>1</v>
      </c>
      <c r="C113" s="3" t="s">
        <v>126</v>
      </c>
      <c r="D113" s="5">
        <v>3100000.0</v>
      </c>
      <c r="E113" s="4"/>
      <c r="F113" s="5" t="s">
        <v>3</v>
      </c>
      <c r="G113" s="4">
        <v>9930883.090000033</v>
      </c>
      <c r="H113" s="4"/>
      <c r="I113" s="6"/>
    </row>
    <row r="114">
      <c r="A114" s="1">
        <v>46300.0</v>
      </c>
      <c r="B114" s="3" t="s">
        <v>1</v>
      </c>
      <c r="C114" s="3" t="s">
        <v>127</v>
      </c>
      <c r="D114" s="5">
        <v>1901460.0</v>
      </c>
      <c r="E114" s="4"/>
      <c r="F114" s="5" t="s">
        <v>3</v>
      </c>
      <c r="G114" s="4">
        <v>8029423.090000033</v>
      </c>
      <c r="H114" s="4"/>
      <c r="I114" s="6"/>
    </row>
    <row r="115">
      <c r="A115" s="1">
        <v>46300.0</v>
      </c>
      <c r="B115" s="3" t="s">
        <v>1</v>
      </c>
      <c r="C115" s="3" t="s">
        <v>128</v>
      </c>
      <c r="D115" s="5">
        <v>2936000.0</v>
      </c>
      <c r="E115" s="4"/>
      <c r="F115" s="5" t="s">
        <v>3</v>
      </c>
      <c r="G115" s="4">
        <v>5093423.090000033</v>
      </c>
      <c r="H115" s="5">
        <v>5093423.09</v>
      </c>
      <c r="I115" s="6"/>
    </row>
    <row r="116">
      <c r="A116" s="1">
        <v>46301.0</v>
      </c>
      <c r="B116" s="3" t="s">
        <v>129</v>
      </c>
      <c r="C116" s="3" t="s">
        <v>130</v>
      </c>
      <c r="D116" s="5"/>
      <c r="E116" s="5">
        <v>3.093345E8</v>
      </c>
      <c r="F116" s="5" t="s">
        <v>12</v>
      </c>
      <c r="G116" s="4">
        <v>3.1442792309000003E8</v>
      </c>
      <c r="H116" s="4"/>
      <c r="I116" s="6"/>
    </row>
    <row r="117">
      <c r="A117" s="1">
        <v>46301.0</v>
      </c>
      <c r="B117" s="3" t="s">
        <v>1</v>
      </c>
      <c r="C117" s="3" t="s">
        <v>131</v>
      </c>
      <c r="D117" s="5">
        <v>5.4764E7</v>
      </c>
      <c r="E117" s="4"/>
      <c r="F117" s="5" t="s">
        <v>3</v>
      </c>
      <c r="G117" s="4">
        <v>2.5966392309000003E8</v>
      </c>
      <c r="H117" s="4"/>
      <c r="I117" s="6"/>
    </row>
    <row r="118">
      <c r="A118" s="1">
        <v>46301.0</v>
      </c>
      <c r="B118" s="3" t="s">
        <v>1</v>
      </c>
      <c r="C118" s="3" t="s">
        <v>132</v>
      </c>
      <c r="D118" s="5">
        <v>1.5002925E8</v>
      </c>
      <c r="E118" s="4"/>
      <c r="F118" s="5" t="s">
        <v>3</v>
      </c>
      <c r="G118" s="4">
        <v>1.0963467309000003E8</v>
      </c>
      <c r="H118" s="4"/>
      <c r="I118" s="6"/>
    </row>
    <row r="119">
      <c r="A119" s="1">
        <v>46301.0</v>
      </c>
      <c r="B119" s="3" t="s">
        <v>1</v>
      </c>
      <c r="C119" s="3" t="s">
        <v>133</v>
      </c>
      <c r="D119" s="5">
        <v>1.0842078E8</v>
      </c>
      <c r="E119" s="4"/>
      <c r="F119" s="5" t="s">
        <v>3</v>
      </c>
      <c r="G119" s="4">
        <v>1213893.0900000334</v>
      </c>
      <c r="H119" s="5">
        <v>1213893.09</v>
      </c>
      <c r="I119" s="6"/>
    </row>
    <row r="120">
      <c r="A120" s="1">
        <v>46301.0</v>
      </c>
      <c r="B120" s="3" t="s">
        <v>10</v>
      </c>
      <c r="C120" s="3" t="s">
        <v>134</v>
      </c>
      <c r="D120" s="5"/>
      <c r="E120" s="5">
        <v>1.89261E8</v>
      </c>
      <c r="F120" s="5" t="s">
        <v>12</v>
      </c>
      <c r="G120" s="4">
        <v>1.9047489309000003E8</v>
      </c>
      <c r="H120" s="5">
        <v>1.9047489309E8</v>
      </c>
      <c r="I120" s="6"/>
    </row>
    <row r="121">
      <c r="A121" s="1">
        <v>46301.0</v>
      </c>
      <c r="B121" s="3" t="s">
        <v>48</v>
      </c>
      <c r="C121" s="3" t="s">
        <v>135</v>
      </c>
      <c r="D121" s="5">
        <v>102000.0</v>
      </c>
      <c r="E121" s="4"/>
      <c r="F121" s="4"/>
      <c r="G121" s="4">
        <v>1.9037289309000003E8</v>
      </c>
      <c r="H121" s="4"/>
      <c r="I121" s="6"/>
    </row>
    <row r="122">
      <c r="A122" s="1">
        <v>46301.0</v>
      </c>
      <c r="B122" s="3" t="s">
        <v>1</v>
      </c>
      <c r="C122" s="3" t="s">
        <v>136</v>
      </c>
      <c r="D122" s="5">
        <v>6.0982E7</v>
      </c>
      <c r="E122" s="4"/>
      <c r="F122" s="5" t="s">
        <v>3</v>
      </c>
      <c r="G122" s="4">
        <v>1.2939089309000003E8</v>
      </c>
      <c r="H122" s="4"/>
      <c r="I122" s="6"/>
    </row>
    <row r="123">
      <c r="A123" s="1">
        <v>46301.0</v>
      </c>
      <c r="B123" s="3" t="s">
        <v>1</v>
      </c>
      <c r="C123" s="3" t="s">
        <v>137</v>
      </c>
      <c r="D123" s="5">
        <v>300000.0</v>
      </c>
      <c r="E123" s="4"/>
      <c r="F123" s="5" t="s">
        <v>3</v>
      </c>
      <c r="G123" s="4">
        <v>1.2909089309000003E8</v>
      </c>
      <c r="H123" s="4"/>
      <c r="I123" s="6"/>
    </row>
    <row r="124">
      <c r="A124" s="1">
        <v>46301.0</v>
      </c>
      <c r="B124" s="3" t="s">
        <v>10</v>
      </c>
      <c r="C124" s="3" t="s">
        <v>138</v>
      </c>
      <c r="D124" s="5"/>
      <c r="E124" s="5">
        <v>4.93879E7</v>
      </c>
      <c r="F124" s="5" t="s">
        <v>12</v>
      </c>
      <c r="G124" s="4">
        <v>1.7847879309000003E8</v>
      </c>
      <c r="H124" s="4"/>
      <c r="I124" s="6"/>
    </row>
    <row r="125">
      <c r="A125" s="1">
        <v>46301.0</v>
      </c>
      <c r="B125" s="3" t="s">
        <v>10</v>
      </c>
      <c r="C125" s="3" t="s">
        <v>139</v>
      </c>
      <c r="D125" s="5"/>
      <c r="E125" s="5">
        <v>1.8134681E8</v>
      </c>
      <c r="F125" s="5" t="s">
        <v>12</v>
      </c>
      <c r="G125" s="4">
        <v>3.5982560309000003E8</v>
      </c>
      <c r="H125" s="4"/>
      <c r="I125" s="6"/>
    </row>
    <row r="126">
      <c r="A126" s="1">
        <v>46301.0</v>
      </c>
      <c r="B126" s="3" t="s">
        <v>10</v>
      </c>
      <c r="C126" s="3" t="s">
        <v>140</v>
      </c>
      <c r="D126" s="5"/>
      <c r="E126" s="5">
        <v>6.1711E7</v>
      </c>
      <c r="F126" s="5" t="s">
        <v>12</v>
      </c>
      <c r="G126" s="4">
        <v>4.2153660309000003E8</v>
      </c>
      <c r="H126" s="4"/>
      <c r="I126" s="6"/>
    </row>
    <row r="127">
      <c r="A127" s="1">
        <v>46301.0</v>
      </c>
      <c r="B127" s="3" t="s">
        <v>10</v>
      </c>
      <c r="C127" s="3" t="s">
        <v>141</v>
      </c>
      <c r="D127" s="5"/>
      <c r="E127" s="5">
        <v>6.272196E7</v>
      </c>
      <c r="F127" s="5" t="s">
        <v>12</v>
      </c>
      <c r="G127" s="4">
        <v>4.8425856309000003E8</v>
      </c>
      <c r="H127" s="4"/>
      <c r="I127" s="6"/>
    </row>
    <row r="128">
      <c r="A128" s="1">
        <v>46301.0</v>
      </c>
      <c r="B128" s="3" t="s">
        <v>1</v>
      </c>
      <c r="C128" s="3" t="s">
        <v>142</v>
      </c>
      <c r="D128" s="5">
        <v>1.582147E7</v>
      </c>
      <c r="E128" s="4"/>
      <c r="F128" s="5" t="s">
        <v>3</v>
      </c>
      <c r="G128" s="4">
        <v>4.6843709309000003E8</v>
      </c>
      <c r="H128" s="4"/>
      <c r="I128" s="6"/>
    </row>
    <row r="129">
      <c r="A129" s="1">
        <v>46301.0</v>
      </c>
      <c r="B129" s="3" t="s">
        <v>1</v>
      </c>
      <c r="C129" s="3" t="s">
        <v>143</v>
      </c>
      <c r="D129" s="5">
        <v>5.96617E7</v>
      </c>
      <c r="E129" s="4"/>
      <c r="F129" s="5" t="s">
        <v>3</v>
      </c>
      <c r="G129" s="4">
        <v>4.0877539309000003E8</v>
      </c>
      <c r="H129" s="4"/>
      <c r="I129" s="6"/>
    </row>
    <row r="130">
      <c r="A130" s="1">
        <v>46301.0</v>
      </c>
      <c r="B130" s="3" t="s">
        <v>1</v>
      </c>
      <c r="C130" s="3" t="s">
        <v>144</v>
      </c>
      <c r="D130" s="5">
        <v>1.283749E8</v>
      </c>
      <c r="E130" s="4"/>
      <c r="F130" s="5" t="s">
        <v>3</v>
      </c>
      <c r="G130" s="4">
        <v>2.8040049309000003E8</v>
      </c>
      <c r="H130" s="4"/>
      <c r="I130" s="6"/>
    </row>
    <row r="131">
      <c r="A131" s="1">
        <v>46301.0</v>
      </c>
      <c r="B131" s="3" t="s">
        <v>10</v>
      </c>
      <c r="C131" s="3" t="s">
        <v>145</v>
      </c>
      <c r="D131" s="5"/>
      <c r="E131" s="5">
        <v>1.0E8</v>
      </c>
      <c r="F131" s="5" t="s">
        <v>12</v>
      </c>
      <c r="G131" s="4">
        <v>3.8040049309000003E8</v>
      </c>
      <c r="H131" s="4"/>
      <c r="I131" s="6"/>
    </row>
    <row r="132">
      <c r="A132" s="1">
        <v>46301.0</v>
      </c>
      <c r="B132" s="3" t="s">
        <v>10</v>
      </c>
      <c r="C132" s="3" t="s">
        <v>146</v>
      </c>
      <c r="D132" s="5"/>
      <c r="E132" s="5">
        <v>1.5045234E8</v>
      </c>
      <c r="F132" s="5" t="s">
        <v>12</v>
      </c>
      <c r="G132" s="4">
        <v>5.3085283309000003E8</v>
      </c>
      <c r="H132" s="5">
        <v>5.3085283309E8</v>
      </c>
      <c r="I132" s="6"/>
    </row>
    <row r="133">
      <c r="A133" s="1">
        <v>46301.0</v>
      </c>
      <c r="B133" s="3" t="s">
        <v>1</v>
      </c>
      <c r="C133" s="3" t="s">
        <v>147</v>
      </c>
      <c r="D133" s="5">
        <v>1.0760648E8</v>
      </c>
      <c r="E133" s="4"/>
      <c r="F133" s="5" t="s">
        <v>3</v>
      </c>
      <c r="G133" s="4">
        <v>4.2324635309000003E8</v>
      </c>
      <c r="H133" s="5">
        <v>4.2324635309E8</v>
      </c>
      <c r="I133" s="6"/>
    </row>
    <row r="134">
      <c r="A134" s="1">
        <v>46301.0</v>
      </c>
      <c r="B134" s="3" t="s">
        <v>1</v>
      </c>
      <c r="C134" s="3" t="s">
        <v>148</v>
      </c>
      <c r="D134" s="5">
        <v>1.0E7</v>
      </c>
      <c r="E134" s="4"/>
      <c r="F134" s="5" t="s">
        <v>3</v>
      </c>
      <c r="G134" s="4">
        <v>4.1324635309000003E8</v>
      </c>
      <c r="H134" s="4"/>
      <c r="I134" s="6"/>
    </row>
    <row r="135">
      <c r="A135" s="1">
        <v>46301.0</v>
      </c>
      <c r="B135" s="3" t="s">
        <v>1</v>
      </c>
      <c r="C135" s="3" t="s">
        <v>149</v>
      </c>
      <c r="D135" s="5">
        <v>1.867857E8</v>
      </c>
      <c r="E135" s="4"/>
      <c r="F135" s="5" t="s">
        <v>3</v>
      </c>
      <c r="G135" s="4">
        <v>2.2646065309000003E8</v>
      </c>
      <c r="H135" s="5">
        <v>2.2646065309E8</v>
      </c>
      <c r="I135" s="6"/>
    </row>
    <row r="136">
      <c r="A136" s="1">
        <v>46302.0</v>
      </c>
      <c r="B136" s="3" t="s">
        <v>1</v>
      </c>
      <c r="C136" s="3" t="s">
        <v>150</v>
      </c>
      <c r="D136" s="5">
        <v>1000000.0</v>
      </c>
      <c r="E136" s="4"/>
      <c r="F136" s="5" t="s">
        <v>3</v>
      </c>
      <c r="G136" s="4">
        <v>2.2546065309000003E8</v>
      </c>
      <c r="H136" s="4"/>
      <c r="I136" s="6"/>
    </row>
    <row r="137">
      <c r="A137" s="1">
        <v>46302.0</v>
      </c>
      <c r="B137" s="3" t="s">
        <v>1</v>
      </c>
      <c r="C137" s="3" t="s">
        <v>151</v>
      </c>
      <c r="D137" s="5">
        <v>1100000.0</v>
      </c>
      <c r="E137" s="4"/>
      <c r="F137" s="5" t="s">
        <v>3</v>
      </c>
      <c r="G137" s="4">
        <v>2.2436065309000003E8</v>
      </c>
      <c r="H137" s="4"/>
      <c r="I137" s="6"/>
    </row>
    <row r="138">
      <c r="A138" s="1">
        <v>46302.0</v>
      </c>
      <c r="B138" s="3" t="s">
        <v>1</v>
      </c>
      <c r="C138" s="3" t="s">
        <v>152</v>
      </c>
      <c r="D138" s="5">
        <v>1.199981E8</v>
      </c>
      <c r="E138" s="4"/>
      <c r="F138" s="5" t="s">
        <v>3</v>
      </c>
      <c r="G138" s="4">
        <v>1.0436255309000003E8</v>
      </c>
      <c r="H138" s="4"/>
      <c r="I138" s="6"/>
    </row>
    <row r="139">
      <c r="A139" s="1">
        <v>46302.0</v>
      </c>
      <c r="B139" s="3" t="s">
        <v>1</v>
      </c>
      <c r="C139" s="3" t="s">
        <v>153</v>
      </c>
      <c r="D139" s="5">
        <v>3550000.0</v>
      </c>
      <c r="E139" s="4"/>
      <c r="F139" s="5" t="s">
        <v>3</v>
      </c>
      <c r="G139" s="4">
        <v>1.0081255309000003E8</v>
      </c>
      <c r="H139" s="4"/>
      <c r="I139" s="6"/>
    </row>
    <row r="140">
      <c r="A140" s="1">
        <v>46302.0</v>
      </c>
      <c r="B140" s="3" t="s">
        <v>1</v>
      </c>
      <c r="C140" s="3" t="s">
        <v>154</v>
      </c>
      <c r="D140" s="5">
        <v>7.285005E7</v>
      </c>
      <c r="E140" s="4"/>
      <c r="F140" s="5" t="s">
        <v>3</v>
      </c>
      <c r="G140" s="4">
        <v>2.7962503090000033E7</v>
      </c>
      <c r="H140" s="4"/>
      <c r="I140" s="6"/>
    </row>
    <row r="141">
      <c r="A141" s="1">
        <v>46302.0</v>
      </c>
      <c r="B141" s="3" t="s">
        <v>10</v>
      </c>
      <c r="C141" s="3" t="s">
        <v>155</v>
      </c>
      <c r="D141" s="5"/>
      <c r="E141" s="5">
        <v>6.17554E7</v>
      </c>
      <c r="F141" s="5" t="s">
        <v>12</v>
      </c>
      <c r="G141" s="4">
        <v>8.971790309000003E7</v>
      </c>
      <c r="H141" s="4"/>
      <c r="I141" s="6"/>
    </row>
    <row r="142">
      <c r="A142" s="1">
        <v>46302.0</v>
      </c>
      <c r="B142" s="3" t="s">
        <v>10</v>
      </c>
      <c r="C142" s="3" t="s">
        <v>156</v>
      </c>
      <c r="D142" s="5"/>
      <c r="E142" s="5">
        <v>1.0E8</v>
      </c>
      <c r="F142" s="5" t="s">
        <v>12</v>
      </c>
      <c r="G142" s="4">
        <v>1.8971790309000003E8</v>
      </c>
      <c r="H142" s="4"/>
      <c r="I142" s="6"/>
    </row>
    <row r="143">
      <c r="A143" s="1">
        <v>46302.0</v>
      </c>
      <c r="B143" s="3" t="s">
        <v>157</v>
      </c>
      <c r="C143" s="3" t="s">
        <v>157</v>
      </c>
      <c r="D143" s="5">
        <v>200000.0</v>
      </c>
      <c r="E143" s="4"/>
      <c r="F143" s="4"/>
      <c r="G143" s="4">
        <v>1.8951790309000003E8</v>
      </c>
      <c r="H143" s="4"/>
      <c r="I143" s="6" t="s">
        <v>45</v>
      </c>
    </row>
    <row r="144">
      <c r="A144" s="1">
        <v>46302.0</v>
      </c>
      <c r="B144" s="3" t="s">
        <v>10</v>
      </c>
      <c r="C144" s="3" t="s">
        <v>158</v>
      </c>
      <c r="D144" s="5"/>
      <c r="E144" s="5">
        <v>3.1634154E8</v>
      </c>
      <c r="F144" s="5" t="s">
        <v>12</v>
      </c>
      <c r="G144" s="4">
        <v>5.0585944309000003E8</v>
      </c>
      <c r="H144" s="4"/>
      <c r="I144" s="6" t="s">
        <v>45</v>
      </c>
    </row>
    <row r="145">
      <c r="A145" s="1">
        <v>46302.0</v>
      </c>
      <c r="B145" s="3" t="s">
        <v>1</v>
      </c>
      <c r="C145" s="3" t="s">
        <v>159</v>
      </c>
      <c r="D145" s="5">
        <v>9.84168E7</v>
      </c>
      <c r="E145" s="4"/>
      <c r="F145" s="5" t="s">
        <v>3</v>
      </c>
      <c r="G145" s="4">
        <v>4.0744264309000003E8</v>
      </c>
      <c r="H145" s="4"/>
      <c r="I145" s="6"/>
    </row>
    <row r="146">
      <c r="A146" s="1">
        <v>46302.0</v>
      </c>
      <c r="B146" s="3" t="s">
        <v>1</v>
      </c>
      <c r="C146" s="3" t="s">
        <v>160</v>
      </c>
      <c r="D146" s="5">
        <v>9.0E7</v>
      </c>
      <c r="E146" s="4"/>
      <c r="F146" s="5" t="s">
        <v>3</v>
      </c>
      <c r="G146" s="4">
        <v>3.1744264309000003E8</v>
      </c>
      <c r="H146" s="5">
        <v>3.1744264309E8</v>
      </c>
      <c r="I146" s="6"/>
    </row>
    <row r="147">
      <c r="A147" s="1">
        <v>46302.0</v>
      </c>
      <c r="B147" s="3" t="s">
        <v>157</v>
      </c>
      <c r="C147" s="3" t="s">
        <v>157</v>
      </c>
      <c r="D147" s="5">
        <v>200000.0</v>
      </c>
      <c r="E147" s="4"/>
      <c r="F147" s="4"/>
      <c r="G147" s="4">
        <v>3.1724264309000003E8</v>
      </c>
      <c r="H147" s="5">
        <v>3.1724264309E8</v>
      </c>
      <c r="I147" s="6"/>
    </row>
    <row r="148">
      <c r="A148" s="1">
        <v>46303.0</v>
      </c>
      <c r="B148" s="3" t="s">
        <v>161</v>
      </c>
      <c r="C148" s="3" t="s">
        <v>162</v>
      </c>
      <c r="D148" s="5">
        <v>5.998794E7</v>
      </c>
      <c r="E148" s="4"/>
      <c r="F148" s="5" t="s">
        <v>3</v>
      </c>
      <c r="G148" s="4">
        <v>2.5725470309000003E8</v>
      </c>
      <c r="H148" s="4"/>
      <c r="I148" s="6"/>
    </row>
    <row r="149">
      <c r="A149" s="1">
        <v>46303.0</v>
      </c>
      <c r="B149" s="3" t="s">
        <v>161</v>
      </c>
      <c r="C149" s="3" t="s">
        <v>163</v>
      </c>
      <c r="D149" s="5">
        <v>9.054E7</v>
      </c>
      <c r="E149" s="4"/>
      <c r="F149" s="5" t="s">
        <v>3</v>
      </c>
      <c r="G149" s="4">
        <v>1.6671470309000003E8</v>
      </c>
      <c r="H149" s="4"/>
      <c r="I149" s="6"/>
    </row>
    <row r="150">
      <c r="A150" s="1">
        <v>46303.0</v>
      </c>
      <c r="B150" s="3" t="s">
        <v>161</v>
      </c>
      <c r="C150" s="3" t="s">
        <v>164</v>
      </c>
      <c r="D150" s="5">
        <v>1.1505E8</v>
      </c>
      <c r="E150" s="4"/>
      <c r="F150" s="5" t="s">
        <v>3</v>
      </c>
      <c r="G150" s="4">
        <v>5.166470309000003E7</v>
      </c>
      <c r="H150" s="4"/>
      <c r="I150" s="6"/>
    </row>
    <row r="151">
      <c r="A151" s="1">
        <v>46303.0</v>
      </c>
      <c r="B151" s="3" t="s">
        <v>161</v>
      </c>
      <c r="C151" s="3" t="s">
        <v>165</v>
      </c>
      <c r="D151" s="5">
        <v>5.155197E7</v>
      </c>
      <c r="E151" s="4"/>
      <c r="F151" s="5" t="s">
        <v>3</v>
      </c>
      <c r="G151" s="4">
        <v>112733.09000003338</v>
      </c>
      <c r="H151" s="5">
        <v>112733.09</v>
      </c>
      <c r="I151" s="6"/>
    </row>
    <row r="152">
      <c r="A152" s="1">
        <v>46304.0</v>
      </c>
      <c r="B152" s="3" t="s">
        <v>10</v>
      </c>
      <c r="C152" s="3" t="s">
        <v>166</v>
      </c>
      <c r="D152" s="5"/>
      <c r="E152" s="5">
        <v>5.4266E7</v>
      </c>
      <c r="F152" s="5" t="s">
        <v>12</v>
      </c>
      <c r="G152" s="4">
        <v>5.437873309000003E7</v>
      </c>
      <c r="H152" s="4"/>
      <c r="I152" s="6"/>
    </row>
    <row r="153">
      <c r="A153" s="1">
        <v>46304.0</v>
      </c>
      <c r="B153" s="3" t="s">
        <v>1</v>
      </c>
      <c r="C153" s="3" t="s">
        <v>167</v>
      </c>
      <c r="D153" s="5">
        <v>2.45848E7</v>
      </c>
      <c r="E153" s="4"/>
      <c r="F153" s="5" t="s">
        <v>3</v>
      </c>
      <c r="G153" s="4">
        <v>2.9793933090000033E7</v>
      </c>
      <c r="H153" s="4"/>
      <c r="I153" s="6"/>
    </row>
    <row r="154">
      <c r="A154" s="1">
        <v>46304.0</v>
      </c>
      <c r="B154" s="3" t="s">
        <v>1</v>
      </c>
      <c r="C154" s="3" t="s">
        <v>168</v>
      </c>
      <c r="D154" s="5">
        <v>500000.0</v>
      </c>
      <c r="E154" s="4"/>
      <c r="F154" s="5" t="s">
        <v>3</v>
      </c>
      <c r="G154" s="4">
        <v>2.9293933090000033E7</v>
      </c>
      <c r="H154" s="4"/>
      <c r="I154" s="6"/>
    </row>
    <row r="155">
      <c r="A155" s="1">
        <v>46304.0</v>
      </c>
      <c r="B155" s="3" t="s">
        <v>10</v>
      </c>
      <c r="C155" s="3" t="s">
        <v>169</v>
      </c>
      <c r="D155" s="5"/>
      <c r="E155" s="5">
        <v>1.2359688E8</v>
      </c>
      <c r="F155" s="5" t="s">
        <v>12</v>
      </c>
      <c r="G155" s="4">
        <v>1.5289081309000003E8</v>
      </c>
      <c r="H155" s="4"/>
      <c r="I155" s="6"/>
    </row>
    <row r="156">
      <c r="A156" s="1">
        <v>46304.0</v>
      </c>
      <c r="B156" s="3" t="s">
        <v>1</v>
      </c>
      <c r="C156" s="3" t="s">
        <v>170</v>
      </c>
      <c r="D156" s="5">
        <v>7.175E7</v>
      </c>
      <c r="E156" s="4"/>
      <c r="F156" s="5" t="s">
        <v>3</v>
      </c>
      <c r="G156" s="4">
        <v>8.114081309000003E7</v>
      </c>
      <c r="H156" s="4"/>
      <c r="I156" s="6"/>
    </row>
    <row r="157">
      <c r="A157" s="1">
        <v>46304.0</v>
      </c>
      <c r="B157" s="3" t="s">
        <v>10</v>
      </c>
      <c r="C157" s="3" t="s">
        <v>171</v>
      </c>
      <c r="D157" s="5"/>
      <c r="E157" s="5">
        <v>5.5809108E8</v>
      </c>
      <c r="F157" s="5" t="s">
        <v>12</v>
      </c>
      <c r="G157" s="4">
        <v>6.3923189309E8</v>
      </c>
      <c r="H157" s="4"/>
      <c r="I157" s="6"/>
    </row>
    <row r="158">
      <c r="A158" s="1">
        <v>46304.0</v>
      </c>
      <c r="B158" s="3" t="s">
        <v>1</v>
      </c>
      <c r="C158" s="3" t="s">
        <v>172</v>
      </c>
      <c r="D158" s="5">
        <v>800000.0</v>
      </c>
      <c r="E158" s="4"/>
      <c r="F158" s="5" t="s">
        <v>3</v>
      </c>
      <c r="G158" s="4">
        <v>6.3843189309E8</v>
      </c>
      <c r="H158" s="4"/>
      <c r="I158" s="6"/>
    </row>
    <row r="159">
      <c r="A159" s="1">
        <v>46304.0</v>
      </c>
      <c r="B159" s="3" t="s">
        <v>1</v>
      </c>
      <c r="C159" s="3" t="s">
        <v>173</v>
      </c>
      <c r="D159" s="5">
        <v>1.952495E7</v>
      </c>
      <c r="E159" s="4"/>
      <c r="F159" s="5" t="s">
        <v>3</v>
      </c>
      <c r="G159" s="4">
        <v>6.1890694309E8</v>
      </c>
      <c r="H159" s="4"/>
      <c r="I159" s="6"/>
    </row>
    <row r="160">
      <c r="A160" s="1">
        <v>46304.0</v>
      </c>
      <c r="B160" s="3" t="s">
        <v>1</v>
      </c>
      <c r="C160" s="3" t="s">
        <v>174</v>
      </c>
      <c r="D160" s="5">
        <v>6977870.0</v>
      </c>
      <c r="E160" s="4"/>
      <c r="F160" s="5" t="s">
        <v>3</v>
      </c>
      <c r="G160" s="4">
        <v>6.1192907309E8</v>
      </c>
      <c r="H160" s="5">
        <v>6.1192907309E8</v>
      </c>
      <c r="I160" s="6"/>
    </row>
    <row r="161">
      <c r="A161" s="1">
        <v>46304.0</v>
      </c>
      <c r="B161" s="3" t="s">
        <v>1</v>
      </c>
      <c r="C161" s="3" t="s">
        <v>175</v>
      </c>
      <c r="D161" s="5">
        <v>3866150.0</v>
      </c>
      <c r="E161" s="4"/>
      <c r="F161" s="5" t="s">
        <v>3</v>
      </c>
      <c r="G161" s="4">
        <v>6.0806292309E8</v>
      </c>
      <c r="H161" s="5">
        <v>6.0806292309E8</v>
      </c>
      <c r="I161" s="6"/>
    </row>
    <row r="162">
      <c r="A162" s="1">
        <v>46304.0</v>
      </c>
      <c r="B162" s="3" t="s">
        <v>1</v>
      </c>
      <c r="C162" s="3" t="s">
        <v>176</v>
      </c>
      <c r="D162" s="5">
        <v>5026700.0</v>
      </c>
      <c r="E162" s="4"/>
      <c r="F162" s="5" t="s">
        <v>3</v>
      </c>
      <c r="G162" s="4">
        <v>6.0303622309E8</v>
      </c>
      <c r="H162" s="4"/>
      <c r="I162" s="6"/>
    </row>
    <row r="163">
      <c r="A163" s="1">
        <v>46304.0</v>
      </c>
      <c r="B163" s="3" t="s">
        <v>1</v>
      </c>
      <c r="C163" s="3" t="s">
        <v>177</v>
      </c>
      <c r="D163" s="5">
        <v>1.331639E8</v>
      </c>
      <c r="E163" s="4"/>
      <c r="F163" s="5" t="s">
        <v>3</v>
      </c>
      <c r="G163" s="4">
        <v>4.6987232309000003E8</v>
      </c>
      <c r="H163" s="4"/>
      <c r="I163" s="6"/>
    </row>
    <row r="164">
      <c r="A164" s="1">
        <v>46304.0</v>
      </c>
      <c r="B164" s="3" t="s">
        <v>1</v>
      </c>
      <c r="C164" s="3" t="s">
        <v>178</v>
      </c>
      <c r="D164" s="5">
        <v>6.55795E7</v>
      </c>
      <c r="E164" s="4"/>
      <c r="F164" s="5" t="s">
        <v>3</v>
      </c>
      <c r="G164" s="4">
        <v>4.0429282309000003E8</v>
      </c>
      <c r="H164" s="4"/>
      <c r="I164" s="6"/>
    </row>
    <row r="165">
      <c r="A165" s="1">
        <v>46304.0</v>
      </c>
      <c r="B165" s="3" t="s">
        <v>1</v>
      </c>
      <c r="C165" s="3" t="s">
        <v>179</v>
      </c>
      <c r="D165" s="5">
        <v>1.77285E8</v>
      </c>
      <c r="E165" s="4"/>
      <c r="F165" s="5" t="s">
        <v>3</v>
      </c>
      <c r="G165" s="4">
        <v>2.2700782309000003E8</v>
      </c>
      <c r="H165" s="4"/>
      <c r="I165" s="6"/>
    </row>
    <row r="166">
      <c r="A166" s="1">
        <v>46304.0</v>
      </c>
      <c r="B166" s="3" t="s">
        <v>1</v>
      </c>
      <c r="C166" s="3" t="s">
        <v>180</v>
      </c>
      <c r="D166" s="5">
        <v>1.4E8</v>
      </c>
      <c r="E166" s="4"/>
      <c r="F166" s="5" t="s">
        <v>3</v>
      </c>
      <c r="G166" s="4">
        <v>8.700782309000003E7</v>
      </c>
      <c r="H166" s="4"/>
      <c r="I166" s="6"/>
    </row>
    <row r="167">
      <c r="A167" s="1">
        <v>46304.0</v>
      </c>
      <c r="B167" s="3" t="s">
        <v>1</v>
      </c>
      <c r="C167" s="3" t="s">
        <v>181</v>
      </c>
      <c r="D167" s="5">
        <v>8.660866E7</v>
      </c>
      <c r="E167" s="4"/>
      <c r="F167" s="5" t="s">
        <v>3</v>
      </c>
      <c r="G167" s="4">
        <v>399163.0900000334</v>
      </c>
      <c r="H167" s="5">
        <v>399163.09</v>
      </c>
      <c r="I167" s="6"/>
    </row>
    <row r="168">
      <c r="A168" s="8">
        <v>46305.0</v>
      </c>
      <c r="B168" s="3" t="s">
        <v>10</v>
      </c>
      <c r="C168" s="3" t="s">
        <v>182</v>
      </c>
      <c r="D168" s="5"/>
      <c r="E168" s="5">
        <v>7.035E7</v>
      </c>
      <c r="F168" s="5" t="s">
        <v>12</v>
      </c>
      <c r="G168" s="4">
        <v>7.074916309000003E7</v>
      </c>
      <c r="H168" s="4"/>
      <c r="I168" s="6"/>
    </row>
    <row r="169">
      <c r="A169" s="8">
        <v>46305.0</v>
      </c>
      <c r="B169" s="3" t="s">
        <v>1</v>
      </c>
      <c r="C169" s="3" t="s">
        <v>183</v>
      </c>
      <c r="D169" s="5">
        <v>6.55795E7</v>
      </c>
      <c r="E169" s="4"/>
      <c r="F169" s="5" t="s">
        <v>3</v>
      </c>
      <c r="G169" s="4">
        <v>5169663.090000033</v>
      </c>
      <c r="H169" s="4"/>
      <c r="I169" s="6"/>
    </row>
    <row r="170">
      <c r="A170" s="8">
        <v>46305.0</v>
      </c>
      <c r="B170" s="3" t="s">
        <v>1</v>
      </c>
      <c r="C170" s="3" t="s">
        <v>184</v>
      </c>
      <c r="D170" s="5">
        <v>1420000.0</v>
      </c>
      <c r="E170" s="4"/>
      <c r="F170" s="5" t="s">
        <v>3</v>
      </c>
      <c r="G170" s="4">
        <v>3749663.0900000334</v>
      </c>
      <c r="H170" s="4"/>
      <c r="I170" s="6"/>
    </row>
    <row r="171">
      <c r="A171" s="8">
        <v>46305.0</v>
      </c>
      <c r="B171" s="3" t="s">
        <v>1</v>
      </c>
      <c r="C171" s="3" t="s">
        <v>185</v>
      </c>
      <c r="D171" s="5">
        <v>1500000.0</v>
      </c>
      <c r="E171" s="4"/>
      <c r="F171" s="5" t="s">
        <v>3</v>
      </c>
      <c r="G171" s="4">
        <v>2249663.0900000334</v>
      </c>
      <c r="H171" s="4"/>
      <c r="I171" s="6"/>
    </row>
    <row r="172">
      <c r="A172" s="8">
        <v>46305.0</v>
      </c>
      <c r="B172" s="3" t="s">
        <v>10</v>
      </c>
      <c r="C172" s="3" t="s">
        <v>186</v>
      </c>
      <c r="D172" s="5"/>
      <c r="E172" s="5">
        <v>200000.0</v>
      </c>
      <c r="F172" s="5" t="s">
        <v>12</v>
      </c>
      <c r="G172" s="4">
        <v>2449663.0900000334</v>
      </c>
      <c r="H172" s="4"/>
      <c r="I172" s="6"/>
    </row>
    <row r="173">
      <c r="A173" s="8">
        <v>46305.0</v>
      </c>
      <c r="B173" s="3" t="s">
        <v>10</v>
      </c>
      <c r="C173" s="3" t="s">
        <v>187</v>
      </c>
      <c r="D173" s="5"/>
      <c r="E173" s="5">
        <v>7.395975E7</v>
      </c>
      <c r="F173" s="5" t="s">
        <v>12</v>
      </c>
      <c r="G173" s="4">
        <v>7.640941309000003E7</v>
      </c>
      <c r="H173" s="5">
        <v>7.640941309E7</v>
      </c>
      <c r="I173" s="6"/>
    </row>
    <row r="174">
      <c r="A174" s="8">
        <v>46305.0</v>
      </c>
      <c r="B174" s="3" t="s">
        <v>1</v>
      </c>
      <c r="C174" s="3" t="s">
        <v>188</v>
      </c>
      <c r="D174" s="5">
        <v>1425000.0</v>
      </c>
      <c r="E174" s="4"/>
      <c r="F174" s="5" t="s">
        <v>3</v>
      </c>
      <c r="G174" s="4">
        <v>7.498441309000003E7</v>
      </c>
      <c r="H174" s="5">
        <v>7.498441309E7</v>
      </c>
      <c r="I174" s="6"/>
    </row>
    <row r="175">
      <c r="A175" s="8">
        <v>46305.0</v>
      </c>
      <c r="B175" s="3" t="s">
        <v>189</v>
      </c>
      <c r="C175" s="3" t="s">
        <v>189</v>
      </c>
      <c r="D175" s="5">
        <v>150000.0</v>
      </c>
      <c r="E175" s="4"/>
      <c r="F175" s="4"/>
      <c r="G175" s="4">
        <v>7.483441309000003E7</v>
      </c>
      <c r="H175" s="4"/>
      <c r="I175" s="6"/>
    </row>
    <row r="176">
      <c r="A176" s="8">
        <v>46305.0</v>
      </c>
      <c r="B176" s="3" t="s">
        <v>10</v>
      </c>
      <c r="C176" s="3" t="s">
        <v>190</v>
      </c>
      <c r="D176" s="5"/>
      <c r="E176" s="5">
        <v>1.4896E8</v>
      </c>
      <c r="F176" s="5" t="s">
        <v>12</v>
      </c>
      <c r="G176" s="4">
        <v>2.2379441309000003E8</v>
      </c>
      <c r="H176" s="4"/>
      <c r="I176" s="6"/>
    </row>
    <row r="177">
      <c r="A177" s="8">
        <v>46305.0</v>
      </c>
      <c r="B177" s="3" t="s">
        <v>10</v>
      </c>
      <c r="C177" s="3" t="s">
        <v>191</v>
      </c>
      <c r="D177" s="5"/>
      <c r="E177" s="5">
        <v>1.1508993E8</v>
      </c>
      <c r="F177" s="5" t="s">
        <v>12</v>
      </c>
      <c r="G177" s="4">
        <v>3.3888434309000003E8</v>
      </c>
      <c r="H177" s="4"/>
      <c r="I177" s="6"/>
    </row>
    <row r="178">
      <c r="A178" s="8">
        <v>46305.0</v>
      </c>
      <c r="B178" s="3" t="s">
        <v>10</v>
      </c>
      <c r="C178" s="3" t="s">
        <v>192</v>
      </c>
      <c r="D178" s="5"/>
      <c r="E178" s="5">
        <v>2.348552E8</v>
      </c>
      <c r="F178" s="5" t="s">
        <v>12</v>
      </c>
      <c r="G178" s="4">
        <v>5.7373954309E8</v>
      </c>
      <c r="H178" s="4"/>
      <c r="I178" s="6" t="s">
        <v>45</v>
      </c>
    </row>
    <row r="179">
      <c r="A179" s="8">
        <v>46305.0</v>
      </c>
      <c r="B179" s="3" t="s">
        <v>1</v>
      </c>
      <c r="C179" s="3" t="s">
        <v>193</v>
      </c>
      <c r="D179" s="5">
        <v>1.704231E7</v>
      </c>
      <c r="E179" s="4"/>
      <c r="F179" s="5" t="s">
        <v>3</v>
      </c>
      <c r="G179" s="4">
        <v>5.5669723309E8</v>
      </c>
      <c r="H179" s="4"/>
      <c r="I179" s="6"/>
    </row>
    <row r="180">
      <c r="A180" s="8">
        <v>46305.0</v>
      </c>
      <c r="B180" s="3" t="s">
        <v>194</v>
      </c>
      <c r="C180" s="3" t="s">
        <v>195</v>
      </c>
      <c r="D180" s="5">
        <v>187100.0</v>
      </c>
      <c r="E180" s="4"/>
      <c r="F180" s="4"/>
      <c r="G180" s="4">
        <v>5.5651013309E8</v>
      </c>
      <c r="H180" s="5">
        <v>5.5651013309E8</v>
      </c>
      <c r="I180" s="6"/>
    </row>
    <row r="181">
      <c r="A181" s="8">
        <v>46306.0</v>
      </c>
      <c r="B181" s="3" t="s">
        <v>196</v>
      </c>
      <c r="C181" s="3" t="s">
        <v>197</v>
      </c>
      <c r="D181" s="5">
        <v>6.5E7</v>
      </c>
      <c r="E181" s="4"/>
      <c r="F181" s="5" t="s">
        <v>3</v>
      </c>
      <c r="G181" s="4">
        <v>4.9151013309000003E8</v>
      </c>
      <c r="H181" s="4"/>
      <c r="I181" s="6"/>
    </row>
    <row r="182">
      <c r="A182" s="8">
        <v>46306.0</v>
      </c>
      <c r="B182" s="3" t="s">
        <v>196</v>
      </c>
      <c r="C182" s="3" t="s">
        <v>198</v>
      </c>
      <c r="D182" s="5">
        <v>4105440.0</v>
      </c>
      <c r="E182" s="4"/>
      <c r="F182" s="5" t="s">
        <v>3</v>
      </c>
      <c r="G182" s="4">
        <v>4.8740469309000003E8</v>
      </c>
      <c r="H182" s="4"/>
      <c r="I182" s="6"/>
    </row>
    <row r="183">
      <c r="A183" s="8">
        <v>46306.0</v>
      </c>
      <c r="B183" s="3" t="s">
        <v>196</v>
      </c>
      <c r="C183" s="3" t="s">
        <v>199</v>
      </c>
      <c r="D183" s="5">
        <v>7.48E7</v>
      </c>
      <c r="E183" s="4"/>
      <c r="F183" s="5" t="s">
        <v>3</v>
      </c>
      <c r="G183" s="4">
        <v>4.1260469309000003E8</v>
      </c>
      <c r="H183" s="4"/>
      <c r="I183" s="6"/>
    </row>
    <row r="184">
      <c r="A184" s="8">
        <v>46306.0</v>
      </c>
      <c r="B184" s="3" t="s">
        <v>196</v>
      </c>
      <c r="C184" s="3" t="s">
        <v>199</v>
      </c>
      <c r="D184" s="5">
        <v>6.7921E7</v>
      </c>
      <c r="E184" s="4"/>
      <c r="F184" s="5" t="s">
        <v>3</v>
      </c>
      <c r="G184" s="4">
        <v>3.4468369309000003E8</v>
      </c>
      <c r="H184" s="4"/>
      <c r="I184" s="6"/>
    </row>
    <row r="185">
      <c r="A185" s="8">
        <v>46306.0</v>
      </c>
      <c r="B185" s="3" t="s">
        <v>196</v>
      </c>
      <c r="C185" s="3" t="s">
        <v>200</v>
      </c>
      <c r="D185" s="5">
        <v>1838300.0</v>
      </c>
      <c r="E185" s="4"/>
      <c r="F185" s="5" t="s">
        <v>3</v>
      </c>
      <c r="G185" s="4">
        <v>3.4284539309000003E8</v>
      </c>
      <c r="H185" s="4"/>
      <c r="I185" s="6"/>
    </row>
    <row r="186">
      <c r="A186" s="8">
        <v>46306.0</v>
      </c>
      <c r="B186" s="3" t="s">
        <v>196</v>
      </c>
      <c r="C186" s="3" t="s">
        <v>201</v>
      </c>
      <c r="D186" s="5">
        <v>1.23E8</v>
      </c>
      <c r="E186" s="4"/>
      <c r="F186" s="5" t="s">
        <v>3</v>
      </c>
      <c r="G186" s="4">
        <v>2.1984539309000003E8</v>
      </c>
      <c r="H186" s="4"/>
      <c r="I186" s="6"/>
    </row>
    <row r="187">
      <c r="A187" s="8">
        <v>46306.0</v>
      </c>
      <c r="B187" s="3" t="s">
        <v>202</v>
      </c>
      <c r="C187" s="3" t="s">
        <v>203</v>
      </c>
      <c r="D187" s="5"/>
      <c r="E187" s="5">
        <v>200000.0</v>
      </c>
      <c r="F187" s="5" t="s">
        <v>12</v>
      </c>
      <c r="G187" s="4">
        <v>2.2004539309000003E8</v>
      </c>
      <c r="H187" s="5">
        <v>2.2004539309E8</v>
      </c>
      <c r="I187" s="6"/>
    </row>
    <row r="188">
      <c r="A188" s="8">
        <v>46306.0</v>
      </c>
      <c r="B188" s="3" t="s">
        <v>196</v>
      </c>
      <c r="C188" s="3" t="s">
        <v>204</v>
      </c>
      <c r="D188" s="5">
        <v>2.199233E8</v>
      </c>
      <c r="E188" s="4"/>
      <c r="F188" s="5" t="s">
        <v>3</v>
      </c>
      <c r="G188" s="4">
        <v>122093.09000003338</v>
      </c>
      <c r="H188" s="5">
        <v>122093.09</v>
      </c>
      <c r="I188" s="6"/>
    </row>
    <row r="189">
      <c r="A189" s="8">
        <v>46306.0</v>
      </c>
      <c r="B189" s="3" t="s">
        <v>202</v>
      </c>
      <c r="C189" s="3" t="s">
        <v>205</v>
      </c>
      <c r="D189" s="5"/>
      <c r="E189" s="5">
        <v>3.9930465E8</v>
      </c>
      <c r="F189" s="5" t="s">
        <v>12</v>
      </c>
      <c r="G189" s="4">
        <v>3.9942674309000003E8</v>
      </c>
      <c r="H189" s="4"/>
      <c r="I189" s="6"/>
    </row>
    <row r="190">
      <c r="A190" s="8">
        <v>46306.0</v>
      </c>
      <c r="B190" s="3" t="s">
        <v>202</v>
      </c>
      <c r="C190" s="3" t="s">
        <v>206</v>
      </c>
      <c r="D190" s="5"/>
      <c r="E190" s="5">
        <v>6.969956E7</v>
      </c>
      <c r="F190" s="5" t="s">
        <v>12</v>
      </c>
      <c r="G190" s="4">
        <v>4.6912630309000003E8</v>
      </c>
      <c r="H190" s="4"/>
      <c r="I190" s="6"/>
    </row>
    <row r="191">
      <c r="A191" s="8">
        <v>46306.0</v>
      </c>
      <c r="B191" s="3" t="s">
        <v>1</v>
      </c>
      <c r="C191" s="3" t="s">
        <v>207</v>
      </c>
      <c r="D191" s="5">
        <v>3.443384E8</v>
      </c>
      <c r="E191" s="4"/>
      <c r="F191" s="5" t="s">
        <v>3</v>
      </c>
      <c r="G191" s="4">
        <v>1.2478790309000003E8</v>
      </c>
      <c r="H191" s="4"/>
      <c r="I191" s="6"/>
    </row>
    <row r="192">
      <c r="A192" s="8">
        <v>46306.0</v>
      </c>
      <c r="B192" s="3" t="s">
        <v>1</v>
      </c>
      <c r="C192" s="3" t="s">
        <v>208</v>
      </c>
      <c r="D192" s="5">
        <v>5.70038E7</v>
      </c>
      <c r="E192" s="4"/>
      <c r="F192" s="5" t="s">
        <v>3</v>
      </c>
      <c r="G192" s="4">
        <v>6.778410309000003E7</v>
      </c>
      <c r="H192" s="4"/>
      <c r="I192" s="6"/>
    </row>
    <row r="193">
      <c r="A193" s="8">
        <v>46306.0</v>
      </c>
      <c r="B193" s="3" t="s">
        <v>1</v>
      </c>
      <c r="C193" s="3" t="s">
        <v>209</v>
      </c>
      <c r="D193" s="5">
        <v>5.72204E7</v>
      </c>
      <c r="E193" s="4"/>
      <c r="F193" s="5" t="s">
        <v>3</v>
      </c>
      <c r="G193" s="4">
        <v>1.0563703090000033E7</v>
      </c>
      <c r="H193" s="4"/>
      <c r="I193" s="6"/>
    </row>
    <row r="194">
      <c r="A194" s="8">
        <v>46306.0</v>
      </c>
      <c r="B194" s="3" t="s">
        <v>1</v>
      </c>
      <c r="C194" s="3" t="s">
        <v>210</v>
      </c>
      <c r="D194" s="5">
        <v>2300000.0</v>
      </c>
      <c r="E194" s="4"/>
      <c r="F194" s="5" t="s">
        <v>3</v>
      </c>
      <c r="G194" s="4">
        <v>8263703.090000033</v>
      </c>
      <c r="H194" s="4"/>
      <c r="I194" s="6"/>
    </row>
    <row r="195">
      <c r="A195" s="8">
        <v>46306.0</v>
      </c>
      <c r="B195" s="3" t="s">
        <v>10</v>
      </c>
      <c r="C195" s="3" t="s">
        <v>211</v>
      </c>
      <c r="D195" s="5"/>
      <c r="E195" s="5">
        <v>5.88938E7</v>
      </c>
      <c r="F195" s="5" t="s">
        <v>12</v>
      </c>
      <c r="G195" s="4">
        <v>6.715750309000003E7</v>
      </c>
      <c r="H195" s="4"/>
      <c r="I195" s="6"/>
    </row>
    <row r="196">
      <c r="A196" s="8">
        <v>46306.0</v>
      </c>
      <c r="B196" s="3" t="s">
        <v>10</v>
      </c>
      <c r="C196" s="3" t="s">
        <v>212</v>
      </c>
      <c r="D196" s="5"/>
      <c r="E196" s="5">
        <v>2.145915E8</v>
      </c>
      <c r="F196" s="5" t="s">
        <v>12</v>
      </c>
      <c r="G196" s="4">
        <v>2.8174900309000003E8</v>
      </c>
      <c r="H196" s="4"/>
      <c r="I196" s="6" t="s">
        <v>45</v>
      </c>
    </row>
    <row r="197">
      <c r="A197" s="8">
        <v>46306.0</v>
      </c>
      <c r="B197" s="3" t="s">
        <v>1</v>
      </c>
      <c r="C197" s="3" t="s">
        <v>213</v>
      </c>
      <c r="D197" s="5">
        <v>1.406699E8</v>
      </c>
      <c r="E197" s="4"/>
      <c r="F197" s="5" t="s">
        <v>3</v>
      </c>
      <c r="G197" s="4">
        <v>1.4107910309000003E8</v>
      </c>
      <c r="H197" s="4"/>
      <c r="I197" s="6" t="s">
        <v>45</v>
      </c>
    </row>
    <row r="198">
      <c r="A198" s="8">
        <v>46306.0</v>
      </c>
      <c r="B198" s="3" t="s">
        <v>1</v>
      </c>
      <c r="C198" s="3" t="s">
        <v>214</v>
      </c>
      <c r="D198" s="5">
        <v>4.909125E7</v>
      </c>
      <c r="E198" s="4"/>
      <c r="F198" s="5" t="s">
        <v>3</v>
      </c>
      <c r="G198" s="4">
        <v>9.198785309000003E7</v>
      </c>
      <c r="H198" s="4"/>
      <c r="I198" s="6" t="s">
        <v>45</v>
      </c>
    </row>
    <row r="199">
      <c r="A199" s="8">
        <v>46306.0</v>
      </c>
      <c r="B199" s="3" t="s">
        <v>1</v>
      </c>
      <c r="C199" s="3" t="s">
        <v>215</v>
      </c>
      <c r="D199" s="5">
        <v>6.30342E7</v>
      </c>
      <c r="E199" s="4"/>
      <c r="F199" s="5" t="s">
        <v>3</v>
      </c>
      <c r="G199" s="4">
        <v>2.8953653090000033E7</v>
      </c>
      <c r="H199" s="4"/>
      <c r="I199" s="6"/>
    </row>
    <row r="200">
      <c r="A200" s="8">
        <v>46306.0</v>
      </c>
      <c r="B200" s="3" t="s">
        <v>1</v>
      </c>
      <c r="C200" s="3" t="s">
        <v>216</v>
      </c>
      <c r="D200" s="5">
        <v>923190.0</v>
      </c>
      <c r="E200" s="4"/>
      <c r="F200" s="5" t="s">
        <v>3</v>
      </c>
      <c r="G200" s="4">
        <v>2.8030463090000033E7</v>
      </c>
      <c r="H200" s="5">
        <v>2.803046309E7</v>
      </c>
      <c r="I200" s="6"/>
    </row>
    <row r="201">
      <c r="A201" s="8">
        <v>46306.0</v>
      </c>
      <c r="B201" s="3" t="s">
        <v>1</v>
      </c>
      <c r="C201" s="3" t="s">
        <v>217</v>
      </c>
      <c r="D201" s="5">
        <v>2.797E7</v>
      </c>
      <c r="E201" s="4"/>
      <c r="F201" s="5" t="s">
        <v>3</v>
      </c>
      <c r="G201" s="4">
        <v>60463.09000003338</v>
      </c>
      <c r="H201" s="5">
        <v>60463.09</v>
      </c>
      <c r="I201" s="6"/>
    </row>
    <row r="202">
      <c r="A202" s="8">
        <v>46306.0</v>
      </c>
      <c r="B202" s="3" t="s">
        <v>10</v>
      </c>
      <c r="C202" s="3" t="s">
        <v>218</v>
      </c>
      <c r="D202" s="5"/>
      <c r="E202" s="5">
        <v>2.3684546E8</v>
      </c>
      <c r="F202" s="5" t="s">
        <v>12</v>
      </c>
      <c r="G202" s="4">
        <v>2.3690592309000003E8</v>
      </c>
      <c r="H202" s="4"/>
      <c r="I202" s="6"/>
    </row>
    <row r="203">
      <c r="A203" s="8">
        <v>46306.0</v>
      </c>
      <c r="B203" s="3" t="s">
        <v>1</v>
      </c>
      <c r="C203" s="3" t="s">
        <v>219</v>
      </c>
      <c r="D203" s="5">
        <v>7360350.0</v>
      </c>
      <c r="E203" s="4"/>
      <c r="F203" s="5" t="s">
        <v>3</v>
      </c>
      <c r="G203" s="4">
        <v>2.2954557309000003E8</v>
      </c>
      <c r="H203" s="4"/>
      <c r="I203" s="6"/>
    </row>
    <row r="204">
      <c r="A204" s="8">
        <v>46306.0</v>
      </c>
      <c r="B204" s="3" t="s">
        <v>220</v>
      </c>
      <c r="C204" s="3" t="s">
        <v>221</v>
      </c>
      <c r="D204" s="5">
        <v>317200.0</v>
      </c>
      <c r="E204" s="4"/>
      <c r="F204" s="4"/>
      <c r="G204" s="4">
        <v>2.2922837309000003E8</v>
      </c>
      <c r="H204" s="4"/>
      <c r="I204" s="6"/>
    </row>
    <row r="205">
      <c r="A205" s="8">
        <v>46306.0</v>
      </c>
      <c r="B205" s="3" t="s">
        <v>1</v>
      </c>
      <c r="C205" s="3" t="s">
        <v>222</v>
      </c>
      <c r="D205" s="5">
        <v>3.99E7</v>
      </c>
      <c r="E205" s="4"/>
      <c r="F205" s="5" t="s">
        <v>3</v>
      </c>
      <c r="G205" s="4">
        <v>1.8932837309000003E8</v>
      </c>
      <c r="H205" s="4"/>
      <c r="I205" s="6"/>
    </row>
    <row r="206">
      <c r="A206" s="8">
        <v>46306.0</v>
      </c>
      <c r="B206" s="3" t="s">
        <v>1</v>
      </c>
      <c r="C206" s="3" t="s">
        <v>223</v>
      </c>
      <c r="D206" s="5">
        <v>4.080139E7</v>
      </c>
      <c r="E206" s="4"/>
      <c r="F206" s="5" t="s">
        <v>3</v>
      </c>
      <c r="G206" s="4">
        <v>1.4852698309000003E8</v>
      </c>
      <c r="H206" s="4"/>
      <c r="I206" s="6"/>
    </row>
    <row r="207">
      <c r="A207" s="8">
        <v>46306.0</v>
      </c>
      <c r="B207" s="3" t="s">
        <v>1</v>
      </c>
      <c r="C207" s="3" t="s">
        <v>224</v>
      </c>
      <c r="D207" s="5">
        <v>2.3E7</v>
      </c>
      <c r="E207" s="4"/>
      <c r="F207" s="5" t="s">
        <v>3</v>
      </c>
      <c r="G207" s="4">
        <v>1.2552698309000003E8</v>
      </c>
      <c r="H207" s="5">
        <v>1.2552698309E8</v>
      </c>
      <c r="I207" s="6"/>
    </row>
    <row r="208">
      <c r="A208" s="8">
        <v>46307.0</v>
      </c>
      <c r="B208" s="3" t="s">
        <v>225</v>
      </c>
      <c r="C208" s="3" t="s">
        <v>226</v>
      </c>
      <c r="D208" s="5"/>
      <c r="E208" s="5">
        <v>1.3266E8</v>
      </c>
      <c r="F208" s="5" t="s">
        <v>12</v>
      </c>
      <c r="G208" s="4">
        <v>2.5818698309000003E8</v>
      </c>
      <c r="H208" s="4"/>
      <c r="I208" s="6" t="s">
        <v>45</v>
      </c>
    </row>
    <row r="209">
      <c r="A209" s="8">
        <v>46307.0</v>
      </c>
      <c r="B209" s="3" t="s">
        <v>225</v>
      </c>
      <c r="C209" s="3" t="s">
        <v>227</v>
      </c>
      <c r="D209" s="5"/>
      <c r="E209" s="5">
        <v>2.0E7</v>
      </c>
      <c r="F209" s="5" t="s">
        <v>12</v>
      </c>
      <c r="G209" s="4">
        <v>2.7818698309000003E8</v>
      </c>
      <c r="H209" s="4"/>
      <c r="I209" s="6" t="s">
        <v>45</v>
      </c>
    </row>
    <row r="210">
      <c r="A210" s="8">
        <v>46307.0</v>
      </c>
      <c r="B210" s="3" t="s">
        <v>225</v>
      </c>
      <c r="C210" s="3" t="s">
        <v>228</v>
      </c>
      <c r="D210" s="5"/>
      <c r="E210" s="5">
        <v>6.5E7</v>
      </c>
      <c r="F210" s="5" t="s">
        <v>12</v>
      </c>
      <c r="G210" s="4">
        <v>3.4318698309000003E8</v>
      </c>
      <c r="H210" s="4"/>
      <c r="I210" s="6" t="s">
        <v>45</v>
      </c>
    </row>
    <row r="211">
      <c r="A211" s="8">
        <v>46307.0</v>
      </c>
      <c r="B211" s="3" t="s">
        <v>225</v>
      </c>
      <c r="C211" s="3" t="s">
        <v>229</v>
      </c>
      <c r="D211" s="5"/>
      <c r="E211" s="5">
        <v>7.259095E7</v>
      </c>
      <c r="F211" s="5" t="s">
        <v>12</v>
      </c>
      <c r="G211" s="4">
        <v>4.1577793309000003E8</v>
      </c>
      <c r="H211" s="4"/>
      <c r="I211" s="6" t="s">
        <v>45</v>
      </c>
    </row>
    <row r="212">
      <c r="A212" s="8">
        <v>46307.0</v>
      </c>
      <c r="B212" s="3" t="s">
        <v>225</v>
      </c>
      <c r="C212" s="3" t="s">
        <v>230</v>
      </c>
      <c r="D212" s="5"/>
      <c r="E212" s="5">
        <v>4.5E7</v>
      </c>
      <c r="F212" s="5" t="s">
        <v>12</v>
      </c>
      <c r="G212" s="4">
        <v>4.6077793309000003E8</v>
      </c>
      <c r="H212" s="4"/>
      <c r="I212" s="6" t="s">
        <v>45</v>
      </c>
    </row>
    <row r="213">
      <c r="A213" s="8">
        <v>46307.0</v>
      </c>
      <c r="B213" s="3" t="s">
        <v>1</v>
      </c>
      <c r="C213" s="3" t="s">
        <v>231</v>
      </c>
      <c r="D213" s="5">
        <v>1.19769E8</v>
      </c>
      <c r="E213" s="4"/>
      <c r="F213" s="5" t="s">
        <v>3</v>
      </c>
      <c r="G213" s="4">
        <v>3.4100893309000003E8</v>
      </c>
      <c r="H213" s="5">
        <v>3.4100893309E8</v>
      </c>
      <c r="I213" s="6" t="s">
        <v>45</v>
      </c>
    </row>
    <row r="214">
      <c r="A214" s="8">
        <v>46307.0</v>
      </c>
      <c r="B214" s="3" t="s">
        <v>1</v>
      </c>
      <c r="C214" s="3" t="s">
        <v>232</v>
      </c>
      <c r="D214" s="5">
        <v>1.9899518E8</v>
      </c>
      <c r="E214" s="4"/>
      <c r="F214" s="5" t="s">
        <v>3</v>
      </c>
      <c r="G214" s="4">
        <v>1.4201375309000003E8</v>
      </c>
      <c r="H214" s="5">
        <v>1.4201375309E8</v>
      </c>
      <c r="I214" s="6" t="s">
        <v>45</v>
      </c>
    </row>
    <row r="215">
      <c r="A215" s="8">
        <v>46307.0</v>
      </c>
      <c r="B215" s="3" t="s">
        <v>1</v>
      </c>
      <c r="C215" s="3" t="s">
        <v>233</v>
      </c>
      <c r="D215" s="5">
        <v>6.061E7</v>
      </c>
      <c r="E215" s="4"/>
      <c r="F215" s="5" t="s">
        <v>3</v>
      </c>
      <c r="G215" s="4">
        <v>8.140375309000003E7</v>
      </c>
      <c r="H215" s="4"/>
      <c r="I215" s="6" t="s">
        <v>45</v>
      </c>
    </row>
    <row r="216">
      <c r="A216" s="8">
        <v>46307.0</v>
      </c>
      <c r="B216" s="3" t="s">
        <v>1</v>
      </c>
      <c r="C216" s="3" t="s">
        <v>234</v>
      </c>
      <c r="D216" s="5">
        <v>7.120035E7</v>
      </c>
      <c r="E216" s="4"/>
      <c r="F216" s="5" t="s">
        <v>3</v>
      </c>
      <c r="G216" s="4">
        <v>1.0203403090000033E7</v>
      </c>
      <c r="H216" s="4"/>
      <c r="I216" s="6"/>
    </row>
    <row r="217">
      <c r="A217" s="8">
        <v>46307.0</v>
      </c>
      <c r="B217" s="3" t="s">
        <v>1</v>
      </c>
      <c r="C217" s="3" t="s">
        <v>235</v>
      </c>
      <c r="D217" s="5">
        <v>6005000.0</v>
      </c>
      <c r="E217" s="4"/>
      <c r="F217" s="5" t="s">
        <v>3</v>
      </c>
      <c r="G217" s="4">
        <v>4198403.090000033</v>
      </c>
      <c r="H217" s="4"/>
      <c r="I217" s="6"/>
    </row>
    <row r="218">
      <c r="A218" s="8">
        <v>46307.0</v>
      </c>
      <c r="B218" s="3" t="s">
        <v>1</v>
      </c>
      <c r="C218" s="3" t="s">
        <v>236</v>
      </c>
      <c r="D218" s="5">
        <v>4103370.0</v>
      </c>
      <c r="E218" s="4"/>
      <c r="F218" s="5" t="s">
        <v>3</v>
      </c>
      <c r="G218" s="4">
        <v>95033.09000003338</v>
      </c>
      <c r="H218" s="4"/>
      <c r="I218" s="6" t="s">
        <v>45</v>
      </c>
    </row>
    <row r="219">
      <c r="A219" s="8">
        <v>46307.0</v>
      </c>
      <c r="B219" s="3" t="s">
        <v>10</v>
      </c>
      <c r="C219" s="3" t="s">
        <v>237</v>
      </c>
      <c r="D219" s="5"/>
      <c r="E219" s="5">
        <v>5.34037E7</v>
      </c>
      <c r="F219" s="5" t="s">
        <v>12</v>
      </c>
      <c r="G219" s="4">
        <v>5.349873309000003E7</v>
      </c>
      <c r="H219" s="4"/>
      <c r="I219" s="6" t="s">
        <v>45</v>
      </c>
    </row>
    <row r="220">
      <c r="A220" s="8">
        <v>46307.0</v>
      </c>
      <c r="B220" s="3" t="s">
        <v>10</v>
      </c>
      <c r="C220" s="3" t="s">
        <v>238</v>
      </c>
      <c r="D220" s="5"/>
      <c r="E220" s="5">
        <v>1.724409E7</v>
      </c>
      <c r="F220" s="5" t="s">
        <v>12</v>
      </c>
      <c r="G220" s="4">
        <v>7.074282309000003E7</v>
      </c>
      <c r="H220" s="4"/>
      <c r="I220" s="6"/>
    </row>
    <row r="221">
      <c r="A221" s="8">
        <v>46307.0</v>
      </c>
      <c r="B221" s="3" t="s">
        <v>10</v>
      </c>
      <c r="C221" s="3" t="s">
        <v>239</v>
      </c>
      <c r="D221" s="5"/>
      <c r="E221" s="5">
        <v>1.037176E8</v>
      </c>
      <c r="F221" s="5" t="s">
        <v>12</v>
      </c>
      <c r="G221" s="4">
        <v>1.7446042309000003E8</v>
      </c>
      <c r="H221" s="4"/>
      <c r="I221" s="6" t="s">
        <v>45</v>
      </c>
    </row>
    <row r="222">
      <c r="A222" s="8">
        <v>46307.0</v>
      </c>
      <c r="B222" s="3" t="s">
        <v>10</v>
      </c>
      <c r="C222" s="3" t="s">
        <v>240</v>
      </c>
      <c r="D222" s="5"/>
      <c r="E222" s="5">
        <v>2911150.0</v>
      </c>
      <c r="F222" s="5" t="s">
        <v>12</v>
      </c>
      <c r="G222" s="4">
        <v>1.7737157309000003E8</v>
      </c>
      <c r="H222" s="4"/>
      <c r="I222" s="6"/>
    </row>
    <row r="223">
      <c r="A223" s="8">
        <v>46307.0</v>
      </c>
      <c r="B223" s="3" t="s">
        <v>10</v>
      </c>
      <c r="C223" s="3" t="s">
        <v>241</v>
      </c>
      <c r="D223" s="5"/>
      <c r="E223" s="5">
        <v>1.8859017E8</v>
      </c>
      <c r="F223" s="5" t="s">
        <v>12</v>
      </c>
      <c r="G223" s="4">
        <v>3.6596174309000003E8</v>
      </c>
      <c r="H223" s="4"/>
      <c r="I223" s="6" t="s">
        <v>45</v>
      </c>
    </row>
    <row r="224">
      <c r="A224" s="8">
        <v>46307.0</v>
      </c>
      <c r="B224" s="3" t="s">
        <v>10</v>
      </c>
      <c r="C224" s="3" t="s">
        <v>242</v>
      </c>
      <c r="D224" s="5"/>
      <c r="E224" s="5">
        <v>1.2069157E8</v>
      </c>
      <c r="F224" s="5" t="s">
        <v>12</v>
      </c>
      <c r="G224" s="4">
        <v>4.8665331309000003E8</v>
      </c>
      <c r="H224" s="4"/>
      <c r="I224" s="6"/>
    </row>
    <row r="225">
      <c r="A225" s="8">
        <v>46307.0</v>
      </c>
      <c r="B225" s="3" t="s">
        <v>243</v>
      </c>
      <c r="C225" s="3" t="s">
        <v>243</v>
      </c>
      <c r="D225" s="5">
        <v>800000.0</v>
      </c>
      <c r="E225" s="4"/>
      <c r="F225" s="4"/>
      <c r="G225" s="4">
        <v>4.8585331309000003E8</v>
      </c>
      <c r="H225" s="4"/>
      <c r="I225" s="6"/>
    </row>
    <row r="226">
      <c r="A226" s="8">
        <v>46307.0</v>
      </c>
      <c r="B226" s="3" t="s">
        <v>1</v>
      </c>
      <c r="C226" s="3" t="s">
        <v>244</v>
      </c>
      <c r="D226" s="5">
        <v>6918910.0</v>
      </c>
      <c r="E226" s="4"/>
      <c r="F226" s="5" t="s">
        <v>3</v>
      </c>
      <c r="G226" s="4">
        <v>4.7893440309000003E8</v>
      </c>
      <c r="H226" s="4"/>
      <c r="I226" s="6"/>
    </row>
    <row r="227">
      <c r="A227" s="8">
        <v>46307.0</v>
      </c>
      <c r="B227" s="3" t="s">
        <v>1</v>
      </c>
      <c r="C227" s="3" t="s">
        <v>245</v>
      </c>
      <c r="D227" s="5">
        <v>8060540.0</v>
      </c>
      <c r="E227" s="4"/>
      <c r="F227" s="5" t="s">
        <v>3</v>
      </c>
      <c r="G227" s="4">
        <v>4.7087386309000003E8</v>
      </c>
      <c r="H227" s="5">
        <v>4.7087386309E8</v>
      </c>
      <c r="I227" s="6"/>
    </row>
    <row r="228">
      <c r="A228" s="8">
        <v>46307.0</v>
      </c>
      <c r="B228" s="3" t="s">
        <v>10</v>
      </c>
      <c r="C228" s="3" t="s">
        <v>246</v>
      </c>
      <c r="D228" s="5"/>
      <c r="E228" s="5">
        <v>7.28E7</v>
      </c>
      <c r="F228" s="5" t="s">
        <v>12</v>
      </c>
      <c r="G228" s="4">
        <v>5.4367386309E8</v>
      </c>
      <c r="H228" s="5">
        <v>5.4367386309E8</v>
      </c>
      <c r="I228" s="6"/>
    </row>
    <row r="229">
      <c r="A229" s="8">
        <v>46307.0</v>
      </c>
      <c r="B229" s="3" t="s">
        <v>1</v>
      </c>
      <c r="C229" s="3" t="s">
        <v>247</v>
      </c>
      <c r="D229" s="5">
        <v>6.886626E7</v>
      </c>
      <c r="E229" s="4"/>
      <c r="F229" s="5" t="s">
        <v>3</v>
      </c>
      <c r="G229" s="4">
        <v>4.7480760309000003E8</v>
      </c>
      <c r="H229" s="4"/>
      <c r="I229" s="6"/>
    </row>
    <row r="230">
      <c r="A230" s="8">
        <v>46307.0</v>
      </c>
      <c r="B230" s="3" t="s">
        <v>1</v>
      </c>
      <c r="C230" s="3" t="s">
        <v>248</v>
      </c>
      <c r="D230" s="5">
        <v>4.93446E7</v>
      </c>
      <c r="E230" s="4"/>
      <c r="F230" s="5" t="s">
        <v>3</v>
      </c>
      <c r="G230" s="4">
        <v>4.2546300309000003E8</v>
      </c>
      <c r="H230" s="4"/>
      <c r="I230" s="6" t="s">
        <v>45</v>
      </c>
    </row>
    <row r="231">
      <c r="A231" s="8">
        <v>46307.0</v>
      </c>
      <c r="B231" s="3" t="s">
        <v>1</v>
      </c>
      <c r="C231" s="3" t="s">
        <v>249</v>
      </c>
      <c r="D231" s="5">
        <v>2.124E8</v>
      </c>
      <c r="E231" s="4"/>
      <c r="F231" s="5" t="s">
        <v>3</v>
      </c>
      <c r="G231" s="4">
        <v>2.1306300309000003E8</v>
      </c>
      <c r="H231" s="4"/>
      <c r="I231" s="6" t="s">
        <v>45</v>
      </c>
    </row>
    <row r="232">
      <c r="A232" s="8">
        <v>46307.0</v>
      </c>
      <c r="B232" s="3" t="s">
        <v>1</v>
      </c>
      <c r="C232" s="3" t="s">
        <v>250</v>
      </c>
      <c r="D232" s="5">
        <v>8.76E7</v>
      </c>
      <c r="E232" s="4"/>
      <c r="F232" s="5" t="s">
        <v>3</v>
      </c>
      <c r="G232" s="4">
        <v>1.2546300309000003E8</v>
      </c>
      <c r="H232" s="4"/>
      <c r="I232" s="6" t="s">
        <v>45</v>
      </c>
    </row>
    <row r="233">
      <c r="A233" s="8">
        <v>46307.0</v>
      </c>
      <c r="B233" s="3" t="s">
        <v>1</v>
      </c>
      <c r="C233" s="3" t="s">
        <v>251</v>
      </c>
      <c r="D233" s="5">
        <v>1.7259E7</v>
      </c>
      <c r="E233" s="4"/>
      <c r="F233" s="5" t="s">
        <v>3</v>
      </c>
      <c r="G233" s="4">
        <v>1.0820400309000003E8</v>
      </c>
      <c r="H233" s="5">
        <v>1.0820400309E8</v>
      </c>
      <c r="I233" s="6" t="s">
        <v>45</v>
      </c>
    </row>
    <row r="234">
      <c r="A234" s="8">
        <v>46308.0</v>
      </c>
      <c r="B234" s="3" t="s">
        <v>252</v>
      </c>
      <c r="C234" s="3" t="s">
        <v>253</v>
      </c>
      <c r="D234" s="5"/>
      <c r="E234" s="5">
        <v>3.234918E8</v>
      </c>
      <c r="F234" s="5" t="s">
        <v>12</v>
      </c>
      <c r="G234" s="4">
        <v>4.3169580309000003E8</v>
      </c>
      <c r="H234" s="4"/>
      <c r="I234" s="6" t="s">
        <v>45</v>
      </c>
    </row>
    <row r="235">
      <c r="A235" s="8">
        <v>46308.0</v>
      </c>
      <c r="B235" s="3" t="s">
        <v>252</v>
      </c>
      <c r="C235" s="3" t="s">
        <v>254</v>
      </c>
      <c r="D235" s="5"/>
      <c r="E235" s="5">
        <v>6.0E7</v>
      </c>
      <c r="F235" s="5" t="s">
        <v>12</v>
      </c>
      <c r="G235" s="4">
        <v>4.9169580309000003E8</v>
      </c>
      <c r="H235" s="4"/>
      <c r="I235" s="6" t="s">
        <v>45</v>
      </c>
    </row>
    <row r="236">
      <c r="A236" s="8">
        <v>46308.0</v>
      </c>
      <c r="B236" s="3" t="s">
        <v>255</v>
      </c>
      <c r="C236" s="3" t="s">
        <v>256</v>
      </c>
      <c r="D236" s="5">
        <v>1400000.0</v>
      </c>
      <c r="E236" s="4"/>
      <c r="F236" s="5" t="s">
        <v>3</v>
      </c>
      <c r="G236" s="4">
        <v>4.9029580309000003E8</v>
      </c>
      <c r="H236" s="4"/>
      <c r="I236" s="6" t="s">
        <v>45</v>
      </c>
    </row>
    <row r="237">
      <c r="A237" s="8">
        <v>46308.0</v>
      </c>
      <c r="B237" s="3" t="s">
        <v>252</v>
      </c>
      <c r="C237" s="3" t="s">
        <v>257</v>
      </c>
      <c r="D237" s="5"/>
      <c r="E237" s="5">
        <v>4936720.0</v>
      </c>
      <c r="F237" s="5" t="s">
        <v>12</v>
      </c>
      <c r="G237" s="4">
        <v>4.9523252309000003E8</v>
      </c>
      <c r="H237" s="4"/>
      <c r="I237" s="6"/>
    </row>
    <row r="238">
      <c r="A238" s="8">
        <v>46308.0</v>
      </c>
      <c r="B238" s="3" t="s">
        <v>1</v>
      </c>
      <c r="C238" s="3" t="s">
        <v>258</v>
      </c>
      <c r="D238" s="5">
        <v>5.827372E7</v>
      </c>
      <c r="E238" s="4"/>
      <c r="F238" s="5" t="s">
        <v>3</v>
      </c>
      <c r="G238" s="4">
        <v>4.3695880309000003E8</v>
      </c>
      <c r="H238" s="4"/>
      <c r="I238" s="6"/>
    </row>
    <row r="239">
      <c r="A239" s="8">
        <v>46308.0</v>
      </c>
      <c r="B239" s="3" t="s">
        <v>1</v>
      </c>
      <c r="C239" s="3" t="s">
        <v>259</v>
      </c>
      <c r="D239" s="5">
        <v>1.33E8</v>
      </c>
      <c r="E239" s="4"/>
      <c r="F239" s="5" t="s">
        <v>3</v>
      </c>
      <c r="G239" s="4">
        <v>3.0395880309000003E8</v>
      </c>
      <c r="H239" s="4"/>
      <c r="I239" s="6"/>
    </row>
    <row r="240">
      <c r="A240" s="8">
        <v>46308.0</v>
      </c>
      <c r="B240" s="3" t="s">
        <v>10</v>
      </c>
      <c r="C240" s="3" t="s">
        <v>260</v>
      </c>
      <c r="D240" s="5"/>
      <c r="E240" s="5">
        <v>1.7725485E8</v>
      </c>
      <c r="F240" s="5" t="s">
        <v>12</v>
      </c>
      <c r="G240" s="4">
        <v>4.8121365309000003E8</v>
      </c>
      <c r="H240" s="5">
        <v>4.8121365309E8</v>
      </c>
      <c r="I240" s="6"/>
    </row>
    <row r="241">
      <c r="A241" s="8">
        <v>46308.0</v>
      </c>
      <c r="B241" s="3" t="s">
        <v>10</v>
      </c>
      <c r="C241" s="3" t="s">
        <v>261</v>
      </c>
      <c r="D241" s="5"/>
      <c r="E241" s="5">
        <v>1.992638E8</v>
      </c>
      <c r="F241" s="5" t="s">
        <v>12</v>
      </c>
      <c r="G241" s="4">
        <v>6.8047745309E8</v>
      </c>
      <c r="H241" s="5">
        <v>6.8047745309E8</v>
      </c>
      <c r="I241" s="6" t="s">
        <v>13</v>
      </c>
    </row>
    <row r="242">
      <c r="A242" s="8">
        <v>46308.0</v>
      </c>
      <c r="B242" s="3" t="s">
        <v>10</v>
      </c>
      <c r="C242" s="3" t="s">
        <v>262</v>
      </c>
      <c r="D242" s="5"/>
      <c r="E242" s="5">
        <v>4.8982228E7</v>
      </c>
      <c r="F242" s="5" t="s">
        <v>12</v>
      </c>
      <c r="G242" s="4">
        <v>7.2945968109E8</v>
      </c>
      <c r="H242" s="4"/>
      <c r="I242" s="6"/>
    </row>
    <row r="243">
      <c r="A243" s="8">
        <v>46308.0</v>
      </c>
      <c r="B243" s="3" t="s">
        <v>10</v>
      </c>
      <c r="C243" s="3" t="s">
        <v>263</v>
      </c>
      <c r="D243" s="5"/>
      <c r="E243" s="5">
        <v>1.0E8</v>
      </c>
      <c r="F243" s="5" t="s">
        <v>12</v>
      </c>
      <c r="G243" s="4">
        <v>8.2945968109E8</v>
      </c>
      <c r="H243" s="4"/>
      <c r="I243" s="6"/>
    </row>
    <row r="244">
      <c r="A244" s="8">
        <v>46308.0</v>
      </c>
      <c r="B244" s="3" t="s">
        <v>10</v>
      </c>
      <c r="C244" s="3" t="s">
        <v>264</v>
      </c>
      <c r="D244" s="5"/>
      <c r="E244" s="5">
        <v>3.67676E7</v>
      </c>
      <c r="F244" s="5" t="s">
        <v>12</v>
      </c>
      <c r="G244" s="4">
        <v>8.6622728109E8</v>
      </c>
      <c r="H244" s="4"/>
      <c r="I244" s="6"/>
    </row>
    <row r="245">
      <c r="A245" s="8">
        <v>46308.0</v>
      </c>
      <c r="B245" s="3" t="s">
        <v>1</v>
      </c>
      <c r="C245" s="3" t="s">
        <v>265</v>
      </c>
      <c r="D245" s="5">
        <v>5.58478E7</v>
      </c>
      <c r="E245" s="4"/>
      <c r="F245" s="5" t="s">
        <v>3</v>
      </c>
      <c r="G245" s="4">
        <v>8.1037948109E8</v>
      </c>
      <c r="H245" s="4"/>
      <c r="I245" s="6" t="s">
        <v>45</v>
      </c>
    </row>
    <row r="246">
      <c r="A246" s="8">
        <v>46308.0</v>
      </c>
      <c r="B246" s="3" t="s">
        <v>1</v>
      </c>
      <c r="C246" s="3" t="s">
        <v>266</v>
      </c>
      <c r="D246" s="5">
        <v>1207520.0</v>
      </c>
      <c r="E246" s="4"/>
      <c r="F246" s="5" t="s">
        <v>3</v>
      </c>
      <c r="G246" s="4">
        <v>8.0917196109E8</v>
      </c>
      <c r="H246" s="4"/>
      <c r="I246" s="6"/>
    </row>
    <row r="247">
      <c r="A247" s="8">
        <v>46308.0</v>
      </c>
      <c r="B247" s="3" t="s">
        <v>1</v>
      </c>
      <c r="C247" s="3" t="s">
        <v>267</v>
      </c>
      <c r="D247" s="5">
        <v>2.331114E8</v>
      </c>
      <c r="E247" s="4"/>
      <c r="F247" s="5" t="s">
        <v>3</v>
      </c>
      <c r="G247" s="4">
        <v>5.7606056109E8</v>
      </c>
      <c r="H247" s="4"/>
      <c r="I247" s="6"/>
    </row>
    <row r="248">
      <c r="A248" s="8">
        <v>46308.0</v>
      </c>
      <c r="B248" s="3" t="s">
        <v>1</v>
      </c>
      <c r="C248" s="3" t="s">
        <v>268</v>
      </c>
      <c r="D248" s="5">
        <v>6.08513E7</v>
      </c>
      <c r="E248" s="4"/>
      <c r="F248" s="5" t="s">
        <v>3</v>
      </c>
      <c r="G248" s="4">
        <v>5.1520926109000003E8</v>
      </c>
      <c r="H248" s="4"/>
      <c r="I248" s="6"/>
    </row>
    <row r="249">
      <c r="A249" s="8">
        <v>46308.0</v>
      </c>
      <c r="B249" s="3" t="s">
        <v>1</v>
      </c>
      <c r="C249" s="3" t="s">
        <v>269</v>
      </c>
      <c r="D249" s="5">
        <v>6.08513E7</v>
      </c>
      <c r="E249" s="4"/>
      <c r="F249" s="5" t="s">
        <v>3</v>
      </c>
      <c r="G249" s="4">
        <v>4.5435796109000003E8</v>
      </c>
      <c r="H249" s="4"/>
      <c r="I249" s="6"/>
    </row>
    <row r="250">
      <c r="A250" s="8">
        <v>46308.0</v>
      </c>
      <c r="B250" s="3" t="s">
        <v>1</v>
      </c>
      <c r="C250" s="3" t="s">
        <v>270</v>
      </c>
      <c r="D250" s="5">
        <v>5.92E7</v>
      </c>
      <c r="E250" s="4"/>
      <c r="F250" s="5" t="s">
        <v>3</v>
      </c>
      <c r="G250" s="4">
        <v>3.9515796109000003E8</v>
      </c>
      <c r="H250" s="4"/>
      <c r="I250" s="6"/>
    </row>
    <row r="251">
      <c r="A251" s="8">
        <v>46308.0</v>
      </c>
      <c r="B251" s="3" t="s">
        <v>1</v>
      </c>
      <c r="C251" s="3" t="s">
        <v>271</v>
      </c>
      <c r="D251" s="5">
        <v>2.81865E7</v>
      </c>
      <c r="E251" s="4"/>
      <c r="F251" s="5" t="s">
        <v>3</v>
      </c>
      <c r="G251" s="4">
        <v>3.6697146109000003E8</v>
      </c>
      <c r="H251" s="4"/>
      <c r="I251" s="6"/>
    </row>
    <row r="252">
      <c r="A252" s="8">
        <v>46308.0</v>
      </c>
      <c r="B252" s="3" t="s">
        <v>1</v>
      </c>
      <c r="C252" s="3" t="s">
        <v>272</v>
      </c>
      <c r="D252" s="5">
        <v>4940000.0</v>
      </c>
      <c r="E252" s="4"/>
      <c r="F252" s="5" t="s">
        <v>3</v>
      </c>
      <c r="G252" s="4">
        <v>3.6203146109000003E8</v>
      </c>
      <c r="H252" s="4"/>
      <c r="I252" s="6"/>
    </row>
    <row r="253">
      <c r="A253" s="8">
        <v>46308.0</v>
      </c>
      <c r="B253" s="3" t="s">
        <v>1</v>
      </c>
      <c r="C253" s="3" t="s">
        <v>273</v>
      </c>
      <c r="D253" s="5">
        <v>4.446E7</v>
      </c>
      <c r="E253" s="4"/>
      <c r="F253" s="5" t="s">
        <v>3</v>
      </c>
      <c r="G253" s="4">
        <v>3.1757146109000003E8</v>
      </c>
      <c r="H253" s="5">
        <v>3.1757146109E8</v>
      </c>
      <c r="I253" s="6"/>
    </row>
    <row r="254">
      <c r="A254" s="8">
        <v>46308.0</v>
      </c>
      <c r="B254" s="3" t="s">
        <v>1</v>
      </c>
      <c r="C254" s="3" t="s">
        <v>274</v>
      </c>
      <c r="D254" s="5">
        <v>6.825E7</v>
      </c>
      <c r="E254" s="4"/>
      <c r="F254" s="5" t="s">
        <v>3</v>
      </c>
      <c r="G254" s="4">
        <v>2.4932146109000003E8</v>
      </c>
      <c r="H254" s="5">
        <v>2.4932146109E8</v>
      </c>
      <c r="I254" s="6"/>
    </row>
    <row r="255">
      <c r="A255" s="8">
        <v>46308.0</v>
      </c>
      <c r="B255" s="3" t="s">
        <v>1</v>
      </c>
      <c r="C255" s="3" t="s">
        <v>275</v>
      </c>
      <c r="D255" s="5">
        <v>2200000.0</v>
      </c>
      <c r="E255" s="4"/>
      <c r="F255" s="5" t="s">
        <v>3</v>
      </c>
      <c r="G255" s="4">
        <v>2.4712146109000003E8</v>
      </c>
      <c r="H255" s="4"/>
      <c r="I255" s="6"/>
    </row>
    <row r="256">
      <c r="A256" s="8">
        <v>46308.0</v>
      </c>
      <c r="B256" s="3" t="s">
        <v>1</v>
      </c>
      <c r="C256" s="3" t="s">
        <v>276</v>
      </c>
      <c r="D256" s="5">
        <v>1000000.0</v>
      </c>
      <c r="E256" s="4"/>
      <c r="F256" s="5" t="s">
        <v>3</v>
      </c>
      <c r="G256" s="4">
        <v>2.4612146109000003E8</v>
      </c>
      <c r="H256" s="4"/>
      <c r="I256" s="6"/>
    </row>
    <row r="257">
      <c r="A257" s="8">
        <v>46308.0</v>
      </c>
      <c r="B257" s="3" t="s">
        <v>10</v>
      </c>
      <c r="C257" s="3" t="s">
        <v>277</v>
      </c>
      <c r="D257" s="5"/>
      <c r="E257" s="5">
        <v>2700000.0</v>
      </c>
      <c r="F257" s="5" t="s">
        <v>12</v>
      </c>
      <c r="G257" s="4">
        <v>2.4882146109000003E8</v>
      </c>
      <c r="H257" s="5">
        <v>2.4882146109E8</v>
      </c>
      <c r="I257" s="6"/>
    </row>
    <row r="258">
      <c r="A258" s="8">
        <v>46309.0</v>
      </c>
      <c r="B258" s="3" t="s">
        <v>278</v>
      </c>
      <c r="C258" s="3" t="s">
        <v>279</v>
      </c>
      <c r="D258" s="5"/>
      <c r="E258" s="5">
        <v>6.0E7</v>
      </c>
      <c r="F258" s="5" t="s">
        <v>12</v>
      </c>
      <c r="G258" s="4">
        <v>3.0882146109000003E8</v>
      </c>
      <c r="H258" s="4"/>
      <c r="I258" s="6"/>
    </row>
    <row r="259">
      <c r="A259" s="8">
        <v>46309.0</v>
      </c>
      <c r="B259" s="3" t="s">
        <v>280</v>
      </c>
      <c r="C259" s="3" t="s">
        <v>280</v>
      </c>
      <c r="D259" s="5">
        <v>500000.0</v>
      </c>
      <c r="E259" s="4"/>
      <c r="F259" s="4"/>
      <c r="G259" s="4">
        <v>3.0832146109000003E8</v>
      </c>
      <c r="H259" s="4"/>
      <c r="I259" s="6"/>
    </row>
    <row r="260">
      <c r="A260" s="8">
        <v>46309.0</v>
      </c>
      <c r="B260" s="3" t="s">
        <v>10</v>
      </c>
      <c r="C260" s="3" t="s">
        <v>281</v>
      </c>
      <c r="D260" s="5"/>
      <c r="E260" s="5">
        <v>7.155048E7</v>
      </c>
      <c r="F260" s="5" t="s">
        <v>12</v>
      </c>
      <c r="G260" s="4">
        <v>3.7987194109000003E8</v>
      </c>
      <c r="H260" s="4"/>
      <c r="I260" s="6"/>
    </row>
    <row r="261">
      <c r="A261" s="8">
        <v>46309.0</v>
      </c>
      <c r="B261" s="3" t="s">
        <v>10</v>
      </c>
      <c r="C261" s="3" t="s">
        <v>282</v>
      </c>
      <c r="D261" s="5"/>
      <c r="E261" s="5">
        <v>5.0E7</v>
      </c>
      <c r="F261" s="5" t="s">
        <v>12</v>
      </c>
      <c r="G261" s="4">
        <v>4.2987194109000003E8</v>
      </c>
      <c r="H261" s="4"/>
      <c r="I261" s="6"/>
    </row>
    <row r="262">
      <c r="A262" s="8">
        <v>46309.0</v>
      </c>
      <c r="B262" s="3" t="s">
        <v>1</v>
      </c>
      <c r="C262" s="3" t="s">
        <v>283</v>
      </c>
      <c r="D262" s="5">
        <v>6.59974E7</v>
      </c>
      <c r="E262" s="4"/>
      <c r="F262" s="5" t="s">
        <v>3</v>
      </c>
      <c r="G262" s="4">
        <v>3.6387454109000003E8</v>
      </c>
      <c r="H262" s="4"/>
      <c r="I262" s="6" t="s">
        <v>8</v>
      </c>
    </row>
    <row r="263">
      <c r="A263" s="8">
        <v>46309.0</v>
      </c>
      <c r="B263" s="3" t="s">
        <v>1</v>
      </c>
      <c r="C263" s="3" t="s">
        <v>284</v>
      </c>
      <c r="D263" s="5">
        <v>7.04E7</v>
      </c>
      <c r="E263" s="4"/>
      <c r="F263" s="5" t="s">
        <v>3</v>
      </c>
      <c r="G263" s="4">
        <v>2.9347454109000003E8</v>
      </c>
      <c r="H263" s="4"/>
      <c r="I263" s="6" t="s">
        <v>8</v>
      </c>
    </row>
    <row r="264">
      <c r="A264" s="8">
        <v>46309.0</v>
      </c>
      <c r="B264" s="3" t="s">
        <v>1</v>
      </c>
      <c r="C264" s="3" t="s">
        <v>285</v>
      </c>
      <c r="D264" s="5">
        <v>2000000.0</v>
      </c>
      <c r="E264" s="4"/>
      <c r="F264" s="5" t="s">
        <v>3</v>
      </c>
      <c r="G264" s="4">
        <v>2.9147454109000003E8</v>
      </c>
      <c r="H264" s="4"/>
      <c r="I264" s="6" t="s">
        <v>8</v>
      </c>
    </row>
    <row r="265">
      <c r="A265" s="8">
        <v>46309.0</v>
      </c>
      <c r="B265" s="3" t="s">
        <v>1</v>
      </c>
      <c r="C265" s="3" t="s">
        <v>286</v>
      </c>
      <c r="D265" s="5">
        <v>5.7E7</v>
      </c>
      <c r="E265" s="4"/>
      <c r="F265" s="5" t="s">
        <v>3</v>
      </c>
      <c r="G265" s="4">
        <v>2.3447454109000003E8</v>
      </c>
      <c r="H265" s="4"/>
      <c r="I265" s="6" t="s">
        <v>8</v>
      </c>
    </row>
    <row r="266">
      <c r="A266" s="8">
        <v>46309.0</v>
      </c>
      <c r="B266" s="3" t="s">
        <v>1</v>
      </c>
      <c r="C266" s="3" t="s">
        <v>287</v>
      </c>
      <c r="D266" s="5">
        <v>2.282883E8</v>
      </c>
      <c r="E266" s="4"/>
      <c r="F266" s="5" t="s">
        <v>3</v>
      </c>
      <c r="G266" s="4">
        <v>6186241.090000033</v>
      </c>
      <c r="H266" s="4"/>
      <c r="I266" s="6" t="s">
        <v>8</v>
      </c>
    </row>
    <row r="267">
      <c r="A267" s="8">
        <v>46309.0</v>
      </c>
      <c r="B267" s="3" t="s">
        <v>1</v>
      </c>
      <c r="C267" s="3" t="s">
        <v>288</v>
      </c>
      <c r="D267" s="5">
        <v>4783850.0</v>
      </c>
      <c r="E267" s="4"/>
      <c r="F267" s="5" t="s">
        <v>3</v>
      </c>
      <c r="G267" s="4">
        <v>1402391.0900000334</v>
      </c>
      <c r="H267" s="5">
        <v>1402391.09</v>
      </c>
      <c r="I267" s="6" t="s">
        <v>8</v>
      </c>
    </row>
    <row r="268">
      <c r="A268" s="8">
        <v>46309.0</v>
      </c>
      <c r="B268" s="3" t="s">
        <v>1</v>
      </c>
      <c r="C268" s="3" t="s">
        <v>289</v>
      </c>
      <c r="D268" s="5">
        <v>1000000.0</v>
      </c>
      <c r="E268" s="4"/>
      <c r="F268" s="5" t="s">
        <v>3</v>
      </c>
      <c r="G268" s="4">
        <v>402391.0900000334</v>
      </c>
      <c r="H268" s="5">
        <v>402391.09</v>
      </c>
      <c r="I268" s="6" t="s">
        <v>13</v>
      </c>
    </row>
    <row r="269">
      <c r="A269" s="8">
        <v>46309.0</v>
      </c>
      <c r="B269" s="3" t="s">
        <v>10</v>
      </c>
      <c r="C269" s="3" t="s">
        <v>290</v>
      </c>
      <c r="D269" s="5"/>
      <c r="E269" s="5">
        <v>1.755735E8</v>
      </c>
      <c r="F269" s="5" t="s">
        <v>12</v>
      </c>
      <c r="G269" s="4">
        <v>1.7597589109000003E8</v>
      </c>
      <c r="H269" s="4"/>
      <c r="I269" s="6" t="s">
        <v>8</v>
      </c>
    </row>
    <row r="270">
      <c r="A270" s="8">
        <v>46309.0</v>
      </c>
      <c r="B270" s="3" t="s">
        <v>1</v>
      </c>
      <c r="C270" s="3" t="s">
        <v>291</v>
      </c>
      <c r="D270" s="5">
        <v>6.7203E7</v>
      </c>
      <c r="E270" s="4"/>
      <c r="F270" s="5" t="s">
        <v>3</v>
      </c>
      <c r="G270" s="4">
        <v>1.0877289109000003E8</v>
      </c>
      <c r="H270" s="4"/>
      <c r="I270" s="6" t="s">
        <v>8</v>
      </c>
    </row>
    <row r="271">
      <c r="A271" s="8">
        <v>46309.0</v>
      </c>
      <c r="B271" s="3" t="s">
        <v>10</v>
      </c>
      <c r="C271" s="3" t="s">
        <v>292</v>
      </c>
      <c r="D271" s="5"/>
      <c r="E271" s="5">
        <v>6.878E7</v>
      </c>
      <c r="F271" s="5" t="s">
        <v>12</v>
      </c>
      <c r="G271" s="4">
        <v>1.7755289109000003E8</v>
      </c>
      <c r="H271" s="4"/>
      <c r="I271" s="6" t="s">
        <v>8</v>
      </c>
    </row>
    <row r="272">
      <c r="A272" s="8">
        <v>46309.0</v>
      </c>
      <c r="B272" s="3" t="s">
        <v>10</v>
      </c>
      <c r="C272" s="3" t="s">
        <v>293</v>
      </c>
      <c r="D272" s="5"/>
      <c r="E272" s="5">
        <v>6.65418E7</v>
      </c>
      <c r="F272" s="5" t="s">
        <v>12</v>
      </c>
      <c r="G272" s="4">
        <v>2.4409469109000003E8</v>
      </c>
      <c r="H272" s="4"/>
      <c r="I272" s="6" t="s">
        <v>8</v>
      </c>
    </row>
    <row r="273">
      <c r="A273" s="8">
        <v>46309.0</v>
      </c>
      <c r="B273" s="3" t="s">
        <v>10</v>
      </c>
      <c r="C273" s="3" t="s">
        <v>294</v>
      </c>
      <c r="D273" s="5"/>
      <c r="E273" s="5">
        <v>100000.0</v>
      </c>
      <c r="F273" s="5" t="s">
        <v>12</v>
      </c>
      <c r="G273" s="4">
        <v>2.4419469109000003E8</v>
      </c>
      <c r="H273" s="4"/>
      <c r="I273" s="6" t="s">
        <v>8</v>
      </c>
    </row>
    <row r="274">
      <c r="A274" s="8">
        <v>46309.0</v>
      </c>
      <c r="B274" s="3" t="s">
        <v>1</v>
      </c>
      <c r="C274" s="3" t="s">
        <v>295</v>
      </c>
      <c r="D274" s="5">
        <v>6.65418E7</v>
      </c>
      <c r="E274" s="4"/>
      <c r="F274" s="5" t="s">
        <v>3</v>
      </c>
      <c r="G274" s="4">
        <v>1.7765289109000003E8</v>
      </c>
      <c r="H274" s="4"/>
      <c r="I274" s="6" t="s">
        <v>8</v>
      </c>
    </row>
    <row r="275">
      <c r="A275" s="8">
        <v>46309.0</v>
      </c>
      <c r="B275" s="3" t="s">
        <v>1</v>
      </c>
      <c r="C275" s="3" t="s">
        <v>296</v>
      </c>
      <c r="D275" s="5">
        <v>1.008895E7</v>
      </c>
      <c r="E275" s="4"/>
      <c r="F275" s="5" t="s">
        <v>3</v>
      </c>
      <c r="G275" s="4">
        <v>1.6756394109000003E8</v>
      </c>
      <c r="H275" s="5">
        <v>1.6756394109E8</v>
      </c>
      <c r="I275" s="6" t="s">
        <v>8</v>
      </c>
    </row>
    <row r="276">
      <c r="A276" s="8">
        <v>46310.0</v>
      </c>
      <c r="B276" s="3" t="s">
        <v>297</v>
      </c>
      <c r="C276" s="3" t="s">
        <v>298</v>
      </c>
      <c r="D276" s="5"/>
      <c r="E276" s="5">
        <v>6.5E7</v>
      </c>
      <c r="F276" s="5" t="s">
        <v>12</v>
      </c>
      <c r="G276" s="4">
        <v>2.3256394109000003E8</v>
      </c>
      <c r="H276" s="4"/>
      <c r="I276" s="6" t="s">
        <v>8</v>
      </c>
    </row>
    <row r="277">
      <c r="A277" s="8">
        <v>46310.0</v>
      </c>
      <c r="B277" s="3" t="s">
        <v>297</v>
      </c>
      <c r="C277" s="3" t="s">
        <v>299</v>
      </c>
      <c r="D277" s="5"/>
      <c r="E277" s="5">
        <v>6.55343E7</v>
      </c>
      <c r="F277" s="5" t="s">
        <v>12</v>
      </c>
      <c r="G277" s="4">
        <v>2.9809824109000003E8</v>
      </c>
      <c r="H277" s="4"/>
      <c r="I277" s="6" t="s">
        <v>8</v>
      </c>
    </row>
    <row r="278">
      <c r="A278" s="8">
        <v>46310.0</v>
      </c>
      <c r="B278" s="3" t="s">
        <v>1</v>
      </c>
      <c r="C278" s="3" t="s">
        <v>300</v>
      </c>
      <c r="D278" s="5">
        <v>3298370.0</v>
      </c>
      <c r="E278" s="4"/>
      <c r="F278" s="5" t="s">
        <v>3</v>
      </c>
      <c r="G278" s="4">
        <v>2.9479987109000003E8</v>
      </c>
      <c r="H278" s="4"/>
      <c r="I278" s="6" t="s">
        <v>8</v>
      </c>
    </row>
    <row r="279">
      <c r="A279" s="8">
        <v>46310.0</v>
      </c>
      <c r="B279" s="3" t="s">
        <v>1</v>
      </c>
      <c r="C279" s="3" t="s">
        <v>301</v>
      </c>
      <c r="D279" s="5">
        <v>1000000.0</v>
      </c>
      <c r="E279" s="4"/>
      <c r="F279" s="5" t="s">
        <v>3</v>
      </c>
      <c r="G279" s="4">
        <v>2.9379987109000003E8</v>
      </c>
      <c r="H279" s="4"/>
      <c r="I279" s="6" t="s">
        <v>8</v>
      </c>
    </row>
    <row r="280">
      <c r="A280" s="8">
        <v>46310.0</v>
      </c>
      <c r="B280" s="3" t="s">
        <v>1</v>
      </c>
      <c r="C280" s="3" t="s">
        <v>302</v>
      </c>
      <c r="D280" s="5">
        <v>6169140.0</v>
      </c>
      <c r="E280" s="4"/>
      <c r="F280" s="5" t="s">
        <v>3</v>
      </c>
      <c r="G280" s="4">
        <v>2.8763073109000003E8</v>
      </c>
      <c r="H280" s="4"/>
      <c r="I280" s="6" t="s">
        <v>8</v>
      </c>
    </row>
    <row r="281">
      <c r="A281" s="8">
        <v>46310.0</v>
      </c>
      <c r="B281" s="3" t="s">
        <v>1</v>
      </c>
      <c r="C281" s="3" t="s">
        <v>303</v>
      </c>
      <c r="D281" s="5">
        <v>2500000.0</v>
      </c>
      <c r="E281" s="4"/>
      <c r="F281" s="5" t="s">
        <v>3</v>
      </c>
      <c r="G281" s="4">
        <v>2.8513073109000003E8</v>
      </c>
      <c r="H281" s="5">
        <v>2.8513073109E8</v>
      </c>
      <c r="I281" s="6" t="s">
        <v>8</v>
      </c>
    </row>
    <row r="282">
      <c r="A282" s="8">
        <v>46310.0</v>
      </c>
      <c r="B282" s="3" t="s">
        <v>1</v>
      </c>
      <c r="C282" s="3" t="s">
        <v>304</v>
      </c>
      <c r="D282" s="5">
        <v>6213870.0</v>
      </c>
      <c r="E282" s="4"/>
      <c r="F282" s="5" t="s">
        <v>3</v>
      </c>
      <c r="G282" s="4">
        <v>2.7891686109000003E8</v>
      </c>
      <c r="H282" s="5">
        <v>2.7891686109E8</v>
      </c>
      <c r="I282" s="6" t="s">
        <v>8</v>
      </c>
    </row>
    <row r="283">
      <c r="A283" s="8">
        <v>46310.0</v>
      </c>
      <c r="B283" s="3" t="s">
        <v>1</v>
      </c>
      <c r="C283" s="3" t="s">
        <v>305</v>
      </c>
      <c r="D283" s="5">
        <v>1.8323655E8</v>
      </c>
      <c r="E283" s="4"/>
      <c r="F283" s="5" t="s">
        <v>3</v>
      </c>
      <c r="G283" s="4">
        <v>9.568031109000003E7</v>
      </c>
      <c r="H283" s="4"/>
      <c r="I283" s="6" t="s">
        <v>8</v>
      </c>
    </row>
    <row r="284">
      <c r="A284" s="8">
        <v>46310.0</v>
      </c>
      <c r="B284" s="3" t="s">
        <v>1</v>
      </c>
      <c r="C284" s="3" t="s">
        <v>306</v>
      </c>
      <c r="D284" s="5">
        <v>8.0E7</v>
      </c>
      <c r="E284" s="4"/>
      <c r="F284" s="5" t="s">
        <v>3</v>
      </c>
      <c r="G284" s="4">
        <v>1.5680311090000033E7</v>
      </c>
      <c r="H284" s="4"/>
      <c r="I284" s="6" t="s">
        <v>8</v>
      </c>
    </row>
    <row r="285">
      <c r="A285" s="8">
        <v>46310.0</v>
      </c>
      <c r="B285" s="3" t="s">
        <v>10</v>
      </c>
      <c r="C285" s="3" t="s">
        <v>307</v>
      </c>
      <c r="D285" s="5"/>
      <c r="E285" s="5">
        <v>1.0E8</v>
      </c>
      <c r="F285" s="5" t="s">
        <v>12</v>
      </c>
      <c r="G285" s="4">
        <v>1.1568031109000003E8</v>
      </c>
      <c r="H285" s="4"/>
      <c r="I285" s="6" t="s">
        <v>8</v>
      </c>
    </row>
    <row r="286">
      <c r="A286" s="8">
        <v>46310.0</v>
      </c>
      <c r="B286" s="3" t="s">
        <v>10</v>
      </c>
      <c r="C286" s="3" t="s">
        <v>308</v>
      </c>
      <c r="D286" s="5"/>
      <c r="E286" s="5">
        <v>7.2447E7</v>
      </c>
      <c r="F286" s="5" t="s">
        <v>12</v>
      </c>
      <c r="G286" s="4">
        <v>1.8812731109000003E8</v>
      </c>
      <c r="H286" s="4"/>
      <c r="I286" s="6" t="s">
        <v>8</v>
      </c>
    </row>
    <row r="287">
      <c r="A287" s="8">
        <v>46310.0</v>
      </c>
      <c r="B287" s="3" t="s">
        <v>1</v>
      </c>
      <c r="C287" s="3" t="s">
        <v>309</v>
      </c>
      <c r="D287" s="5">
        <v>1.218909E8</v>
      </c>
      <c r="E287" s="4"/>
      <c r="F287" s="5" t="s">
        <v>3</v>
      </c>
      <c r="G287" s="4">
        <v>6.623641109000003E7</v>
      </c>
      <c r="H287" s="5">
        <v>6.623641109E7</v>
      </c>
      <c r="I287" s="6" t="s">
        <v>8</v>
      </c>
    </row>
    <row r="288">
      <c r="A288" s="8">
        <v>46311.0</v>
      </c>
      <c r="B288" s="3" t="s">
        <v>310</v>
      </c>
      <c r="C288" s="3" t="s">
        <v>311</v>
      </c>
      <c r="D288" s="5"/>
      <c r="E288" s="5">
        <v>1.35E8</v>
      </c>
      <c r="F288" s="5" t="s">
        <v>12</v>
      </c>
      <c r="G288" s="4">
        <v>2.0123641109000003E8</v>
      </c>
      <c r="H288" s="4"/>
      <c r="I288" s="6" t="s">
        <v>8</v>
      </c>
    </row>
    <row r="289">
      <c r="A289" s="8">
        <v>46311.0</v>
      </c>
      <c r="B289" s="3" t="s">
        <v>312</v>
      </c>
      <c r="C289" s="3" t="s">
        <v>313</v>
      </c>
      <c r="D289" s="5">
        <v>4187000.0</v>
      </c>
      <c r="E289" s="4"/>
      <c r="F289" s="5" t="s">
        <v>3</v>
      </c>
      <c r="G289" s="4">
        <v>1.9704941109000003E8</v>
      </c>
      <c r="H289" s="4"/>
      <c r="I289" s="6" t="s">
        <v>8</v>
      </c>
    </row>
    <row r="290">
      <c r="A290" s="8">
        <v>46311.0</v>
      </c>
      <c r="B290" s="3" t="s">
        <v>312</v>
      </c>
      <c r="C290" s="3" t="s">
        <v>314</v>
      </c>
      <c r="D290" s="5">
        <v>2500.0</v>
      </c>
      <c r="E290" s="4"/>
      <c r="F290" s="5" t="s">
        <v>3</v>
      </c>
      <c r="G290" s="4">
        <v>1.9704691109000003E8</v>
      </c>
      <c r="H290" s="4"/>
      <c r="I290" s="6" t="s">
        <v>8</v>
      </c>
    </row>
    <row r="291">
      <c r="A291" s="8">
        <v>46311.0</v>
      </c>
      <c r="B291" s="3" t="s">
        <v>315</v>
      </c>
      <c r="C291" s="3" t="s">
        <v>316</v>
      </c>
      <c r="D291" s="5">
        <v>5.75938E7</v>
      </c>
      <c r="E291" s="4"/>
      <c r="F291" s="5" t="s">
        <v>3</v>
      </c>
      <c r="G291" s="4">
        <v>1.3945311109000003E8</v>
      </c>
      <c r="H291" s="4"/>
      <c r="I291" s="6" t="s">
        <v>8</v>
      </c>
    </row>
    <row r="292">
      <c r="A292" s="8">
        <v>46311.0</v>
      </c>
      <c r="B292" s="3" t="s">
        <v>315</v>
      </c>
      <c r="C292" s="3" t="s">
        <v>317</v>
      </c>
      <c r="D292" s="5">
        <v>4.67016E7</v>
      </c>
      <c r="E292" s="4"/>
      <c r="F292" s="5" t="s">
        <v>3</v>
      </c>
      <c r="G292" s="4">
        <v>9.275151109000003E7</v>
      </c>
      <c r="H292" s="4"/>
      <c r="I292" s="6" t="s">
        <v>8</v>
      </c>
    </row>
    <row r="293">
      <c r="A293" s="8">
        <v>46311.0</v>
      </c>
      <c r="B293" s="3" t="s">
        <v>310</v>
      </c>
      <c r="C293" s="3" t="s">
        <v>318</v>
      </c>
      <c r="D293" s="5"/>
      <c r="E293" s="5">
        <v>4007200.0</v>
      </c>
      <c r="F293" s="5" t="s">
        <v>12</v>
      </c>
      <c r="G293" s="4">
        <v>9.675871109000003E7</v>
      </c>
      <c r="H293" s="5">
        <v>9.675871109E7</v>
      </c>
      <c r="I293" s="6" t="s">
        <v>8</v>
      </c>
    </row>
    <row r="294">
      <c r="A294" s="8">
        <v>46311.0</v>
      </c>
      <c r="B294" s="3" t="s">
        <v>310</v>
      </c>
      <c r="C294" s="3" t="s">
        <v>319</v>
      </c>
      <c r="D294" s="5"/>
      <c r="E294" s="5">
        <v>6.0E7</v>
      </c>
      <c r="F294" s="5" t="s">
        <v>12</v>
      </c>
      <c r="G294" s="4">
        <v>1.5675871109000003E8</v>
      </c>
      <c r="H294" s="5">
        <v>1.5675871109E8</v>
      </c>
      <c r="I294" s="6" t="s">
        <v>8</v>
      </c>
    </row>
    <row r="295">
      <c r="A295" s="8">
        <v>46311.0</v>
      </c>
      <c r="B295" s="3" t="s">
        <v>315</v>
      </c>
      <c r="C295" s="3" t="s">
        <v>320</v>
      </c>
      <c r="D295" s="5">
        <v>1.054759E8</v>
      </c>
      <c r="E295" s="4"/>
      <c r="F295" s="5" t="s">
        <v>3</v>
      </c>
      <c r="G295" s="4">
        <v>5.128281109000003E7</v>
      </c>
      <c r="H295" s="4"/>
      <c r="I295" s="6" t="s">
        <v>8</v>
      </c>
    </row>
    <row r="296">
      <c r="A296" s="8">
        <v>46311.0</v>
      </c>
      <c r="B296" s="3" t="s">
        <v>315</v>
      </c>
      <c r="C296" s="3" t="s">
        <v>321</v>
      </c>
      <c r="D296" s="5">
        <v>4.098465E7</v>
      </c>
      <c r="E296" s="4"/>
      <c r="F296" s="5" t="s">
        <v>3</v>
      </c>
      <c r="G296" s="4">
        <v>1.0298161090000033E7</v>
      </c>
      <c r="H296" s="4"/>
      <c r="I296" s="6" t="s">
        <v>8</v>
      </c>
    </row>
    <row r="297">
      <c r="A297" s="8">
        <v>46311.0</v>
      </c>
      <c r="B297" s="3" t="s">
        <v>1</v>
      </c>
      <c r="C297" s="3" t="s">
        <v>322</v>
      </c>
      <c r="D297" s="5">
        <v>8465830.0</v>
      </c>
      <c r="E297" s="4"/>
      <c r="F297" s="5" t="s">
        <v>3</v>
      </c>
      <c r="G297" s="4">
        <v>1832331.0900000334</v>
      </c>
      <c r="H297" s="4"/>
      <c r="I297" s="6" t="s">
        <v>8</v>
      </c>
    </row>
    <row r="298">
      <c r="A298" s="8">
        <v>46311.0</v>
      </c>
      <c r="B298" s="3" t="s">
        <v>10</v>
      </c>
      <c r="C298" s="3" t="s">
        <v>323</v>
      </c>
      <c r="D298" s="5"/>
      <c r="E298" s="5">
        <v>2.44314E8</v>
      </c>
      <c r="F298" s="5" t="s">
        <v>12</v>
      </c>
      <c r="G298" s="4">
        <v>2.4614633109000003E8</v>
      </c>
      <c r="H298" s="4"/>
      <c r="I298" s="6" t="s">
        <v>8</v>
      </c>
    </row>
    <row r="299">
      <c r="A299" s="8">
        <v>46311.0</v>
      </c>
      <c r="B299" s="3" t="s">
        <v>1</v>
      </c>
      <c r="C299" s="3" t="s">
        <v>324</v>
      </c>
      <c r="D299" s="5">
        <v>1.1165805E8</v>
      </c>
      <c r="E299" s="4"/>
      <c r="F299" s="5" t="s">
        <v>3</v>
      </c>
      <c r="G299" s="4">
        <v>1.3448828109000003E8</v>
      </c>
      <c r="H299" s="4"/>
      <c r="I299" s="6" t="s">
        <v>8</v>
      </c>
    </row>
    <row r="300">
      <c r="A300" s="8">
        <v>46311.0</v>
      </c>
      <c r="B300" s="3" t="s">
        <v>1</v>
      </c>
      <c r="C300" s="3" t="s">
        <v>325</v>
      </c>
      <c r="D300" s="5">
        <v>2000000.0</v>
      </c>
      <c r="E300" s="4"/>
      <c r="F300" s="5" t="s">
        <v>3</v>
      </c>
      <c r="G300" s="4">
        <v>1.3248828109000003E8</v>
      </c>
      <c r="H300" s="4"/>
      <c r="I300" s="6" t="s">
        <v>8</v>
      </c>
    </row>
    <row r="301">
      <c r="A301" s="8">
        <v>46311.0</v>
      </c>
      <c r="B301" s="3" t="s">
        <v>1</v>
      </c>
      <c r="C301" s="3" t="s">
        <v>326</v>
      </c>
      <c r="D301" s="5">
        <v>1861640.0</v>
      </c>
      <c r="E301" s="4"/>
      <c r="F301" s="5" t="s">
        <v>3</v>
      </c>
      <c r="G301" s="4">
        <v>1.3062664109000003E8</v>
      </c>
      <c r="H301" s="4"/>
      <c r="I301" s="6" t="s">
        <v>8</v>
      </c>
    </row>
    <row r="302">
      <c r="A302" s="8">
        <v>46311.0</v>
      </c>
      <c r="B302" s="3" t="s">
        <v>220</v>
      </c>
      <c r="C302" s="3" t="s">
        <v>327</v>
      </c>
      <c r="D302" s="5">
        <v>91300.0</v>
      </c>
      <c r="E302" s="4"/>
      <c r="F302" s="4"/>
      <c r="G302" s="4">
        <v>1.3053534109000003E8</v>
      </c>
      <c r="H302" s="4"/>
      <c r="I302" s="6" t="s">
        <v>8</v>
      </c>
    </row>
    <row r="303">
      <c r="A303" s="8">
        <v>46311.0</v>
      </c>
      <c r="B303" s="3" t="s">
        <v>1</v>
      </c>
      <c r="C303" s="3" t="s">
        <v>328</v>
      </c>
      <c r="D303" s="5">
        <v>6.948E7</v>
      </c>
      <c r="E303" s="4"/>
      <c r="F303" s="5" t="s">
        <v>3</v>
      </c>
      <c r="G303" s="4">
        <v>6.105534109000003E7</v>
      </c>
      <c r="H303" s="4"/>
      <c r="I303" s="6" t="s">
        <v>8</v>
      </c>
    </row>
    <row r="304">
      <c r="A304" s="8">
        <v>46311.0</v>
      </c>
      <c r="B304" s="3" t="s">
        <v>10</v>
      </c>
      <c r="C304" s="3" t="s">
        <v>329</v>
      </c>
      <c r="D304" s="5"/>
      <c r="E304" s="5">
        <v>7.241991E7</v>
      </c>
      <c r="F304" s="5" t="s">
        <v>12</v>
      </c>
      <c r="G304" s="4">
        <v>1.3347525109000003E8</v>
      </c>
      <c r="H304" s="4"/>
      <c r="I304" s="6" t="s">
        <v>8</v>
      </c>
    </row>
    <row r="305">
      <c r="A305" s="8">
        <v>46311.0</v>
      </c>
      <c r="B305" s="3" t="s">
        <v>10</v>
      </c>
      <c r="C305" s="3" t="s">
        <v>330</v>
      </c>
      <c r="D305" s="5"/>
      <c r="E305" s="5">
        <v>1.847014E8</v>
      </c>
      <c r="F305" s="5" t="s">
        <v>12</v>
      </c>
      <c r="G305" s="4">
        <v>3.1817665109000003E8</v>
      </c>
      <c r="H305" s="4"/>
      <c r="I305" s="6" t="s">
        <v>8</v>
      </c>
    </row>
    <row r="306">
      <c r="A306" s="8">
        <v>46311.0</v>
      </c>
      <c r="B306" s="3" t="s">
        <v>1</v>
      </c>
      <c r="C306" s="3" t="s">
        <v>331</v>
      </c>
      <c r="D306" s="5">
        <v>250000.0</v>
      </c>
      <c r="E306" s="4"/>
      <c r="F306" s="5" t="s">
        <v>3</v>
      </c>
      <c r="G306" s="4">
        <v>3.1792665109000003E8</v>
      </c>
      <c r="H306" s="5">
        <v>3.1792665109E8</v>
      </c>
      <c r="I306" s="6" t="s">
        <v>8</v>
      </c>
    </row>
    <row r="307">
      <c r="A307" s="8">
        <v>46311.0</v>
      </c>
      <c r="B307" s="3" t="s">
        <v>10</v>
      </c>
      <c r="C307" s="3" t="s">
        <v>332</v>
      </c>
      <c r="D307" s="5"/>
      <c r="E307" s="5">
        <v>1.0E8</v>
      </c>
      <c r="F307" s="5" t="s">
        <v>12</v>
      </c>
      <c r="G307" s="4">
        <v>4.1792665109000003E8</v>
      </c>
      <c r="H307" s="5">
        <v>4.1792665109E8</v>
      </c>
      <c r="I307" s="6" t="s">
        <v>8</v>
      </c>
    </row>
    <row r="308">
      <c r="A308" s="8">
        <v>46311.0</v>
      </c>
      <c r="B308" s="3" t="s">
        <v>10</v>
      </c>
      <c r="C308" s="3" t="s">
        <v>333</v>
      </c>
      <c r="D308" s="5"/>
      <c r="E308" s="5">
        <v>1.1281331E8</v>
      </c>
      <c r="F308" s="5" t="s">
        <v>12</v>
      </c>
      <c r="G308" s="4">
        <v>5.3073996109000003E8</v>
      </c>
      <c r="H308" s="4"/>
      <c r="I308" s="6" t="s">
        <v>8</v>
      </c>
    </row>
    <row r="309">
      <c r="A309" s="8">
        <v>46311.0</v>
      </c>
      <c r="B309" s="3" t="s">
        <v>10</v>
      </c>
      <c r="C309" s="3" t="s">
        <v>334</v>
      </c>
      <c r="D309" s="5"/>
      <c r="E309" s="5">
        <v>1.8361575E8</v>
      </c>
      <c r="F309" s="5" t="s">
        <v>12</v>
      </c>
      <c r="G309" s="4">
        <v>7.1435571109E8</v>
      </c>
      <c r="H309" s="4"/>
      <c r="I309" s="6" t="s">
        <v>8</v>
      </c>
    </row>
    <row r="310">
      <c r="A310" s="8">
        <v>46311.0</v>
      </c>
      <c r="B310" s="3" t="s">
        <v>1</v>
      </c>
      <c r="C310" s="3" t="s">
        <v>335</v>
      </c>
      <c r="D310" s="5">
        <v>6.195E7</v>
      </c>
      <c r="E310" s="4"/>
      <c r="F310" s="5" t="s">
        <v>3</v>
      </c>
      <c r="G310" s="4">
        <v>6.5240571109E8</v>
      </c>
      <c r="H310" s="4"/>
      <c r="I310" s="6" t="s">
        <v>8</v>
      </c>
    </row>
    <row r="311">
      <c r="A311" s="8">
        <v>46311.0</v>
      </c>
      <c r="B311" s="3" t="s">
        <v>1</v>
      </c>
      <c r="C311" s="3" t="s">
        <v>336</v>
      </c>
      <c r="D311" s="5">
        <v>6.28578E7</v>
      </c>
      <c r="E311" s="4"/>
      <c r="F311" s="5" t="s">
        <v>3</v>
      </c>
      <c r="G311" s="4">
        <v>5.8954791109E8</v>
      </c>
      <c r="H311" s="4"/>
      <c r="I311" s="6" t="s">
        <v>8</v>
      </c>
    </row>
    <row r="312">
      <c r="A312" s="8">
        <v>46311.0</v>
      </c>
      <c r="B312" s="3" t="s">
        <v>1</v>
      </c>
      <c r="C312" s="3" t="s">
        <v>337</v>
      </c>
      <c r="D312" s="5">
        <v>2.0E7</v>
      </c>
      <c r="E312" s="4"/>
      <c r="F312" s="5" t="s">
        <v>3</v>
      </c>
      <c r="G312" s="4">
        <v>5.6954791109E8</v>
      </c>
      <c r="H312" s="4"/>
      <c r="I312" s="6" t="s">
        <v>8</v>
      </c>
    </row>
    <row r="313">
      <c r="A313" s="8">
        <v>46311.0</v>
      </c>
      <c r="B313" s="3" t="s">
        <v>10</v>
      </c>
      <c r="C313" s="3" t="s">
        <v>338</v>
      </c>
      <c r="D313" s="5"/>
      <c r="E313" s="5">
        <v>1.427244E7</v>
      </c>
      <c r="F313" s="5" t="s">
        <v>12</v>
      </c>
      <c r="G313" s="4">
        <v>5.8382035109E8</v>
      </c>
      <c r="H313" s="4"/>
      <c r="I313" s="6" t="s">
        <v>8</v>
      </c>
    </row>
    <row r="314">
      <c r="A314" s="8">
        <v>46311.0</v>
      </c>
      <c r="B314" s="3" t="s">
        <v>1</v>
      </c>
      <c r="C314" s="3" t="s">
        <v>339</v>
      </c>
      <c r="D314" s="5">
        <v>1.145914E8</v>
      </c>
      <c r="E314" s="4"/>
      <c r="F314" s="5" t="s">
        <v>3</v>
      </c>
      <c r="G314" s="4">
        <v>4.6922895109000003E8</v>
      </c>
      <c r="H314" s="4"/>
      <c r="I314" s="6" t="s">
        <v>8</v>
      </c>
    </row>
    <row r="315">
      <c r="A315" s="8">
        <v>46311.0</v>
      </c>
      <c r="B315" s="3" t="s">
        <v>1</v>
      </c>
      <c r="C315" s="3" t="s">
        <v>340</v>
      </c>
      <c r="D315" s="5">
        <v>5.37425E7</v>
      </c>
      <c r="E315" s="4"/>
      <c r="F315" s="5" t="s">
        <v>3</v>
      </c>
      <c r="G315" s="4">
        <v>4.1548645109000003E8</v>
      </c>
      <c r="H315" s="4"/>
      <c r="I315" s="6" t="s">
        <v>8</v>
      </c>
    </row>
    <row r="316">
      <c r="A316" s="8">
        <v>46311.0</v>
      </c>
      <c r="B316" s="3" t="s">
        <v>1</v>
      </c>
      <c r="C316" s="3" t="s">
        <v>341</v>
      </c>
      <c r="D316" s="5">
        <v>2.197174E7</v>
      </c>
      <c r="E316" s="4"/>
      <c r="F316" s="5" t="s">
        <v>3</v>
      </c>
      <c r="G316" s="4">
        <v>3.9351471109000003E8</v>
      </c>
      <c r="H316" s="4"/>
      <c r="I316" s="6" t="s">
        <v>8</v>
      </c>
    </row>
    <row r="317">
      <c r="A317" s="8">
        <v>46311.0</v>
      </c>
      <c r="B317" s="3" t="s">
        <v>1</v>
      </c>
      <c r="C317" s="3" t="s">
        <v>342</v>
      </c>
      <c r="D317" s="5">
        <v>1.9774566E8</v>
      </c>
      <c r="E317" s="4"/>
      <c r="F317" s="5" t="s">
        <v>3</v>
      </c>
      <c r="G317" s="4">
        <v>1.9576905109000003E8</v>
      </c>
      <c r="H317" s="4"/>
      <c r="I317" s="6" t="s">
        <v>8</v>
      </c>
    </row>
    <row r="318">
      <c r="A318" s="8">
        <v>46311.0</v>
      </c>
      <c r="B318" s="3" t="s">
        <v>1</v>
      </c>
      <c r="C318" s="3" t="s">
        <v>343</v>
      </c>
      <c r="D318" s="5">
        <v>8.5E7</v>
      </c>
      <c r="E318" s="4"/>
      <c r="F318" s="5" t="s">
        <v>3</v>
      </c>
      <c r="G318" s="4">
        <v>1.1076905109000003E8</v>
      </c>
      <c r="H318" s="4"/>
      <c r="I318" s="6" t="s">
        <v>8</v>
      </c>
    </row>
    <row r="319">
      <c r="A319" s="8">
        <v>46311.0</v>
      </c>
      <c r="B319" s="3" t="s">
        <v>1</v>
      </c>
      <c r="C319" s="3" t="s">
        <v>344</v>
      </c>
      <c r="D319" s="5">
        <v>4.0E7</v>
      </c>
      <c r="E319" s="4"/>
      <c r="F319" s="5" t="s">
        <v>3</v>
      </c>
      <c r="G319" s="4">
        <v>7.076905109000003E7</v>
      </c>
      <c r="H319" s="5">
        <v>7.076905109E7</v>
      </c>
      <c r="I319" s="6" t="s">
        <v>8</v>
      </c>
    </row>
    <row r="320">
      <c r="A320" s="8">
        <v>46311.0</v>
      </c>
      <c r="B320" s="3" t="s">
        <v>10</v>
      </c>
      <c r="C320" s="3" t="s">
        <v>345</v>
      </c>
      <c r="D320" s="5"/>
      <c r="E320" s="5">
        <v>3.581986E8</v>
      </c>
      <c r="F320" s="5" t="s">
        <v>12</v>
      </c>
      <c r="G320" s="4">
        <v>4.2896765109000003E8</v>
      </c>
      <c r="H320" s="5">
        <v>4.2896765109E8</v>
      </c>
      <c r="I320" s="6" t="s">
        <v>8</v>
      </c>
    </row>
    <row r="321">
      <c r="A321" s="8">
        <v>46311.0</v>
      </c>
      <c r="B321" s="3" t="s">
        <v>1</v>
      </c>
      <c r="C321" s="3" t="s">
        <v>346</v>
      </c>
      <c r="D321" s="5">
        <v>4.74596E7</v>
      </c>
      <c r="E321" s="4"/>
      <c r="F321" s="5" t="s">
        <v>3</v>
      </c>
      <c r="G321" s="4">
        <v>3.8150805109000003E8</v>
      </c>
      <c r="H321" s="5">
        <v>3.8150805109E8</v>
      </c>
      <c r="I321" s="6" t="s">
        <v>8</v>
      </c>
    </row>
    <row r="322">
      <c r="A322" s="8">
        <v>46312.0</v>
      </c>
      <c r="B322" s="3" t="s">
        <v>347</v>
      </c>
      <c r="C322" s="3" t="s">
        <v>348</v>
      </c>
      <c r="D322" s="5"/>
      <c r="E322" s="5">
        <v>6.6E7</v>
      </c>
      <c r="F322" s="5" t="s">
        <v>12</v>
      </c>
      <c r="G322" s="4">
        <v>4.4750805109000003E8</v>
      </c>
      <c r="H322" s="4"/>
      <c r="I322" s="6" t="s">
        <v>8</v>
      </c>
    </row>
    <row r="323">
      <c r="A323" s="8">
        <v>46312.0</v>
      </c>
      <c r="B323" s="3" t="s">
        <v>10</v>
      </c>
      <c r="C323" s="3" t="s">
        <v>349</v>
      </c>
      <c r="D323" s="5"/>
      <c r="E323" s="5">
        <v>1.81E7</v>
      </c>
      <c r="F323" s="5" t="s">
        <v>12</v>
      </c>
      <c r="G323" s="4">
        <v>4.6560805109000003E8</v>
      </c>
      <c r="H323" s="4"/>
      <c r="I323" s="6" t="s">
        <v>8</v>
      </c>
    </row>
    <row r="324">
      <c r="A324" s="8">
        <v>46312.0</v>
      </c>
      <c r="B324" s="3" t="s">
        <v>1</v>
      </c>
      <c r="C324" s="3" t="s">
        <v>350</v>
      </c>
      <c r="D324" s="5">
        <v>1700000.0</v>
      </c>
      <c r="E324" s="4"/>
      <c r="F324" s="5" t="s">
        <v>3</v>
      </c>
      <c r="G324" s="4">
        <v>4.6390805109000003E8</v>
      </c>
      <c r="H324" s="4"/>
      <c r="I324" s="6" t="s">
        <v>8</v>
      </c>
    </row>
    <row r="325">
      <c r="A325" s="8">
        <v>46312.0</v>
      </c>
      <c r="B325" s="3" t="s">
        <v>1</v>
      </c>
      <c r="C325" s="3" t="s">
        <v>351</v>
      </c>
      <c r="D325" s="5">
        <v>1.41156E7</v>
      </c>
      <c r="E325" s="4"/>
      <c r="F325" s="5" t="s">
        <v>3</v>
      </c>
      <c r="G325" s="4">
        <v>4.4979245109000003E8</v>
      </c>
      <c r="H325" s="4"/>
      <c r="I325" s="6" t="s">
        <v>8</v>
      </c>
    </row>
    <row r="326">
      <c r="A326" s="8">
        <v>46312.0</v>
      </c>
      <c r="B326" s="3" t="s">
        <v>1</v>
      </c>
      <c r="C326" s="3" t="s">
        <v>352</v>
      </c>
      <c r="D326" s="5">
        <v>5.3226E7</v>
      </c>
      <c r="E326" s="4"/>
      <c r="F326" s="5" t="s">
        <v>3</v>
      </c>
      <c r="G326" s="4">
        <v>3.9656645109000003E8</v>
      </c>
      <c r="H326" s="4"/>
      <c r="I326" s="6" t="s">
        <v>8</v>
      </c>
    </row>
    <row r="327">
      <c r="A327" s="8">
        <v>46312.0</v>
      </c>
      <c r="B327" s="3" t="s">
        <v>1</v>
      </c>
      <c r="C327" s="3" t="s">
        <v>353</v>
      </c>
      <c r="D327" s="5">
        <v>1.075374E8</v>
      </c>
      <c r="E327" s="4"/>
      <c r="F327" s="5" t="s">
        <v>3</v>
      </c>
      <c r="G327" s="4">
        <v>2.8902905109000003E8</v>
      </c>
      <c r="H327" s="4"/>
      <c r="I327" s="6" t="s">
        <v>8</v>
      </c>
    </row>
    <row r="328">
      <c r="A328" s="8">
        <v>46312.0</v>
      </c>
      <c r="B328" s="3" t="s">
        <v>1</v>
      </c>
      <c r="C328" s="3" t="s">
        <v>354</v>
      </c>
      <c r="D328" s="5">
        <v>5.33466E7</v>
      </c>
      <c r="E328" s="4"/>
      <c r="F328" s="5" t="s">
        <v>3</v>
      </c>
      <c r="G328" s="4">
        <v>2.3568245109000003E8</v>
      </c>
      <c r="H328" s="4"/>
      <c r="I328" s="6" t="s">
        <v>8</v>
      </c>
    </row>
    <row r="329">
      <c r="A329" s="8">
        <v>46312.0</v>
      </c>
      <c r="B329" s="3" t="s">
        <v>1</v>
      </c>
      <c r="C329" s="3" t="s">
        <v>355</v>
      </c>
      <c r="D329" s="5">
        <v>7.20198E7</v>
      </c>
      <c r="E329" s="4"/>
      <c r="F329" s="5" t="s">
        <v>3</v>
      </c>
      <c r="G329" s="4">
        <v>1.6366265109000003E8</v>
      </c>
      <c r="H329" s="4"/>
      <c r="I329" s="6" t="s">
        <v>8</v>
      </c>
    </row>
    <row r="330">
      <c r="A330" s="8">
        <v>46312.0</v>
      </c>
      <c r="B330" s="3" t="s">
        <v>1</v>
      </c>
      <c r="C330" s="3" t="s">
        <v>356</v>
      </c>
      <c r="D330" s="5">
        <v>1.61063E8</v>
      </c>
      <c r="E330" s="4"/>
      <c r="F330" s="5" t="s">
        <v>3</v>
      </c>
      <c r="G330" s="4">
        <v>2599651.0900000334</v>
      </c>
      <c r="H330" s="4"/>
      <c r="I330" s="6" t="s">
        <v>8</v>
      </c>
    </row>
    <row r="331">
      <c r="A331" s="8">
        <v>46312.0</v>
      </c>
      <c r="B331" s="3" t="s">
        <v>1</v>
      </c>
      <c r="C331" s="3" t="s">
        <v>357</v>
      </c>
      <c r="D331" s="5">
        <v>2536600.0</v>
      </c>
      <c r="E331" s="4"/>
      <c r="F331" s="5" t="s">
        <v>3</v>
      </c>
      <c r="G331" s="4">
        <v>63051.09000003338</v>
      </c>
      <c r="H331" s="4"/>
      <c r="I331" s="6" t="s">
        <v>8</v>
      </c>
    </row>
    <row r="332">
      <c r="A332" s="8">
        <v>46312.0</v>
      </c>
      <c r="B332" s="3" t="s">
        <v>10</v>
      </c>
      <c r="C332" s="3" t="s">
        <v>358</v>
      </c>
      <c r="D332" s="5"/>
      <c r="E332" s="5">
        <v>1.51E7</v>
      </c>
      <c r="F332" s="5" t="s">
        <v>12</v>
      </c>
      <c r="G332" s="4">
        <v>1.5163051090000033E7</v>
      </c>
      <c r="H332" s="4"/>
      <c r="I332" s="6" t="s">
        <v>8</v>
      </c>
    </row>
    <row r="333">
      <c r="A333" s="8">
        <v>46312.0</v>
      </c>
      <c r="B333" s="3" t="s">
        <v>1</v>
      </c>
      <c r="C333" s="3" t="s">
        <v>359</v>
      </c>
      <c r="D333" s="5">
        <v>6616060.0</v>
      </c>
      <c r="E333" s="4"/>
      <c r="F333" s="5" t="s">
        <v>3</v>
      </c>
      <c r="G333" s="4">
        <v>8546991.090000033</v>
      </c>
      <c r="H333" s="5">
        <v>8546991.09</v>
      </c>
      <c r="I333" s="6" t="s">
        <v>8</v>
      </c>
    </row>
    <row r="334">
      <c r="A334" s="8">
        <v>46312.0</v>
      </c>
      <c r="B334" s="3" t="s">
        <v>1</v>
      </c>
      <c r="C334" s="3" t="s">
        <v>360</v>
      </c>
      <c r="D334" s="5">
        <v>4100000.0</v>
      </c>
      <c r="E334" s="4"/>
      <c r="F334" s="5" t="s">
        <v>3</v>
      </c>
      <c r="G334" s="4">
        <v>4446991.090000033</v>
      </c>
      <c r="H334" s="5">
        <v>4446991.09</v>
      </c>
      <c r="I334" s="6" t="s">
        <v>8</v>
      </c>
    </row>
    <row r="335">
      <c r="A335" s="8">
        <v>46312.0</v>
      </c>
      <c r="B335" s="3" t="s">
        <v>1</v>
      </c>
      <c r="C335" s="3" t="s">
        <v>361</v>
      </c>
      <c r="D335" s="5">
        <v>1244870.0</v>
      </c>
      <c r="E335" s="4"/>
      <c r="F335" s="5" t="s">
        <v>3</v>
      </c>
      <c r="G335" s="4">
        <v>3202121.0900000334</v>
      </c>
      <c r="H335" s="4"/>
      <c r="I335" s="6" t="s">
        <v>8</v>
      </c>
    </row>
    <row r="336">
      <c r="A336" s="8">
        <v>46312.0</v>
      </c>
      <c r="B336" s="3" t="s">
        <v>1</v>
      </c>
      <c r="C336" s="3" t="s">
        <v>362</v>
      </c>
      <c r="D336" s="5">
        <v>3076400.0</v>
      </c>
      <c r="E336" s="4"/>
      <c r="F336" s="5" t="s">
        <v>3</v>
      </c>
      <c r="G336" s="4">
        <v>125721.09000003338</v>
      </c>
      <c r="H336" s="4"/>
      <c r="I336" s="6" t="s">
        <v>8</v>
      </c>
    </row>
    <row r="337">
      <c r="A337" s="8">
        <v>46312.0</v>
      </c>
      <c r="B337" s="3" t="s">
        <v>10</v>
      </c>
      <c r="C337" s="3" t="s">
        <v>363</v>
      </c>
      <c r="D337" s="5"/>
      <c r="E337" s="5">
        <v>4.68627E7</v>
      </c>
      <c r="F337" s="5" t="s">
        <v>12</v>
      </c>
      <c r="G337" s="4">
        <v>4.698842109000003E7</v>
      </c>
      <c r="H337" s="4"/>
      <c r="I337" s="6" t="s">
        <v>8</v>
      </c>
    </row>
    <row r="338">
      <c r="A338" s="8">
        <v>46312.0</v>
      </c>
      <c r="B338" s="3" t="s">
        <v>10</v>
      </c>
      <c r="C338" s="3" t="s">
        <v>364</v>
      </c>
      <c r="D338" s="5"/>
      <c r="E338" s="5">
        <v>6.3726E7</v>
      </c>
      <c r="F338" s="5" t="s">
        <v>12</v>
      </c>
      <c r="G338" s="4">
        <v>1.1071442109000003E8</v>
      </c>
      <c r="H338" s="4"/>
      <c r="I338" s="6" t="s">
        <v>8</v>
      </c>
    </row>
    <row r="339">
      <c r="A339" s="8">
        <v>46312.0</v>
      </c>
      <c r="B339" s="3" t="s">
        <v>1</v>
      </c>
      <c r="C339" s="3" t="s">
        <v>365</v>
      </c>
      <c r="D339" s="5">
        <v>1.1E8</v>
      </c>
      <c r="E339" s="4"/>
      <c r="F339" s="5" t="s">
        <v>3</v>
      </c>
      <c r="G339" s="4">
        <v>714421.0900000334</v>
      </c>
      <c r="H339" s="4"/>
      <c r="I339" s="6" t="s">
        <v>8</v>
      </c>
    </row>
    <row r="340">
      <c r="A340" s="8">
        <v>46312.0</v>
      </c>
      <c r="B340" s="3" t="s">
        <v>366</v>
      </c>
      <c r="C340" s="3" t="s">
        <v>366</v>
      </c>
      <c r="D340" s="5">
        <v>400000.0</v>
      </c>
      <c r="E340" s="4"/>
      <c r="F340" s="4"/>
      <c r="G340" s="4">
        <v>314421.0900000334</v>
      </c>
      <c r="H340" s="4"/>
      <c r="I340" s="6" t="s">
        <v>8</v>
      </c>
    </row>
    <row r="341">
      <c r="A341" s="8">
        <v>46312.0</v>
      </c>
      <c r="B341" s="3" t="s">
        <v>10</v>
      </c>
      <c r="C341" s="3" t="s">
        <v>367</v>
      </c>
      <c r="D341" s="5"/>
      <c r="E341" s="5">
        <v>1.0E7</v>
      </c>
      <c r="F341" s="5" t="s">
        <v>12</v>
      </c>
      <c r="G341" s="4">
        <v>1.0314421090000033E7</v>
      </c>
      <c r="H341" s="4"/>
      <c r="I341" s="6" t="s">
        <v>8</v>
      </c>
    </row>
    <row r="342">
      <c r="A342" s="8">
        <v>46312.0</v>
      </c>
      <c r="B342" s="3" t="s">
        <v>1</v>
      </c>
      <c r="C342" s="3" t="s">
        <v>368</v>
      </c>
      <c r="D342" s="5">
        <v>6000000.0</v>
      </c>
      <c r="E342" s="4"/>
      <c r="F342" s="5" t="s">
        <v>3</v>
      </c>
      <c r="G342" s="4">
        <v>4314421.090000033</v>
      </c>
      <c r="H342" s="4"/>
      <c r="I342" s="6" t="s">
        <v>8</v>
      </c>
    </row>
    <row r="343">
      <c r="A343" s="8">
        <v>46312.0</v>
      </c>
      <c r="B343" s="3" t="s">
        <v>10</v>
      </c>
      <c r="C343" s="3" t="s">
        <v>369</v>
      </c>
      <c r="D343" s="5"/>
      <c r="E343" s="5">
        <v>1.0E8</v>
      </c>
      <c r="F343" s="5" t="s">
        <v>12</v>
      </c>
      <c r="G343" s="4">
        <v>1.0431442109000003E8</v>
      </c>
      <c r="H343" s="4"/>
      <c r="I343" s="6" t="s">
        <v>8</v>
      </c>
    </row>
    <row r="344">
      <c r="A344" s="8">
        <v>46312.0</v>
      </c>
      <c r="B344" s="3" t="s">
        <v>10</v>
      </c>
      <c r="C344" s="3" t="s">
        <v>370</v>
      </c>
      <c r="D344" s="5"/>
      <c r="E344" s="5">
        <v>1.8473606E8</v>
      </c>
      <c r="F344" s="5" t="s">
        <v>12</v>
      </c>
      <c r="G344" s="4">
        <v>2.8905048109000003E8</v>
      </c>
      <c r="H344" s="4"/>
      <c r="I344" s="6" t="s">
        <v>8</v>
      </c>
    </row>
    <row r="345">
      <c r="A345" s="8">
        <v>46312.0</v>
      </c>
      <c r="B345" s="3" t="s">
        <v>10</v>
      </c>
      <c r="C345" s="3" t="s">
        <v>371</v>
      </c>
      <c r="D345" s="5"/>
      <c r="E345" s="5">
        <v>2.3457654E8</v>
      </c>
      <c r="F345" s="5" t="s">
        <v>12</v>
      </c>
      <c r="G345" s="4">
        <v>5.2362702109000003E8</v>
      </c>
      <c r="H345" s="4"/>
      <c r="I345" s="6" t="s">
        <v>8</v>
      </c>
    </row>
    <row r="346">
      <c r="A346" s="8">
        <v>46312.0</v>
      </c>
      <c r="B346" s="3" t="s">
        <v>10</v>
      </c>
      <c r="C346" s="3" t="s">
        <v>372</v>
      </c>
      <c r="D346" s="5"/>
      <c r="E346" s="5">
        <v>2.2017822E8</v>
      </c>
      <c r="F346" s="5" t="s">
        <v>12</v>
      </c>
      <c r="G346" s="4">
        <v>7.4380524109E8</v>
      </c>
      <c r="H346" s="4"/>
      <c r="I346" s="6" t="s">
        <v>8</v>
      </c>
    </row>
    <row r="347">
      <c r="A347" s="8">
        <v>46312.0</v>
      </c>
      <c r="B347" s="3" t="s">
        <v>1</v>
      </c>
      <c r="C347" s="3" t="s">
        <v>373</v>
      </c>
      <c r="D347" s="5">
        <v>1.546378E7</v>
      </c>
      <c r="E347" s="4"/>
      <c r="F347" s="5" t="s">
        <v>3</v>
      </c>
      <c r="G347" s="4">
        <v>7.2834146109E8</v>
      </c>
      <c r="H347" s="5">
        <v>7.2834146109E8</v>
      </c>
      <c r="I347" s="6" t="s">
        <v>8</v>
      </c>
    </row>
    <row r="348">
      <c r="A348" s="8">
        <v>46312.0</v>
      </c>
      <c r="B348" s="3" t="s">
        <v>1</v>
      </c>
      <c r="C348" s="3" t="s">
        <v>374</v>
      </c>
      <c r="D348" s="5">
        <v>2300000.0</v>
      </c>
      <c r="E348" s="4"/>
      <c r="F348" s="5" t="s">
        <v>3</v>
      </c>
      <c r="G348" s="4">
        <v>7.2604146109E8</v>
      </c>
      <c r="H348" s="5">
        <v>7.2604146109E8</v>
      </c>
      <c r="I348" s="6" t="s">
        <v>8</v>
      </c>
    </row>
    <row r="349">
      <c r="A349" s="8">
        <v>46312.0</v>
      </c>
      <c r="B349" s="3" t="s">
        <v>1</v>
      </c>
      <c r="C349" s="3" t="s">
        <v>375</v>
      </c>
      <c r="D349" s="5">
        <v>1.5444625E8</v>
      </c>
      <c r="E349" s="4"/>
      <c r="F349" s="5" t="s">
        <v>3</v>
      </c>
      <c r="G349" s="4">
        <v>5.7159521109E8</v>
      </c>
      <c r="H349" s="4"/>
      <c r="I349" s="6" t="s">
        <v>8</v>
      </c>
    </row>
    <row r="350">
      <c r="A350" s="8">
        <v>46312.0</v>
      </c>
      <c r="B350" s="3" t="s">
        <v>1</v>
      </c>
      <c r="C350" s="3" t="s">
        <v>376</v>
      </c>
      <c r="D350" s="5">
        <v>2.6315E7</v>
      </c>
      <c r="E350" s="4"/>
      <c r="F350" s="5" t="s">
        <v>3</v>
      </c>
      <c r="G350" s="4">
        <v>5.4528021109E8</v>
      </c>
      <c r="H350" s="4"/>
      <c r="I350" s="6" t="s">
        <v>8</v>
      </c>
    </row>
    <row r="351">
      <c r="A351" s="8">
        <v>46312.0</v>
      </c>
      <c r="B351" s="3" t="s">
        <v>1</v>
      </c>
      <c r="C351" s="3" t="s">
        <v>377</v>
      </c>
      <c r="D351" s="5">
        <v>2000000.0</v>
      </c>
      <c r="E351" s="4"/>
      <c r="F351" s="5" t="s">
        <v>3</v>
      </c>
      <c r="G351" s="4">
        <v>5.4328021109E8</v>
      </c>
      <c r="H351" s="4"/>
      <c r="I351" s="6" t="s">
        <v>8</v>
      </c>
    </row>
    <row r="352">
      <c r="A352" s="8">
        <v>46312.0</v>
      </c>
      <c r="B352" s="3" t="s">
        <v>1</v>
      </c>
      <c r="C352" s="3" t="s">
        <v>378</v>
      </c>
      <c r="D352" s="5">
        <v>3.0E7</v>
      </c>
      <c r="E352" s="4"/>
      <c r="F352" s="5" t="s">
        <v>3</v>
      </c>
      <c r="G352" s="4">
        <v>5.1328021109000003E8</v>
      </c>
      <c r="H352" s="4"/>
      <c r="I352" s="6" t="s">
        <v>8</v>
      </c>
    </row>
    <row r="353">
      <c r="A353" s="8">
        <v>46312.0</v>
      </c>
      <c r="B353" s="3" t="s">
        <v>1</v>
      </c>
      <c r="C353" s="3" t="s">
        <v>379</v>
      </c>
      <c r="D353" s="5">
        <v>1.0E7</v>
      </c>
      <c r="E353" s="4"/>
      <c r="F353" s="5" t="s">
        <v>3</v>
      </c>
      <c r="G353" s="4">
        <v>5.0328021109000003E8</v>
      </c>
      <c r="H353" s="4"/>
      <c r="I353" s="6" t="s">
        <v>8</v>
      </c>
    </row>
    <row r="354">
      <c r="A354" s="8">
        <v>46312.0</v>
      </c>
      <c r="B354" s="3" t="s">
        <v>1</v>
      </c>
      <c r="C354" s="3" t="s">
        <v>380</v>
      </c>
      <c r="D354" s="5">
        <v>5.2E7</v>
      </c>
      <c r="E354" s="4"/>
      <c r="F354" s="5" t="s">
        <v>3</v>
      </c>
      <c r="G354" s="4">
        <v>4.5128021109000003E8</v>
      </c>
      <c r="H354" s="4"/>
      <c r="I354" s="6" t="s">
        <v>8</v>
      </c>
    </row>
    <row r="355">
      <c r="A355" s="8">
        <v>46312.0</v>
      </c>
      <c r="B355" s="3" t="s">
        <v>1</v>
      </c>
      <c r="C355" s="3" t="s">
        <v>381</v>
      </c>
      <c r="D355" s="5">
        <v>350000.0</v>
      </c>
      <c r="E355" s="4"/>
      <c r="F355" s="5" t="s">
        <v>3</v>
      </c>
      <c r="G355" s="4">
        <v>4.5093021109000003E8</v>
      </c>
      <c r="H355" s="5">
        <v>4.5093021109E8</v>
      </c>
      <c r="I355" s="6" t="s">
        <v>8</v>
      </c>
    </row>
    <row r="356">
      <c r="A356" s="8">
        <v>46313.0</v>
      </c>
      <c r="B356" s="3" t="s">
        <v>382</v>
      </c>
      <c r="C356" s="3" t="s">
        <v>383</v>
      </c>
      <c r="D356" s="5"/>
      <c r="E356" s="5">
        <v>4.0E7</v>
      </c>
      <c r="F356" s="5" t="s">
        <v>12</v>
      </c>
      <c r="G356" s="4">
        <v>4.9093021109000003E8</v>
      </c>
      <c r="H356" s="4"/>
      <c r="I356" s="6" t="s">
        <v>8</v>
      </c>
    </row>
    <row r="357">
      <c r="A357" s="8">
        <v>46313.0</v>
      </c>
      <c r="B357" s="3" t="s">
        <v>382</v>
      </c>
      <c r="C357" s="3" t="s">
        <v>349</v>
      </c>
      <c r="D357" s="5"/>
      <c r="E357" s="5">
        <v>4.052047E7</v>
      </c>
      <c r="F357" s="5" t="s">
        <v>12</v>
      </c>
      <c r="G357" s="4">
        <v>5.3145068109000003E8</v>
      </c>
      <c r="H357" s="4"/>
      <c r="I357" s="6" t="s">
        <v>8</v>
      </c>
    </row>
    <row r="358">
      <c r="A358" s="8">
        <v>46313.0</v>
      </c>
      <c r="B358" s="3" t="s">
        <v>10</v>
      </c>
      <c r="C358" s="3" t="s">
        <v>384</v>
      </c>
      <c r="D358" s="5"/>
      <c r="E358" s="5">
        <v>1.8962E8</v>
      </c>
      <c r="F358" s="5" t="s">
        <v>12</v>
      </c>
      <c r="G358" s="4">
        <v>7.2107068109E8</v>
      </c>
      <c r="H358" s="4"/>
      <c r="I358" s="6" t="s">
        <v>45</v>
      </c>
    </row>
    <row r="359">
      <c r="A359" s="8">
        <v>46313.0</v>
      </c>
      <c r="B359" s="3" t="s">
        <v>1</v>
      </c>
      <c r="C359" s="3" t="s">
        <v>385</v>
      </c>
      <c r="D359" s="5">
        <v>1.9879122E8</v>
      </c>
      <c r="E359" s="4"/>
      <c r="F359" s="5" t="s">
        <v>3</v>
      </c>
      <c r="G359" s="4">
        <v>5.2227946109000003E8</v>
      </c>
      <c r="H359" s="4"/>
      <c r="I359" s="6" t="s">
        <v>45</v>
      </c>
    </row>
    <row r="360">
      <c r="A360" s="8">
        <v>46313.0</v>
      </c>
      <c r="B360" s="3" t="s">
        <v>1</v>
      </c>
      <c r="C360" s="3" t="s">
        <v>386</v>
      </c>
      <c r="D360" s="5">
        <v>1.10934E8</v>
      </c>
      <c r="E360" s="4"/>
      <c r="F360" s="5" t="s">
        <v>3</v>
      </c>
      <c r="G360" s="4">
        <v>4.1134546109000003E8</v>
      </c>
      <c r="H360" s="5">
        <v>4.1134546109E8</v>
      </c>
      <c r="I360" s="6" t="s">
        <v>45</v>
      </c>
    </row>
    <row r="361">
      <c r="A361" s="8">
        <v>46313.0</v>
      </c>
      <c r="B361" s="3" t="s">
        <v>1</v>
      </c>
      <c r="C361" s="3" t="s">
        <v>387</v>
      </c>
      <c r="D361" s="5">
        <v>6.086444E7</v>
      </c>
      <c r="E361" s="4"/>
      <c r="F361" s="5" t="s">
        <v>3</v>
      </c>
      <c r="G361" s="4">
        <v>3.5048102109000003E8</v>
      </c>
      <c r="H361" s="5">
        <v>3.5048102109E8</v>
      </c>
      <c r="I361" s="6" t="s">
        <v>45</v>
      </c>
    </row>
    <row r="362">
      <c r="A362" s="8">
        <v>46313.0</v>
      </c>
      <c r="B362" s="3" t="s">
        <v>1</v>
      </c>
      <c r="C362" s="3" t="s">
        <v>388</v>
      </c>
      <c r="D362" s="5">
        <v>5.61612E7</v>
      </c>
      <c r="E362" s="4"/>
      <c r="F362" s="5" t="s">
        <v>3</v>
      </c>
      <c r="G362" s="4">
        <v>2.9431982109000003E8</v>
      </c>
      <c r="H362" s="4"/>
      <c r="I362" s="6" t="s">
        <v>45</v>
      </c>
    </row>
    <row r="363">
      <c r="A363" s="8">
        <v>46313.0</v>
      </c>
      <c r="B363" s="3" t="s">
        <v>1</v>
      </c>
      <c r="C363" s="3" t="s">
        <v>389</v>
      </c>
      <c r="D363" s="5">
        <v>7.296691E7</v>
      </c>
      <c r="E363" s="4"/>
      <c r="F363" s="5" t="s">
        <v>3</v>
      </c>
      <c r="G363" s="4">
        <v>2.2135291109000003E8</v>
      </c>
      <c r="H363" s="4"/>
      <c r="I363" s="6" t="s">
        <v>45</v>
      </c>
    </row>
    <row r="364">
      <c r="A364" s="8">
        <v>46313.0</v>
      </c>
      <c r="B364" s="3" t="s">
        <v>1</v>
      </c>
      <c r="C364" s="3" t="s">
        <v>390</v>
      </c>
      <c r="D364" s="5">
        <v>4.4E7</v>
      </c>
      <c r="E364" s="4"/>
      <c r="F364" s="5" t="s">
        <v>3</v>
      </c>
      <c r="G364" s="4">
        <v>1.7735291109000003E8</v>
      </c>
      <c r="H364" s="4"/>
      <c r="I364" s="6" t="s">
        <v>45</v>
      </c>
    </row>
    <row r="365">
      <c r="A365" s="8">
        <v>46313.0</v>
      </c>
      <c r="B365" s="3" t="s">
        <v>1</v>
      </c>
      <c r="C365" s="3" t="s">
        <v>391</v>
      </c>
      <c r="D365" s="5">
        <v>5.76E7</v>
      </c>
      <c r="E365" s="4"/>
      <c r="F365" s="5" t="s">
        <v>3</v>
      </c>
      <c r="G365" s="4">
        <v>1.1975291109000003E8</v>
      </c>
      <c r="H365" s="4"/>
      <c r="I365" s="6" t="s">
        <v>45</v>
      </c>
    </row>
    <row r="366">
      <c r="A366" s="8">
        <v>46313.0</v>
      </c>
      <c r="B366" s="3" t="s">
        <v>1</v>
      </c>
      <c r="C366" s="3" t="s">
        <v>392</v>
      </c>
      <c r="D366" s="5">
        <v>1.000866E8</v>
      </c>
      <c r="E366" s="4"/>
      <c r="F366" s="5" t="s">
        <v>3</v>
      </c>
      <c r="G366" s="4">
        <v>1.9666311090000033E7</v>
      </c>
      <c r="H366" s="4"/>
      <c r="I366" s="6" t="s">
        <v>45</v>
      </c>
    </row>
    <row r="367">
      <c r="A367" s="8">
        <v>46313.0</v>
      </c>
      <c r="B367" s="3" t="s">
        <v>1</v>
      </c>
      <c r="C367" s="3" t="s">
        <v>393</v>
      </c>
      <c r="D367" s="5">
        <v>4599810.0</v>
      </c>
      <c r="E367" s="4"/>
      <c r="F367" s="5" t="s">
        <v>3</v>
      </c>
      <c r="G367" s="4">
        <v>1.5066501090000033E7</v>
      </c>
      <c r="H367" s="4"/>
      <c r="I367" s="6" t="s">
        <v>8</v>
      </c>
    </row>
    <row r="368">
      <c r="A368" s="8">
        <v>46313.0</v>
      </c>
      <c r="B368" s="3" t="s">
        <v>1</v>
      </c>
      <c r="C368" s="3" t="s">
        <v>394</v>
      </c>
      <c r="D368" s="5">
        <v>6069180.0</v>
      </c>
      <c r="E368" s="4"/>
      <c r="F368" s="5" t="s">
        <v>3</v>
      </c>
      <c r="G368" s="4">
        <v>8997321.090000033</v>
      </c>
      <c r="H368" s="4"/>
      <c r="I368" s="6" t="s">
        <v>8</v>
      </c>
    </row>
    <row r="369">
      <c r="A369" s="8">
        <v>46313.0</v>
      </c>
      <c r="B369" s="3" t="s">
        <v>1</v>
      </c>
      <c r="C369" s="3" t="s">
        <v>395</v>
      </c>
      <c r="D369" s="5">
        <v>1950000.0</v>
      </c>
      <c r="E369" s="4"/>
      <c r="F369" s="5" t="s">
        <v>3</v>
      </c>
      <c r="G369" s="4">
        <v>7047321.090000033</v>
      </c>
      <c r="H369" s="4"/>
      <c r="I369" s="6" t="s">
        <v>45</v>
      </c>
    </row>
    <row r="370">
      <c r="A370" s="8">
        <v>46313.0</v>
      </c>
      <c r="B370" s="3" t="s">
        <v>1</v>
      </c>
      <c r="C370" s="3" t="s">
        <v>396</v>
      </c>
      <c r="D370" s="5">
        <v>2137090.0</v>
      </c>
      <c r="E370" s="4"/>
      <c r="F370" s="5" t="s">
        <v>3</v>
      </c>
      <c r="G370" s="4">
        <v>4910231.090000033</v>
      </c>
      <c r="H370" s="4"/>
      <c r="I370" s="6" t="s">
        <v>8</v>
      </c>
    </row>
    <row r="371">
      <c r="A371" s="8">
        <v>46313.0</v>
      </c>
      <c r="B371" s="3" t="s">
        <v>1</v>
      </c>
      <c r="C371" s="3" t="s">
        <v>397</v>
      </c>
      <c r="D371" s="5">
        <v>4700000.0</v>
      </c>
      <c r="E371" s="4"/>
      <c r="F371" s="5" t="s">
        <v>3</v>
      </c>
      <c r="G371" s="4">
        <v>210231.09000003338</v>
      </c>
      <c r="H371" s="4"/>
      <c r="I371" s="6" t="s">
        <v>45</v>
      </c>
    </row>
    <row r="372">
      <c r="A372" s="8">
        <v>46313.0</v>
      </c>
      <c r="B372" s="3" t="s">
        <v>10</v>
      </c>
      <c r="C372" s="3" t="s">
        <v>398</v>
      </c>
      <c r="D372" s="5"/>
      <c r="E372" s="5">
        <v>1.1901645E8</v>
      </c>
      <c r="F372" s="5" t="s">
        <v>12</v>
      </c>
      <c r="G372" s="4">
        <v>1.1922668109000003E8</v>
      </c>
      <c r="H372" s="4"/>
      <c r="I372" s="6" t="s">
        <v>45</v>
      </c>
    </row>
    <row r="373">
      <c r="A373" s="8">
        <v>46313.0</v>
      </c>
      <c r="B373" s="3" t="s">
        <v>1</v>
      </c>
      <c r="C373" s="3" t="s">
        <v>399</v>
      </c>
      <c r="D373" s="5">
        <v>8000000.0</v>
      </c>
      <c r="E373" s="4"/>
      <c r="F373" s="5" t="s">
        <v>3</v>
      </c>
      <c r="G373" s="4">
        <v>1.1122668109000003E8</v>
      </c>
      <c r="H373" s="5">
        <v>1.1122668109E8</v>
      </c>
      <c r="I373" s="6" t="s">
        <v>45</v>
      </c>
    </row>
    <row r="374">
      <c r="A374" s="9">
        <v>46313.0</v>
      </c>
      <c r="B374" s="10" t="s">
        <v>10</v>
      </c>
      <c r="C374" s="10" t="s">
        <v>400</v>
      </c>
      <c r="D374" s="11"/>
      <c r="E374" s="11">
        <v>4.60315E7</v>
      </c>
      <c r="F374" s="11" t="s">
        <v>12</v>
      </c>
      <c r="G374" s="12">
        <v>1.5725818109000003E8</v>
      </c>
      <c r="H374" s="11">
        <v>1.5725818109E8</v>
      </c>
      <c r="I374" s="6" t="s">
        <v>45</v>
      </c>
    </row>
    <row r="375">
      <c r="A375" s="8">
        <v>46313.0</v>
      </c>
      <c r="B375" s="3" t="s">
        <v>1</v>
      </c>
      <c r="C375" s="3" t="s">
        <v>401</v>
      </c>
      <c r="D375" s="5">
        <v>6.65928E7</v>
      </c>
      <c r="E375" s="4"/>
      <c r="F375" s="5" t="s">
        <v>3</v>
      </c>
      <c r="G375" s="4">
        <v>9.066538109000003E7</v>
      </c>
      <c r="H375" s="4"/>
      <c r="I375" s="6" t="s">
        <v>45</v>
      </c>
    </row>
    <row r="376">
      <c r="A376" s="8">
        <v>46313.0</v>
      </c>
      <c r="B376" s="3" t="s">
        <v>1</v>
      </c>
      <c r="C376" s="3" t="s">
        <v>402</v>
      </c>
      <c r="D376" s="5">
        <v>6449050.0</v>
      </c>
      <c r="E376" s="4"/>
      <c r="F376" s="5" t="s">
        <v>3</v>
      </c>
      <c r="G376" s="4">
        <v>8.421633109000003E7</v>
      </c>
      <c r="H376" s="4"/>
      <c r="I376" s="6" t="s">
        <v>45</v>
      </c>
    </row>
    <row r="377">
      <c r="A377" s="8">
        <v>46313.0</v>
      </c>
      <c r="B377" s="3" t="s">
        <v>1</v>
      </c>
      <c r="C377" s="3" t="s">
        <v>403</v>
      </c>
      <c r="D377" s="5">
        <v>4.74065E7</v>
      </c>
      <c r="E377" s="4"/>
      <c r="F377" s="5" t="s">
        <v>3</v>
      </c>
      <c r="G377" s="4">
        <v>3.680983109000003E7</v>
      </c>
      <c r="H377" s="4"/>
      <c r="I377" s="6" t="s">
        <v>45</v>
      </c>
    </row>
    <row r="378">
      <c r="A378" s="8">
        <v>46313.0</v>
      </c>
      <c r="B378" s="3" t="s">
        <v>404</v>
      </c>
      <c r="C378" s="3" t="s">
        <v>405</v>
      </c>
      <c r="E378" s="5">
        <v>6.53976E7</v>
      </c>
      <c r="F378" s="4"/>
      <c r="G378" s="4">
        <v>1.0220743109000003E8</v>
      </c>
      <c r="H378" s="4"/>
      <c r="I378" s="6" t="s">
        <v>45</v>
      </c>
    </row>
    <row r="379">
      <c r="A379" s="8">
        <v>46313.0</v>
      </c>
      <c r="B379" s="3" t="s">
        <v>1</v>
      </c>
      <c r="C379" s="3" t="s">
        <v>406</v>
      </c>
      <c r="D379" s="5">
        <v>5.46612E7</v>
      </c>
      <c r="E379" s="4"/>
      <c r="F379" s="5" t="s">
        <v>3</v>
      </c>
      <c r="G379" s="4">
        <v>4.754623109000003E7</v>
      </c>
      <c r="H379" s="4"/>
      <c r="I379" s="6" t="s">
        <v>45</v>
      </c>
    </row>
    <row r="380">
      <c r="A380" s="8">
        <v>46313.0</v>
      </c>
      <c r="B380" s="3" t="s">
        <v>10</v>
      </c>
      <c r="C380" s="3" t="s">
        <v>407</v>
      </c>
      <c r="D380" s="5"/>
      <c r="E380" s="5">
        <v>1.3588722E8</v>
      </c>
      <c r="F380" s="5" t="s">
        <v>12</v>
      </c>
      <c r="G380" s="4">
        <v>1.8343345109000003E8</v>
      </c>
      <c r="H380" s="4"/>
      <c r="I380" s="6" t="s">
        <v>45</v>
      </c>
    </row>
    <row r="381">
      <c r="A381" s="8">
        <v>46313.0</v>
      </c>
      <c r="B381" s="3" t="s">
        <v>1</v>
      </c>
      <c r="C381" s="3" t="s">
        <v>408</v>
      </c>
      <c r="D381" s="5">
        <v>2.21E7</v>
      </c>
      <c r="E381" s="4"/>
      <c r="F381" s="5" t="s">
        <v>3</v>
      </c>
      <c r="G381" s="4">
        <v>1.6133345109000003E8</v>
      </c>
      <c r="H381" s="4"/>
      <c r="I381" s="6" t="s">
        <v>45</v>
      </c>
    </row>
    <row r="382">
      <c r="A382" s="8">
        <v>46313.0</v>
      </c>
      <c r="B382" s="3" t="s">
        <v>1</v>
      </c>
      <c r="C382" s="3" t="s">
        <v>409</v>
      </c>
      <c r="D382" s="5">
        <v>2.0E7</v>
      </c>
      <c r="E382" s="4"/>
      <c r="F382" s="5" t="s">
        <v>3</v>
      </c>
      <c r="G382" s="4">
        <v>1.4133345109000003E8</v>
      </c>
      <c r="H382" s="4"/>
      <c r="I382" s="6" t="s">
        <v>45</v>
      </c>
    </row>
    <row r="383">
      <c r="A383" s="8">
        <v>46313.0</v>
      </c>
      <c r="B383" s="3" t="s">
        <v>48</v>
      </c>
      <c r="C383" s="3" t="s">
        <v>410</v>
      </c>
      <c r="D383" s="5">
        <v>202500.0</v>
      </c>
      <c r="E383" s="4"/>
      <c r="F383" s="4"/>
      <c r="G383" s="4">
        <v>1.4113095109000003E8</v>
      </c>
      <c r="H383" s="4"/>
      <c r="I383" s="6" t="s">
        <v>45</v>
      </c>
    </row>
    <row r="384">
      <c r="A384" s="8">
        <v>46313.0</v>
      </c>
      <c r="B384" s="3" t="s">
        <v>10</v>
      </c>
      <c r="C384" s="3" t="s">
        <v>411</v>
      </c>
      <c r="D384" s="5"/>
      <c r="E384" s="5">
        <v>6.107E7</v>
      </c>
      <c r="F384" s="5" t="s">
        <v>12</v>
      </c>
      <c r="G384" s="4">
        <v>2.0220095109000003E8</v>
      </c>
      <c r="H384" s="4"/>
      <c r="I384" s="6" t="s">
        <v>45</v>
      </c>
    </row>
    <row r="385">
      <c r="A385" s="8">
        <v>46313.0</v>
      </c>
      <c r="B385" s="3" t="s">
        <v>10</v>
      </c>
      <c r="C385" s="3" t="s">
        <v>412</v>
      </c>
      <c r="D385" s="5"/>
      <c r="E385" s="5">
        <v>1.0E8</v>
      </c>
      <c r="F385" s="5" t="s">
        <v>12</v>
      </c>
      <c r="G385" s="4">
        <v>3.0220095109000003E8</v>
      </c>
      <c r="H385" s="5">
        <v>3.0220095109E8</v>
      </c>
      <c r="I385" s="6" t="s">
        <v>45</v>
      </c>
    </row>
    <row r="386">
      <c r="A386" s="8">
        <v>46313.0</v>
      </c>
      <c r="B386" s="3" t="s">
        <v>10</v>
      </c>
      <c r="C386" s="3" t="s">
        <v>413</v>
      </c>
      <c r="D386" s="5"/>
      <c r="E386" s="5">
        <v>1.3037973E8</v>
      </c>
      <c r="F386" s="5" t="s">
        <v>12</v>
      </c>
      <c r="G386" s="4">
        <v>4.3258068109000003E8</v>
      </c>
      <c r="H386" s="5">
        <v>4.3258068109E8</v>
      </c>
      <c r="I386" s="6" t="s">
        <v>45</v>
      </c>
    </row>
    <row r="387">
      <c r="A387" s="8">
        <v>46313.0</v>
      </c>
      <c r="B387" s="3" t="s">
        <v>1</v>
      </c>
      <c r="C387" s="3" t="s">
        <v>414</v>
      </c>
      <c r="D387" s="5">
        <v>2110000.0</v>
      </c>
      <c r="E387" s="4"/>
      <c r="F387" s="5" t="s">
        <v>3</v>
      </c>
      <c r="G387" s="4">
        <v>4.3047068109000003E8</v>
      </c>
      <c r="H387" s="4"/>
      <c r="I387" s="6" t="s">
        <v>45</v>
      </c>
    </row>
    <row r="388">
      <c r="A388" s="8">
        <v>46313.0</v>
      </c>
      <c r="B388" s="3" t="s">
        <v>1</v>
      </c>
      <c r="C388" s="3" t="s">
        <v>415</v>
      </c>
      <c r="D388" s="5">
        <v>4000000.0</v>
      </c>
      <c r="E388" s="4"/>
      <c r="F388" s="5" t="s">
        <v>3</v>
      </c>
      <c r="G388" s="4">
        <v>4.2647068109000003E8</v>
      </c>
      <c r="H388" s="4"/>
      <c r="I388" s="6" t="s">
        <v>45</v>
      </c>
    </row>
    <row r="389">
      <c r="A389" s="8">
        <v>46313.0</v>
      </c>
      <c r="B389" s="3" t="s">
        <v>1</v>
      </c>
      <c r="C389" s="3" t="s">
        <v>416</v>
      </c>
      <c r="D389" s="5">
        <v>1000000.0</v>
      </c>
      <c r="E389" s="4"/>
      <c r="F389" s="5" t="s">
        <v>3</v>
      </c>
      <c r="G389" s="4">
        <v>4.2547068109000003E8</v>
      </c>
      <c r="H389" s="4"/>
      <c r="I389" s="6" t="s">
        <v>45</v>
      </c>
    </row>
    <row r="390">
      <c r="A390" s="8">
        <v>46313.0</v>
      </c>
      <c r="B390" s="3" t="s">
        <v>417</v>
      </c>
      <c r="C390" s="3" t="s">
        <v>418</v>
      </c>
      <c r="D390" s="5">
        <v>105000.0</v>
      </c>
      <c r="E390" s="4"/>
      <c r="F390" s="5" t="s">
        <v>3</v>
      </c>
      <c r="G390" s="4">
        <v>4.2536568109000003E8</v>
      </c>
      <c r="H390" s="4"/>
      <c r="I390" s="6" t="s">
        <v>45</v>
      </c>
    </row>
    <row r="391">
      <c r="A391" s="8">
        <v>46313.0</v>
      </c>
      <c r="B391" s="3" t="s">
        <v>220</v>
      </c>
      <c r="C391" s="3" t="s">
        <v>419</v>
      </c>
      <c r="D391" s="5">
        <v>425954.0</v>
      </c>
      <c r="E391" s="4"/>
      <c r="F391" s="4"/>
      <c r="G391" s="4">
        <v>4.2493972709000003E8</v>
      </c>
      <c r="H391" s="5">
        <v>4.2493972709E8</v>
      </c>
      <c r="I391" s="6" t="s">
        <v>45</v>
      </c>
    </row>
    <row r="392">
      <c r="A392" s="8">
        <v>46314.0</v>
      </c>
      <c r="B392" s="3" t="s">
        <v>420</v>
      </c>
      <c r="C392" s="3" t="s">
        <v>421</v>
      </c>
      <c r="D392" s="5"/>
      <c r="E392" s="5">
        <v>7377480.0</v>
      </c>
      <c r="F392" s="5" t="s">
        <v>12</v>
      </c>
      <c r="G392" s="4">
        <v>4.3231720709000003E8</v>
      </c>
      <c r="H392" s="4"/>
      <c r="I392" s="6" t="s">
        <v>45</v>
      </c>
    </row>
    <row r="393">
      <c r="A393" s="8">
        <v>46314.0</v>
      </c>
      <c r="B393" s="3" t="s">
        <v>420</v>
      </c>
      <c r="C393" s="3" t="s">
        <v>422</v>
      </c>
      <c r="D393" s="5"/>
      <c r="E393" s="5">
        <v>2.15761E7</v>
      </c>
      <c r="F393" s="5" t="s">
        <v>12</v>
      </c>
      <c r="G393" s="4">
        <v>4.5389330709000003E8</v>
      </c>
      <c r="H393" s="4"/>
      <c r="I393" s="6" t="s">
        <v>45</v>
      </c>
    </row>
    <row r="394">
      <c r="A394" s="8">
        <v>46314.0</v>
      </c>
      <c r="B394" s="3" t="s">
        <v>1</v>
      </c>
      <c r="C394" s="3" t="s">
        <v>423</v>
      </c>
      <c r="D394" s="5">
        <v>1.1428375E8</v>
      </c>
      <c r="E394" s="4"/>
      <c r="F394" s="5" t="s">
        <v>3</v>
      </c>
      <c r="G394" s="4">
        <v>3.3960955709000003E8</v>
      </c>
      <c r="H394" s="4"/>
      <c r="I394" s="6" t="s">
        <v>45</v>
      </c>
    </row>
    <row r="395">
      <c r="A395" s="8">
        <v>46314.0</v>
      </c>
      <c r="B395" s="3" t="s">
        <v>1</v>
      </c>
      <c r="C395" s="3" t="s">
        <v>424</v>
      </c>
      <c r="D395" s="5">
        <v>6.6773E7</v>
      </c>
      <c r="E395" s="4"/>
      <c r="F395" s="5" t="s">
        <v>3</v>
      </c>
      <c r="G395" s="4">
        <v>2.7283655709000003E8</v>
      </c>
      <c r="H395" s="4"/>
      <c r="I395" s="6" t="s">
        <v>45</v>
      </c>
    </row>
    <row r="396">
      <c r="A396" s="8">
        <v>46314.0</v>
      </c>
      <c r="B396" s="3" t="s">
        <v>1</v>
      </c>
      <c r="C396" s="3" t="s">
        <v>425</v>
      </c>
      <c r="D396" s="5">
        <v>5.4E7</v>
      </c>
      <c r="E396" s="4"/>
      <c r="F396" s="5" t="s">
        <v>3</v>
      </c>
      <c r="G396" s="4">
        <v>2.1883655709000003E8</v>
      </c>
      <c r="H396" s="4"/>
      <c r="I396" s="6" t="s">
        <v>45</v>
      </c>
    </row>
    <row r="397">
      <c r="A397" s="8">
        <v>46314.0</v>
      </c>
      <c r="B397" s="3" t="s">
        <v>1</v>
      </c>
      <c r="C397" s="3" t="s">
        <v>426</v>
      </c>
      <c r="D397" s="5">
        <v>5.28321E7</v>
      </c>
      <c r="E397" s="4"/>
      <c r="F397" s="5" t="s">
        <v>3</v>
      </c>
      <c r="G397" s="4">
        <v>1.6600445709000003E8</v>
      </c>
      <c r="H397" s="4"/>
      <c r="I397" s="6" t="s">
        <v>45</v>
      </c>
    </row>
    <row r="398">
      <c r="A398" s="8">
        <v>46314.0</v>
      </c>
      <c r="B398" s="3" t="s">
        <v>1</v>
      </c>
      <c r="C398" s="3" t="s">
        <v>427</v>
      </c>
      <c r="D398" s="5">
        <v>1.0E8</v>
      </c>
      <c r="E398" s="4"/>
      <c r="F398" s="5" t="s">
        <v>3</v>
      </c>
      <c r="G398" s="4">
        <v>6.600445709000003E7</v>
      </c>
      <c r="H398" s="4"/>
      <c r="I398" s="6" t="s">
        <v>45</v>
      </c>
    </row>
    <row r="399">
      <c r="A399" s="8">
        <v>46314.0</v>
      </c>
      <c r="B399" s="3" t="s">
        <v>10</v>
      </c>
      <c r="C399" s="3" t="s">
        <v>428</v>
      </c>
      <c r="D399" s="5"/>
      <c r="E399" s="5">
        <v>2.068878E8</v>
      </c>
      <c r="F399" s="5" t="s">
        <v>12</v>
      </c>
      <c r="G399" s="4">
        <v>2.7289225709000003E8</v>
      </c>
      <c r="H399" s="4"/>
      <c r="I399" s="6" t="s">
        <v>45</v>
      </c>
    </row>
    <row r="400">
      <c r="A400" s="8">
        <v>46314.0</v>
      </c>
      <c r="B400" s="3" t="s">
        <v>10</v>
      </c>
      <c r="C400" s="3" t="s">
        <v>429</v>
      </c>
      <c r="D400" s="5"/>
      <c r="E400" s="5">
        <v>592750.0</v>
      </c>
      <c r="F400" s="5" t="s">
        <v>12</v>
      </c>
      <c r="G400" s="4">
        <v>2.7348500709000003E8</v>
      </c>
      <c r="H400" s="5">
        <v>2.7348500709E8</v>
      </c>
      <c r="I400" s="6" t="s">
        <v>45</v>
      </c>
    </row>
    <row r="401">
      <c r="A401" s="8">
        <v>46314.0</v>
      </c>
      <c r="B401" s="3" t="s">
        <v>430</v>
      </c>
      <c r="C401" s="3" t="s">
        <v>430</v>
      </c>
      <c r="D401" s="5">
        <v>300000.0</v>
      </c>
      <c r="E401" s="4"/>
      <c r="F401" s="4"/>
      <c r="G401" s="4">
        <v>2.7318500709000003E8</v>
      </c>
      <c r="H401" s="5">
        <v>2.7318500709E8</v>
      </c>
      <c r="I401" s="6" t="s">
        <v>45</v>
      </c>
    </row>
    <row r="402">
      <c r="A402" s="8">
        <v>46314.0</v>
      </c>
      <c r="B402" s="3" t="s">
        <v>10</v>
      </c>
      <c r="C402" s="3" t="s">
        <v>431</v>
      </c>
      <c r="D402" s="5"/>
      <c r="E402" s="5">
        <v>1.2309072E8</v>
      </c>
      <c r="F402" s="5" t="s">
        <v>12</v>
      </c>
      <c r="G402" s="4">
        <v>3.9627572709000003E8</v>
      </c>
      <c r="H402" s="4"/>
      <c r="I402" s="6" t="s">
        <v>45</v>
      </c>
    </row>
    <row r="403">
      <c r="A403" s="8">
        <v>46314.0</v>
      </c>
      <c r="B403" s="3" t="s">
        <v>10</v>
      </c>
      <c r="C403" s="3" t="s">
        <v>432</v>
      </c>
      <c r="D403" s="5"/>
      <c r="E403" s="5">
        <v>5.13216E7</v>
      </c>
      <c r="F403" s="5" t="s">
        <v>12</v>
      </c>
      <c r="G403" s="4">
        <v>4.4759732709000003E8</v>
      </c>
      <c r="H403" s="4"/>
      <c r="I403" s="6" t="s">
        <v>45</v>
      </c>
    </row>
    <row r="404">
      <c r="A404" s="8">
        <v>46314.0</v>
      </c>
      <c r="B404" s="3" t="s">
        <v>1</v>
      </c>
      <c r="C404" s="3" t="s">
        <v>433</v>
      </c>
      <c r="D404" s="5">
        <v>1.055758E8</v>
      </c>
      <c r="E404" s="4"/>
      <c r="F404" s="5" t="s">
        <v>3</v>
      </c>
      <c r="G404" s="4">
        <v>3.4202152709000003E8</v>
      </c>
      <c r="H404" s="4"/>
      <c r="I404" s="6" t="s">
        <v>45</v>
      </c>
    </row>
    <row r="405">
      <c r="A405" s="8">
        <v>46314.0</v>
      </c>
      <c r="B405" s="3" t="s">
        <v>1</v>
      </c>
      <c r="C405" s="3" t="s">
        <v>434</v>
      </c>
      <c r="D405" s="5">
        <v>200000.0</v>
      </c>
      <c r="E405" s="4"/>
      <c r="F405" s="5" t="s">
        <v>3</v>
      </c>
      <c r="G405" s="4">
        <v>3.4182152709000003E8</v>
      </c>
      <c r="H405" s="4"/>
      <c r="I405" s="6" t="s">
        <v>45</v>
      </c>
    </row>
    <row r="406">
      <c r="A406" s="8">
        <v>46314.0</v>
      </c>
      <c r="B406" s="3" t="s">
        <v>1</v>
      </c>
      <c r="C406" s="3" t="s">
        <v>435</v>
      </c>
      <c r="D406" s="5">
        <v>1.0E7</v>
      </c>
      <c r="E406" s="4"/>
      <c r="F406" s="5" t="s">
        <v>3</v>
      </c>
      <c r="G406" s="4">
        <v>3.3182152709000003E8</v>
      </c>
      <c r="H406" s="4"/>
      <c r="I406" s="6" t="s">
        <v>45</v>
      </c>
    </row>
    <row r="407">
      <c r="A407" s="8">
        <v>46314.0</v>
      </c>
      <c r="B407" s="3" t="s">
        <v>33</v>
      </c>
      <c r="C407" s="3" t="s">
        <v>436</v>
      </c>
      <c r="D407" s="5">
        <v>1527000.0</v>
      </c>
      <c r="E407" s="4"/>
      <c r="F407" s="5" t="s">
        <v>3</v>
      </c>
      <c r="G407" s="4">
        <v>3.3029452709000003E8</v>
      </c>
      <c r="H407" s="4"/>
      <c r="I407" s="6" t="s">
        <v>45</v>
      </c>
    </row>
    <row r="408">
      <c r="A408" s="8">
        <v>46314.0</v>
      </c>
      <c r="B408" s="3" t="s">
        <v>33</v>
      </c>
      <c r="C408" s="3" t="s">
        <v>437</v>
      </c>
      <c r="D408" s="5">
        <v>2500.0</v>
      </c>
      <c r="E408" s="4"/>
      <c r="F408" s="5" t="s">
        <v>3</v>
      </c>
      <c r="G408" s="4">
        <v>3.3029202709000003E8</v>
      </c>
      <c r="H408" s="5">
        <v>3.3029202709E8</v>
      </c>
      <c r="I408" s="6" t="s">
        <v>45</v>
      </c>
    </row>
    <row r="409">
      <c r="A409" s="8">
        <v>46315.0</v>
      </c>
      <c r="B409" s="3" t="s">
        <v>438</v>
      </c>
      <c r="C409" s="3" t="s">
        <v>439</v>
      </c>
      <c r="D409" s="5"/>
      <c r="E409" s="5">
        <v>1.894684E7</v>
      </c>
      <c r="F409" s="5" t="s">
        <v>12</v>
      </c>
      <c r="G409" s="4">
        <v>3.4923886709000003E8</v>
      </c>
      <c r="H409" s="4"/>
      <c r="I409" s="6" t="s">
        <v>45</v>
      </c>
    </row>
    <row r="410">
      <c r="A410" s="8">
        <v>46315.0</v>
      </c>
      <c r="B410" s="3" t="s">
        <v>1</v>
      </c>
      <c r="C410" s="3" t="s">
        <v>440</v>
      </c>
      <c r="D410" s="5">
        <v>1300000.0</v>
      </c>
      <c r="E410" s="4"/>
      <c r="F410" s="5" t="s">
        <v>3</v>
      </c>
      <c r="G410" s="4">
        <v>3.4793886709000003E8</v>
      </c>
      <c r="H410" s="4"/>
      <c r="I410" s="6" t="s">
        <v>45</v>
      </c>
    </row>
    <row r="411">
      <c r="A411" s="8">
        <v>46315.0</v>
      </c>
      <c r="B411" s="3" t="s">
        <v>1</v>
      </c>
      <c r="C411" s="3" t="s">
        <v>441</v>
      </c>
      <c r="D411" s="5">
        <v>5.534645E7</v>
      </c>
      <c r="E411" s="4"/>
      <c r="F411" s="5" t="s">
        <v>3</v>
      </c>
      <c r="G411" s="4">
        <v>2.9259241709000003E8</v>
      </c>
      <c r="H411" s="4"/>
      <c r="I411" s="6" t="s">
        <v>45</v>
      </c>
    </row>
    <row r="412">
      <c r="A412" s="8">
        <v>46315.0</v>
      </c>
      <c r="B412" s="3" t="s">
        <v>1</v>
      </c>
      <c r="C412" s="3" t="s">
        <v>442</v>
      </c>
      <c r="D412" s="5">
        <v>5.46804E7</v>
      </c>
      <c r="E412" s="4"/>
      <c r="F412" s="5" t="s">
        <v>3</v>
      </c>
      <c r="G412" s="4">
        <v>2.3791201709000003E8</v>
      </c>
      <c r="H412" s="4"/>
      <c r="I412" s="6" t="s">
        <v>45</v>
      </c>
    </row>
    <row r="413">
      <c r="A413" s="8">
        <v>46315.0</v>
      </c>
      <c r="B413" s="3" t="s">
        <v>1</v>
      </c>
      <c r="C413" s="3" t="s">
        <v>443</v>
      </c>
      <c r="D413" s="5">
        <v>3.78078E7</v>
      </c>
      <c r="E413" s="4"/>
      <c r="F413" s="5" t="s">
        <v>3</v>
      </c>
      <c r="G413" s="4">
        <v>2.0010421709000003E8</v>
      </c>
      <c r="H413" s="4"/>
      <c r="I413" s="6" t="s">
        <v>45</v>
      </c>
    </row>
    <row r="414">
      <c r="A414" s="8">
        <v>46315.0</v>
      </c>
      <c r="B414" s="3" t="s">
        <v>1</v>
      </c>
      <c r="C414" s="3" t="s">
        <v>444</v>
      </c>
      <c r="D414" s="5">
        <v>5.453084E7</v>
      </c>
      <c r="E414" s="4"/>
      <c r="F414" s="5" t="s">
        <v>3</v>
      </c>
      <c r="G414" s="4">
        <v>1.4557337709000003E8</v>
      </c>
      <c r="H414" s="5">
        <v>1.4557337709E8</v>
      </c>
      <c r="I414" s="6" t="s">
        <v>45</v>
      </c>
    </row>
    <row r="415">
      <c r="A415" s="8">
        <v>46315.0</v>
      </c>
      <c r="B415" s="3" t="s">
        <v>1</v>
      </c>
      <c r="C415" s="3" t="s">
        <v>445</v>
      </c>
      <c r="D415" s="5">
        <v>900000.0</v>
      </c>
      <c r="E415" s="4"/>
      <c r="F415" s="5" t="s">
        <v>3</v>
      </c>
      <c r="G415" s="4">
        <v>1.4467337709000003E8</v>
      </c>
      <c r="H415" s="5">
        <v>1.4467337709E8</v>
      </c>
      <c r="I415" s="6" t="s">
        <v>45</v>
      </c>
    </row>
    <row r="416">
      <c r="A416" s="8">
        <v>46315.0</v>
      </c>
      <c r="B416" s="3" t="s">
        <v>1</v>
      </c>
      <c r="C416" s="3" t="s">
        <v>446</v>
      </c>
      <c r="D416" s="5">
        <v>660720.0</v>
      </c>
      <c r="E416" s="4"/>
      <c r="F416" s="5" t="s">
        <v>3</v>
      </c>
      <c r="G416" s="4">
        <v>1.4401265709000003E8</v>
      </c>
      <c r="H416" s="4"/>
      <c r="I416" s="6" t="s">
        <v>45</v>
      </c>
    </row>
    <row r="417">
      <c r="A417" s="8">
        <v>46315.0</v>
      </c>
      <c r="B417" s="3" t="s">
        <v>1</v>
      </c>
      <c r="C417" s="3" t="s">
        <v>447</v>
      </c>
      <c r="D417" s="5">
        <v>8.95692E7</v>
      </c>
      <c r="E417" s="4"/>
      <c r="F417" s="5" t="s">
        <v>3</v>
      </c>
      <c r="G417" s="4">
        <v>5.444345709000003E7</v>
      </c>
      <c r="H417" s="4"/>
      <c r="I417" s="6" t="s">
        <v>45</v>
      </c>
    </row>
    <row r="418">
      <c r="A418" s="8">
        <v>46315.0</v>
      </c>
      <c r="B418" s="3" t="s">
        <v>1</v>
      </c>
      <c r="C418" s="3" t="s">
        <v>448</v>
      </c>
      <c r="D418" s="5">
        <v>3.0E7</v>
      </c>
      <c r="E418" s="4"/>
      <c r="F418" s="5" t="s">
        <v>3</v>
      </c>
      <c r="G418" s="4">
        <v>2.4443457090000033E7</v>
      </c>
      <c r="H418" s="4"/>
      <c r="I418" s="6" t="s">
        <v>45</v>
      </c>
    </row>
    <row r="419">
      <c r="A419" s="8">
        <v>46315.0</v>
      </c>
      <c r="B419" s="3" t="s">
        <v>1</v>
      </c>
      <c r="C419" s="3" t="s">
        <v>449</v>
      </c>
      <c r="D419" s="5">
        <v>1.5922184E7</v>
      </c>
      <c r="E419" s="4"/>
      <c r="F419" s="5" t="s">
        <v>3</v>
      </c>
      <c r="G419" s="4">
        <v>8521273.090000033</v>
      </c>
      <c r="H419" s="4"/>
      <c r="I419" s="6" t="s">
        <v>45</v>
      </c>
    </row>
    <row r="420">
      <c r="A420" s="8">
        <v>46315.0</v>
      </c>
      <c r="B420" s="3" t="s">
        <v>10</v>
      </c>
      <c r="C420" s="3" t="s">
        <v>450</v>
      </c>
      <c r="D420" s="5"/>
      <c r="E420" s="5">
        <v>1.2317321E8</v>
      </c>
      <c r="F420" s="5" t="s">
        <v>12</v>
      </c>
      <c r="G420" s="4">
        <v>1.3169448309000003E8</v>
      </c>
      <c r="H420" s="4"/>
      <c r="I420" s="6" t="s">
        <v>45</v>
      </c>
    </row>
    <row r="421">
      <c r="A421" s="8">
        <v>46315.0</v>
      </c>
      <c r="B421" s="3" t="s">
        <v>10</v>
      </c>
      <c r="C421" s="3" t="s">
        <v>451</v>
      </c>
      <c r="D421" s="5"/>
      <c r="E421" s="5">
        <v>5.95728E7</v>
      </c>
      <c r="F421" s="5" t="s">
        <v>12</v>
      </c>
      <c r="G421" s="4">
        <v>1.9126728309000003E8</v>
      </c>
      <c r="H421" s="4"/>
      <c r="I421" s="6" t="s">
        <v>45</v>
      </c>
    </row>
    <row r="422">
      <c r="A422" s="8">
        <v>46315.0</v>
      </c>
      <c r="B422" s="3" t="s">
        <v>1</v>
      </c>
      <c r="C422" s="3" t="s">
        <v>452</v>
      </c>
      <c r="D422" s="5">
        <v>7.22E7</v>
      </c>
      <c r="E422" s="4"/>
      <c r="F422" s="5" t="s">
        <v>3</v>
      </c>
      <c r="G422" s="4">
        <v>1.1906728309000003E8</v>
      </c>
      <c r="H422" s="4"/>
      <c r="I422" s="6" t="s">
        <v>45</v>
      </c>
    </row>
    <row r="423">
      <c r="A423" s="8">
        <v>46315.0</v>
      </c>
      <c r="B423" s="3" t="s">
        <v>1</v>
      </c>
      <c r="C423" s="3" t="s">
        <v>453</v>
      </c>
      <c r="D423" s="5">
        <v>6.62796E7</v>
      </c>
      <c r="E423" s="4"/>
      <c r="F423" s="5" t="s">
        <v>3</v>
      </c>
      <c r="G423" s="4">
        <v>5.278768309000003E7</v>
      </c>
      <c r="H423" s="4"/>
      <c r="I423" s="6" t="s">
        <v>45</v>
      </c>
    </row>
    <row r="424">
      <c r="A424" s="8">
        <v>46315.0</v>
      </c>
      <c r="B424" s="3" t="s">
        <v>10</v>
      </c>
      <c r="C424" s="3" t="s">
        <v>454</v>
      </c>
      <c r="D424" s="5"/>
      <c r="E424" s="5">
        <v>1200000.0</v>
      </c>
      <c r="F424" s="5" t="s">
        <v>12</v>
      </c>
      <c r="G424" s="4">
        <v>5.398768309000003E7</v>
      </c>
      <c r="H424" s="4"/>
      <c r="I424" s="6" t="s">
        <v>45</v>
      </c>
    </row>
    <row r="425">
      <c r="A425" s="8">
        <v>46315.0</v>
      </c>
      <c r="B425" s="3" t="s">
        <v>10</v>
      </c>
      <c r="C425" s="3" t="s">
        <v>455</v>
      </c>
      <c r="D425" s="5"/>
      <c r="E425" s="5">
        <v>50000.0</v>
      </c>
      <c r="F425" s="5" t="s">
        <v>12</v>
      </c>
      <c r="G425" s="4">
        <v>5.403768309000003E7</v>
      </c>
      <c r="H425" s="4"/>
      <c r="I425" s="6" t="s">
        <v>45</v>
      </c>
    </row>
    <row r="426">
      <c r="A426" s="8">
        <v>46315.0</v>
      </c>
      <c r="B426" s="3" t="s">
        <v>1</v>
      </c>
      <c r="C426" s="3" t="s">
        <v>456</v>
      </c>
      <c r="D426" s="5">
        <v>5.39534E7</v>
      </c>
      <c r="E426" s="4"/>
      <c r="F426" s="5" t="s">
        <v>3</v>
      </c>
      <c r="G426" s="4">
        <v>84283.09000003338</v>
      </c>
      <c r="H426" s="4"/>
      <c r="I426" s="6" t="s">
        <v>45</v>
      </c>
    </row>
    <row r="427">
      <c r="A427" s="8">
        <v>46315.0</v>
      </c>
      <c r="B427" s="3" t="s">
        <v>457</v>
      </c>
      <c r="C427" s="3" t="s">
        <v>457</v>
      </c>
      <c r="D427" s="5">
        <v>19000.0</v>
      </c>
      <c r="E427" s="4"/>
      <c r="F427" s="4"/>
      <c r="G427" s="4">
        <v>65283.09000003338</v>
      </c>
      <c r="H427" s="5">
        <v>65283.09</v>
      </c>
      <c r="I427" s="6" t="s">
        <v>45</v>
      </c>
    </row>
    <row r="428">
      <c r="A428" s="8">
        <v>46316.0</v>
      </c>
      <c r="B428" s="3" t="s">
        <v>458</v>
      </c>
      <c r="C428" s="3" t="s">
        <v>459</v>
      </c>
      <c r="D428" s="5"/>
      <c r="E428" s="5">
        <v>4.0E7</v>
      </c>
      <c r="F428" s="5" t="s">
        <v>12</v>
      </c>
      <c r="G428" s="4">
        <v>4.006528309000003E7</v>
      </c>
      <c r="H428" s="5">
        <v>4.006528309E7</v>
      </c>
      <c r="I428" s="6" t="s">
        <v>45</v>
      </c>
    </row>
    <row r="429">
      <c r="A429" s="8">
        <v>46316.0</v>
      </c>
      <c r="B429" s="3" t="s">
        <v>458</v>
      </c>
      <c r="C429" s="3" t="s">
        <v>460</v>
      </c>
      <c r="D429" s="5"/>
      <c r="E429" s="5">
        <v>1.8E8</v>
      </c>
      <c r="F429" s="5" t="s">
        <v>12</v>
      </c>
      <c r="G429" s="4">
        <v>2.2006528309000003E8</v>
      </c>
      <c r="H429" s="5">
        <v>2.2006528309E8</v>
      </c>
      <c r="I429" s="6" t="s">
        <v>45</v>
      </c>
    </row>
    <row r="430">
      <c r="A430" s="8">
        <v>46316.0</v>
      </c>
      <c r="B430" s="3" t="s">
        <v>1</v>
      </c>
      <c r="C430" s="3" t="s">
        <v>461</v>
      </c>
      <c r="D430" s="5">
        <v>1.189454E8</v>
      </c>
      <c r="E430" s="4"/>
      <c r="F430" s="5" t="s">
        <v>3</v>
      </c>
      <c r="G430" s="4">
        <v>1.0111988309000003E8</v>
      </c>
      <c r="H430" s="4"/>
      <c r="I430" s="6" t="s">
        <v>45</v>
      </c>
    </row>
    <row r="431">
      <c r="A431" s="8">
        <v>46316.0</v>
      </c>
      <c r="B431" s="3" t="s">
        <v>10</v>
      </c>
      <c r="C431" s="3" t="s">
        <v>462</v>
      </c>
      <c r="D431" s="5"/>
      <c r="E431" s="5">
        <v>1.345E7</v>
      </c>
      <c r="F431" s="5" t="s">
        <v>12</v>
      </c>
      <c r="G431" s="4">
        <v>1.1456988309000003E8</v>
      </c>
      <c r="H431" s="4"/>
      <c r="I431" s="6" t="s">
        <v>45</v>
      </c>
    </row>
    <row r="432">
      <c r="A432" s="8">
        <v>46316.0</v>
      </c>
      <c r="B432" s="3" t="s">
        <v>10</v>
      </c>
      <c r="C432" s="3" t="s">
        <v>463</v>
      </c>
      <c r="D432" s="5"/>
      <c r="E432" s="5">
        <v>400000.0</v>
      </c>
      <c r="F432" s="5" t="s">
        <v>12</v>
      </c>
      <c r="G432" s="4">
        <v>1.1496988309000003E8</v>
      </c>
      <c r="H432" s="4"/>
      <c r="I432" s="6" t="s">
        <v>45</v>
      </c>
    </row>
    <row r="433">
      <c r="A433" s="8">
        <v>46316.0</v>
      </c>
      <c r="B433" s="3" t="s">
        <v>1</v>
      </c>
      <c r="C433" s="3" t="s">
        <v>464</v>
      </c>
      <c r="D433" s="5">
        <v>2300000.0</v>
      </c>
      <c r="E433" s="4"/>
      <c r="F433" s="5" t="s">
        <v>3</v>
      </c>
      <c r="G433" s="4">
        <v>1.1266988309000003E8</v>
      </c>
      <c r="H433" s="4"/>
      <c r="I433" s="6" t="s">
        <v>45</v>
      </c>
    </row>
    <row r="434">
      <c r="A434" s="8">
        <v>46316.0</v>
      </c>
      <c r="B434" s="3" t="s">
        <v>1</v>
      </c>
      <c r="C434" s="3" t="s">
        <v>465</v>
      </c>
      <c r="D434" s="5">
        <v>5.14337E7</v>
      </c>
      <c r="E434" s="4"/>
      <c r="F434" s="5" t="s">
        <v>3</v>
      </c>
      <c r="G434" s="4">
        <v>6.123618309000003E7</v>
      </c>
      <c r="H434" s="4"/>
      <c r="I434" s="6" t="s">
        <v>45</v>
      </c>
    </row>
    <row r="435">
      <c r="A435" s="8">
        <v>46316.0</v>
      </c>
      <c r="B435" s="3" t="s">
        <v>1</v>
      </c>
      <c r="C435" s="3" t="s">
        <v>466</v>
      </c>
      <c r="D435" s="5">
        <v>5.78835E7</v>
      </c>
      <c r="E435" s="4"/>
      <c r="F435" s="5" t="s">
        <v>3</v>
      </c>
      <c r="G435" s="4">
        <v>3352683.0900000334</v>
      </c>
      <c r="H435" s="4"/>
      <c r="I435" s="6" t="s">
        <v>45</v>
      </c>
    </row>
    <row r="436">
      <c r="A436" s="8">
        <v>46316.0</v>
      </c>
      <c r="B436" s="3" t="s">
        <v>10</v>
      </c>
      <c r="C436" s="3" t="s">
        <v>467</v>
      </c>
      <c r="D436" s="5"/>
      <c r="E436" s="5">
        <v>6.10839E7</v>
      </c>
      <c r="F436" s="5" t="s">
        <v>12</v>
      </c>
      <c r="G436" s="4">
        <v>6.443658309000003E7</v>
      </c>
      <c r="H436" s="4"/>
      <c r="I436" s="6" t="s">
        <v>45</v>
      </c>
    </row>
    <row r="437">
      <c r="A437" s="8">
        <v>46316.0</v>
      </c>
      <c r="B437" s="3" t="s">
        <v>1</v>
      </c>
      <c r="C437" s="3" t="s">
        <v>468</v>
      </c>
      <c r="D437" s="5">
        <v>6.34895E7</v>
      </c>
      <c r="E437" s="4"/>
      <c r="F437" s="5" t="s">
        <v>3</v>
      </c>
      <c r="G437" s="4">
        <v>947083.0900000334</v>
      </c>
      <c r="H437" s="4"/>
      <c r="I437" s="6" t="s">
        <v>45</v>
      </c>
    </row>
    <row r="438">
      <c r="A438" s="8">
        <v>46316.0</v>
      </c>
      <c r="B438" s="3" t="s">
        <v>10</v>
      </c>
      <c r="C438" s="3" t="s">
        <v>469</v>
      </c>
      <c r="D438" s="5"/>
      <c r="E438" s="5">
        <v>1.2724428E8</v>
      </c>
      <c r="F438" s="5" t="s">
        <v>12</v>
      </c>
      <c r="G438" s="4">
        <v>1.2819136309000003E8</v>
      </c>
      <c r="H438" s="4"/>
      <c r="I438" s="6" t="s">
        <v>45</v>
      </c>
    </row>
    <row r="439">
      <c r="A439" s="8">
        <v>46316.0</v>
      </c>
      <c r="B439" s="3" t="s">
        <v>1</v>
      </c>
      <c r="C439" s="3" t="s">
        <v>470</v>
      </c>
      <c r="D439" s="5">
        <v>6.31785E7</v>
      </c>
      <c r="E439" s="4"/>
      <c r="F439" s="5" t="s">
        <v>3</v>
      </c>
      <c r="G439" s="4">
        <v>6.501286309000003E7</v>
      </c>
      <c r="H439" s="4"/>
      <c r="I439" s="6" t="s">
        <v>45</v>
      </c>
    </row>
    <row r="440">
      <c r="A440" s="8">
        <v>46316.0</v>
      </c>
      <c r="B440" s="3" t="s">
        <v>1</v>
      </c>
      <c r="C440" s="3" t="s">
        <v>471</v>
      </c>
      <c r="D440" s="5">
        <v>2.5E7</v>
      </c>
      <c r="E440" s="4"/>
      <c r="F440" s="5" t="s">
        <v>3</v>
      </c>
      <c r="G440" s="4">
        <v>4.001286309000003E7</v>
      </c>
      <c r="H440" s="4"/>
      <c r="I440" s="6" t="s">
        <v>45</v>
      </c>
    </row>
    <row r="441">
      <c r="A441" s="8">
        <v>46316.0</v>
      </c>
      <c r="B441" s="3" t="s">
        <v>10</v>
      </c>
      <c r="C441" s="3" t="s">
        <v>472</v>
      </c>
      <c r="D441" s="5"/>
      <c r="E441" s="5">
        <v>1.2E8</v>
      </c>
      <c r="F441" s="5" t="s">
        <v>12</v>
      </c>
      <c r="G441" s="4">
        <v>1.6001286309000003E8</v>
      </c>
      <c r="H441" s="5">
        <v>1.6001286309E8</v>
      </c>
      <c r="I441" s="6" t="s">
        <v>45</v>
      </c>
    </row>
    <row r="442">
      <c r="A442" s="8">
        <v>46316.0</v>
      </c>
      <c r="B442" s="3" t="s">
        <v>1</v>
      </c>
      <c r="C442" s="3" t="s">
        <v>473</v>
      </c>
      <c r="D442" s="5">
        <v>5900000.0</v>
      </c>
      <c r="E442" s="4"/>
      <c r="F442" s="5" t="s">
        <v>3</v>
      </c>
      <c r="G442" s="4">
        <v>1.5411286309000003E8</v>
      </c>
      <c r="H442" s="5">
        <v>1.5411286309E8</v>
      </c>
      <c r="I442" s="6" t="s">
        <v>45</v>
      </c>
    </row>
    <row r="443">
      <c r="A443" s="8">
        <v>46316.0</v>
      </c>
      <c r="B443" s="3" t="s">
        <v>10</v>
      </c>
      <c r="C443" s="3" t="s">
        <v>474</v>
      </c>
      <c r="D443" s="5"/>
      <c r="E443" s="5">
        <v>6.676095E7</v>
      </c>
      <c r="F443" s="5" t="s">
        <v>12</v>
      </c>
      <c r="G443" s="4">
        <v>2.2087381309000003E8</v>
      </c>
      <c r="H443" s="4"/>
      <c r="I443" s="6" t="s">
        <v>45</v>
      </c>
    </row>
    <row r="444">
      <c r="A444" s="8">
        <v>46316.0</v>
      </c>
      <c r="B444" s="3" t="s">
        <v>1</v>
      </c>
      <c r="C444" s="3" t="s">
        <v>475</v>
      </c>
      <c r="D444" s="5">
        <v>5.38251E7</v>
      </c>
      <c r="E444" s="4"/>
      <c r="F444" s="5" t="s">
        <v>3</v>
      </c>
      <c r="G444" s="4">
        <v>1.6704871309000003E8</v>
      </c>
      <c r="H444" s="4"/>
      <c r="I444" s="6" t="s">
        <v>45</v>
      </c>
    </row>
    <row r="445">
      <c r="A445" s="8">
        <v>46316.0</v>
      </c>
      <c r="B445" s="3" t="s">
        <v>10</v>
      </c>
      <c r="C445" s="3" t="s">
        <v>476</v>
      </c>
      <c r="D445" s="5"/>
      <c r="E445" s="5">
        <v>1.15E7</v>
      </c>
      <c r="F445" s="5" t="s">
        <v>12</v>
      </c>
      <c r="G445" s="4">
        <v>1.7854871309000003E8</v>
      </c>
      <c r="H445" s="4"/>
      <c r="I445" s="6" t="s">
        <v>45</v>
      </c>
    </row>
    <row r="446">
      <c r="A446" s="8">
        <v>46316.0</v>
      </c>
      <c r="B446" s="3" t="s">
        <v>10</v>
      </c>
      <c r="C446" s="3" t="s">
        <v>477</v>
      </c>
      <c r="D446" s="5"/>
      <c r="E446" s="5">
        <v>2.538458E7</v>
      </c>
      <c r="F446" s="5" t="s">
        <v>12</v>
      </c>
      <c r="G446" s="4">
        <v>2.0393329309000003E8</v>
      </c>
      <c r="H446" s="4"/>
      <c r="I446" s="6" t="s">
        <v>45</v>
      </c>
    </row>
    <row r="447">
      <c r="A447" s="8">
        <v>46316.0</v>
      </c>
      <c r="B447" s="3" t="s">
        <v>10</v>
      </c>
      <c r="C447" s="3" t="s">
        <v>478</v>
      </c>
      <c r="D447" s="5"/>
      <c r="E447" s="5">
        <v>4460000.0</v>
      </c>
      <c r="F447" s="5" t="s">
        <v>12</v>
      </c>
      <c r="G447" s="4">
        <v>2.0839329309000003E8</v>
      </c>
      <c r="H447" s="5">
        <v>2.0839329309E8</v>
      </c>
      <c r="I447" s="6" t="s">
        <v>45</v>
      </c>
    </row>
    <row r="448">
      <c r="A448" s="8">
        <v>46317.0</v>
      </c>
      <c r="B448" s="3" t="s">
        <v>479</v>
      </c>
      <c r="C448" s="3" t="s">
        <v>480</v>
      </c>
      <c r="D448" s="5"/>
      <c r="E448" s="5">
        <v>3.8963E7</v>
      </c>
      <c r="F448" s="5" t="s">
        <v>12</v>
      </c>
      <c r="G448" s="4">
        <v>2.4735629309000003E8</v>
      </c>
      <c r="H448" s="4"/>
      <c r="I448" s="6" t="s">
        <v>45</v>
      </c>
    </row>
    <row r="449">
      <c r="A449" s="8">
        <v>46317.0</v>
      </c>
      <c r="B449" s="3" t="s">
        <v>10</v>
      </c>
      <c r="C449" s="3" t="s">
        <v>481</v>
      </c>
      <c r="D449" s="5"/>
      <c r="E449" s="5">
        <v>3.0E7</v>
      </c>
      <c r="F449" s="5" t="s">
        <v>12</v>
      </c>
      <c r="G449" s="4">
        <v>2.7735629309000003E8</v>
      </c>
      <c r="H449" s="4"/>
      <c r="I449" s="6" t="s">
        <v>45</v>
      </c>
    </row>
    <row r="450">
      <c r="A450" s="8">
        <v>46317.0</v>
      </c>
      <c r="B450" s="3" t="s">
        <v>1</v>
      </c>
      <c r="C450" s="3" t="s">
        <v>482</v>
      </c>
      <c r="D450" s="5">
        <v>3200000.0</v>
      </c>
      <c r="E450" s="4"/>
      <c r="F450" s="5" t="s">
        <v>3</v>
      </c>
      <c r="G450" s="4">
        <v>2.7415629309000003E8</v>
      </c>
      <c r="H450" s="4"/>
      <c r="I450" s="6" t="s">
        <v>45</v>
      </c>
    </row>
    <row r="451">
      <c r="A451" s="8">
        <v>46317.0</v>
      </c>
      <c r="B451" s="3" t="s">
        <v>10</v>
      </c>
      <c r="C451" s="3" t="s">
        <v>483</v>
      </c>
      <c r="D451" s="5"/>
      <c r="E451" s="5">
        <v>6.5E7</v>
      </c>
      <c r="F451" s="5" t="s">
        <v>12</v>
      </c>
      <c r="G451" s="4">
        <v>3.3915629309000003E8</v>
      </c>
      <c r="H451" s="4"/>
      <c r="I451" s="6" t="s">
        <v>45</v>
      </c>
    </row>
    <row r="452">
      <c r="A452" s="8">
        <v>46317.0</v>
      </c>
      <c r="B452" s="3" t="s">
        <v>1</v>
      </c>
      <c r="C452" s="3" t="s">
        <v>484</v>
      </c>
      <c r="D452" s="5">
        <v>6.30382E7</v>
      </c>
      <c r="E452" s="4"/>
      <c r="F452" s="5" t="s">
        <v>3</v>
      </c>
      <c r="G452" s="4">
        <v>2.7611809309000003E8</v>
      </c>
      <c r="H452" s="4"/>
      <c r="I452" s="6" t="s">
        <v>45</v>
      </c>
    </row>
    <row r="453">
      <c r="A453" s="8">
        <v>46317.0</v>
      </c>
      <c r="B453" s="3" t="s">
        <v>1</v>
      </c>
      <c r="C453" s="3" t="s">
        <v>485</v>
      </c>
      <c r="D453" s="5">
        <v>1.09809E8</v>
      </c>
      <c r="E453" s="4"/>
      <c r="F453" s="5" t="s">
        <v>3</v>
      </c>
      <c r="G453" s="4">
        <v>1.6630909309000003E8</v>
      </c>
      <c r="H453" s="4"/>
      <c r="I453" s="6" t="s">
        <v>45</v>
      </c>
    </row>
    <row r="454">
      <c r="A454" s="8">
        <v>46317.0</v>
      </c>
      <c r="B454" s="3" t="s">
        <v>1</v>
      </c>
      <c r="C454" s="3" t="s">
        <v>486</v>
      </c>
      <c r="D454" s="5">
        <v>6115960.0</v>
      </c>
      <c r="E454" s="4"/>
      <c r="F454" s="5" t="s">
        <v>3</v>
      </c>
      <c r="G454" s="4">
        <v>1.6019313309000003E8</v>
      </c>
      <c r="H454" s="4"/>
      <c r="I454" s="6" t="s">
        <v>45</v>
      </c>
    </row>
    <row r="455">
      <c r="A455" s="8">
        <v>46317.0</v>
      </c>
      <c r="B455" s="3" t="s">
        <v>1</v>
      </c>
      <c r="C455" s="3" t="s">
        <v>487</v>
      </c>
      <c r="D455" s="5">
        <v>2700000.0</v>
      </c>
      <c r="E455" s="4"/>
      <c r="F455" s="5" t="s">
        <v>3</v>
      </c>
      <c r="G455" s="4">
        <v>1.5749313309000003E8</v>
      </c>
      <c r="H455" s="5">
        <v>1.5749313309E8</v>
      </c>
      <c r="I455" s="6" t="s">
        <v>45</v>
      </c>
    </row>
    <row r="456">
      <c r="A456" s="8">
        <v>46317.0</v>
      </c>
      <c r="B456" s="3" t="s">
        <v>488</v>
      </c>
      <c r="C456" s="3" t="s">
        <v>488</v>
      </c>
      <c r="D456" s="5">
        <v>300000.0</v>
      </c>
      <c r="E456" s="4"/>
      <c r="F456" s="4"/>
      <c r="G456" s="4">
        <v>1.5719313309000003E8</v>
      </c>
      <c r="H456" s="5">
        <v>1.5719313309E8</v>
      </c>
      <c r="I456" s="6" t="s">
        <v>45</v>
      </c>
    </row>
    <row r="457">
      <c r="A457" s="8">
        <v>46317.0</v>
      </c>
      <c r="B457" s="3" t="s">
        <v>1</v>
      </c>
      <c r="C457" s="3" t="s">
        <v>489</v>
      </c>
      <c r="D457" s="5">
        <v>9790300.0</v>
      </c>
      <c r="E457" s="4"/>
      <c r="F457" s="5" t="s">
        <v>3</v>
      </c>
      <c r="G457" s="4">
        <v>1.4740283309000003E8</v>
      </c>
      <c r="H457" s="4"/>
      <c r="I457" s="6" t="s">
        <v>45</v>
      </c>
    </row>
    <row r="458">
      <c r="A458" s="8">
        <v>46317.0</v>
      </c>
      <c r="B458" s="3" t="s">
        <v>1</v>
      </c>
      <c r="C458" s="3" t="s">
        <v>490</v>
      </c>
      <c r="D458" s="5">
        <v>5313030.0</v>
      </c>
      <c r="E458" s="4"/>
      <c r="F458" s="5" t="s">
        <v>3</v>
      </c>
      <c r="G458" s="4">
        <v>1.4208980309000003E8</v>
      </c>
      <c r="H458" s="4"/>
      <c r="I458" s="6" t="s">
        <v>45</v>
      </c>
    </row>
    <row r="459">
      <c r="A459" s="8">
        <v>46317.0</v>
      </c>
      <c r="B459" s="3" t="s">
        <v>1</v>
      </c>
      <c r="C459" s="3" t="s">
        <v>491</v>
      </c>
      <c r="D459" s="5">
        <v>6.864068E7</v>
      </c>
      <c r="E459" s="4"/>
      <c r="F459" s="5" t="s">
        <v>3</v>
      </c>
      <c r="G459" s="4">
        <v>7.344912309000003E7</v>
      </c>
      <c r="H459" s="4"/>
      <c r="I459" s="6" t="s">
        <v>45</v>
      </c>
    </row>
    <row r="460">
      <c r="A460" s="8">
        <v>46317.0</v>
      </c>
      <c r="B460" s="3" t="s">
        <v>1</v>
      </c>
      <c r="C460" s="3" t="s">
        <v>492</v>
      </c>
      <c r="D460" s="5">
        <v>6.503305E7</v>
      </c>
      <c r="E460" s="4"/>
      <c r="F460" s="5" t="s">
        <v>3</v>
      </c>
      <c r="G460" s="4">
        <v>8416073.090000033</v>
      </c>
      <c r="H460" s="5">
        <v>8416073.09</v>
      </c>
      <c r="I460" s="6" t="s">
        <v>45</v>
      </c>
    </row>
    <row r="461">
      <c r="A461" s="8">
        <v>46318.0</v>
      </c>
      <c r="B461" s="3" t="s">
        <v>10</v>
      </c>
      <c r="C461" s="3" t="s">
        <v>493</v>
      </c>
      <c r="D461" s="5"/>
      <c r="E461" s="5">
        <v>5.1E7</v>
      </c>
      <c r="F461" s="5" t="s">
        <v>12</v>
      </c>
      <c r="G461" s="4">
        <v>5.941607309000003E7</v>
      </c>
      <c r="H461" s="4"/>
      <c r="I461" s="6" t="s">
        <v>45</v>
      </c>
    </row>
    <row r="462">
      <c r="A462" s="8">
        <v>46318.0</v>
      </c>
      <c r="B462" s="3" t="s">
        <v>1</v>
      </c>
      <c r="C462" s="3" t="s">
        <v>494</v>
      </c>
      <c r="D462" s="5">
        <v>5.93648E7</v>
      </c>
      <c r="E462" s="4"/>
      <c r="F462" s="5" t="s">
        <v>3</v>
      </c>
      <c r="G462" s="4">
        <v>51273.09000003338</v>
      </c>
      <c r="H462" s="4"/>
      <c r="I462" s="6" t="s">
        <v>45</v>
      </c>
    </row>
    <row r="463">
      <c r="A463" s="8">
        <v>46318.0</v>
      </c>
      <c r="B463" s="3" t="s">
        <v>10</v>
      </c>
      <c r="C463" s="3" t="s">
        <v>495</v>
      </c>
      <c r="D463" s="5"/>
      <c r="E463" s="5">
        <v>1.8505593E8</v>
      </c>
      <c r="F463" s="5" t="s">
        <v>12</v>
      </c>
      <c r="G463" s="4">
        <v>1.8510720309000003E8</v>
      </c>
      <c r="H463" s="4"/>
      <c r="I463" s="6" t="s">
        <v>45</v>
      </c>
    </row>
    <row r="464">
      <c r="A464" s="8">
        <v>46318.0</v>
      </c>
      <c r="B464" s="3" t="s">
        <v>10</v>
      </c>
      <c r="C464" s="3" t="s">
        <v>496</v>
      </c>
      <c r="D464" s="5"/>
      <c r="E464" s="5">
        <v>1.235624E8</v>
      </c>
      <c r="F464" s="5" t="s">
        <v>12</v>
      </c>
      <c r="G464" s="4">
        <v>3.0866960309000003E8</v>
      </c>
      <c r="H464" s="4"/>
      <c r="I464" s="6" t="s">
        <v>45</v>
      </c>
    </row>
    <row r="465">
      <c r="A465" s="8">
        <v>46318.0</v>
      </c>
      <c r="B465" s="3" t="s">
        <v>10</v>
      </c>
      <c r="C465" s="3" t="s">
        <v>497</v>
      </c>
      <c r="D465" s="5"/>
      <c r="E465" s="5">
        <v>1.5E8</v>
      </c>
      <c r="F465" s="5" t="s">
        <v>12</v>
      </c>
      <c r="G465" s="4">
        <v>4.5866960309000003E8</v>
      </c>
      <c r="H465" s="4"/>
      <c r="I465" s="6" t="s">
        <v>45</v>
      </c>
    </row>
    <row r="466">
      <c r="A466" s="8">
        <v>46318.0</v>
      </c>
      <c r="B466" s="3" t="s">
        <v>10</v>
      </c>
      <c r="C466" s="3" t="s">
        <v>498</v>
      </c>
      <c r="D466" s="5"/>
      <c r="E466" s="5">
        <v>5.6474679E7</v>
      </c>
      <c r="F466" s="5" t="s">
        <v>12</v>
      </c>
      <c r="G466" s="4">
        <v>5.1514428209000003E8</v>
      </c>
      <c r="H466" s="4"/>
      <c r="I466" s="6" t="s">
        <v>45</v>
      </c>
    </row>
    <row r="467">
      <c r="A467" s="8">
        <v>46318.0</v>
      </c>
      <c r="B467" s="3" t="s">
        <v>10</v>
      </c>
      <c r="C467" s="3" t="s">
        <v>499</v>
      </c>
      <c r="D467" s="5"/>
      <c r="E467" s="5">
        <v>1.85118105E8</v>
      </c>
      <c r="F467" s="5" t="s">
        <v>12</v>
      </c>
      <c r="G467" s="4">
        <v>7.0026238709E8</v>
      </c>
      <c r="H467" s="4"/>
      <c r="I467" s="6" t="s">
        <v>45</v>
      </c>
    </row>
    <row r="468">
      <c r="A468" s="8">
        <v>46318.0</v>
      </c>
      <c r="B468" s="3" t="s">
        <v>10</v>
      </c>
      <c r="C468" s="3" t="s">
        <v>500</v>
      </c>
      <c r="D468" s="5"/>
      <c r="E468" s="5">
        <v>5.0E7</v>
      </c>
      <c r="F468" s="5" t="s">
        <v>12</v>
      </c>
      <c r="G468" s="4">
        <v>7.5026238709E8</v>
      </c>
      <c r="H468" s="5">
        <v>7.5026238709E8</v>
      </c>
      <c r="I468" s="6" t="s">
        <v>45</v>
      </c>
    </row>
    <row r="469">
      <c r="A469" s="8">
        <v>46318.0</v>
      </c>
      <c r="B469" s="3" t="s">
        <v>1</v>
      </c>
      <c r="C469" s="3" t="s">
        <v>501</v>
      </c>
      <c r="D469" s="5">
        <v>2.4625E8</v>
      </c>
      <c r="E469" s="4"/>
      <c r="F469" s="5" t="s">
        <v>3</v>
      </c>
      <c r="G469" s="4">
        <v>5.0401238709000003E8</v>
      </c>
      <c r="H469" s="5">
        <v>5.0401238709E8</v>
      </c>
      <c r="I469" s="6" t="s">
        <v>45</v>
      </c>
    </row>
    <row r="470">
      <c r="A470" s="8">
        <v>46318.0</v>
      </c>
      <c r="B470" s="3" t="s">
        <v>1</v>
      </c>
      <c r="C470" s="3" t="s">
        <v>502</v>
      </c>
      <c r="D470" s="5">
        <v>1.046714E8</v>
      </c>
      <c r="E470" s="4"/>
      <c r="F470" s="5" t="s">
        <v>3</v>
      </c>
      <c r="G470" s="4">
        <v>3.9934098709000003E8</v>
      </c>
      <c r="H470" s="4"/>
      <c r="I470" s="6" t="s">
        <v>45</v>
      </c>
    </row>
    <row r="471">
      <c r="A471" s="8">
        <v>46318.0</v>
      </c>
      <c r="B471" s="3" t="s">
        <v>1</v>
      </c>
      <c r="C471" s="3" t="s">
        <v>503</v>
      </c>
      <c r="D471" s="5">
        <v>6.23875E7</v>
      </c>
      <c r="E471" s="4"/>
      <c r="F471" s="5" t="s">
        <v>3</v>
      </c>
      <c r="G471" s="4">
        <v>3.3695348709000003E8</v>
      </c>
      <c r="H471" s="4"/>
      <c r="I471" s="6" t="s">
        <v>45</v>
      </c>
    </row>
    <row r="472">
      <c r="A472" s="8">
        <v>46318.0</v>
      </c>
      <c r="B472" s="3" t="s">
        <v>10</v>
      </c>
      <c r="C472" s="3" t="s">
        <v>504</v>
      </c>
      <c r="D472" s="5"/>
      <c r="E472" s="5">
        <v>2.8E7</v>
      </c>
      <c r="F472" s="5" t="s">
        <v>12</v>
      </c>
      <c r="G472" s="4">
        <v>3.6495348709000003E8</v>
      </c>
      <c r="H472" s="4"/>
      <c r="I472" s="6" t="s">
        <v>45</v>
      </c>
    </row>
    <row r="473">
      <c r="A473" s="8">
        <v>46318.0</v>
      </c>
      <c r="B473" s="3" t="s">
        <v>1</v>
      </c>
      <c r="C473" s="3" t="s">
        <v>505</v>
      </c>
      <c r="D473" s="5">
        <v>1.616868E8</v>
      </c>
      <c r="E473" s="4"/>
      <c r="F473" s="5" t="s">
        <v>3</v>
      </c>
      <c r="G473" s="4">
        <v>2.0326668709000003E8</v>
      </c>
      <c r="H473" s="4"/>
      <c r="I473" s="6" t="s">
        <v>45</v>
      </c>
    </row>
    <row r="474">
      <c r="A474" s="8">
        <v>46318.0</v>
      </c>
      <c r="B474" s="3" t="s">
        <v>1</v>
      </c>
      <c r="C474" s="3" t="s">
        <v>506</v>
      </c>
      <c r="D474" s="5">
        <v>7.26496E7</v>
      </c>
      <c r="E474" s="4"/>
      <c r="F474" s="5" t="s">
        <v>3</v>
      </c>
      <c r="G474" s="4">
        <v>1.3061708709000003E8</v>
      </c>
      <c r="H474" s="4"/>
      <c r="I474" s="6" t="s">
        <v>45</v>
      </c>
    </row>
    <row r="475">
      <c r="A475" s="8">
        <v>46318.0</v>
      </c>
      <c r="B475" s="3" t="s">
        <v>1</v>
      </c>
      <c r="C475" s="3" t="s">
        <v>507</v>
      </c>
      <c r="D475" s="5">
        <v>2.0E7</v>
      </c>
      <c r="E475" s="4"/>
      <c r="F475" s="5" t="s">
        <v>3</v>
      </c>
      <c r="G475" s="4">
        <v>1.1061708709000003E8</v>
      </c>
      <c r="H475" s="4"/>
      <c r="I475" s="6" t="s">
        <v>45</v>
      </c>
    </row>
    <row r="476">
      <c r="A476" s="8">
        <v>46318.0</v>
      </c>
      <c r="B476" s="3" t="s">
        <v>1</v>
      </c>
      <c r="C476" s="3" t="s">
        <v>508</v>
      </c>
      <c r="D476" s="5">
        <v>5.20524E7</v>
      </c>
      <c r="E476" s="4"/>
      <c r="F476" s="5" t="s">
        <v>3</v>
      </c>
      <c r="G476" s="4">
        <v>5.856468709000003E7</v>
      </c>
      <c r="H476" s="4"/>
      <c r="I476" s="6" t="s">
        <v>45</v>
      </c>
    </row>
    <row r="477">
      <c r="A477" s="8">
        <v>46318.0</v>
      </c>
      <c r="B477" s="3" t="s">
        <v>1</v>
      </c>
      <c r="C477" s="3" t="s">
        <v>509</v>
      </c>
      <c r="D477" s="5">
        <v>5.310055E7</v>
      </c>
      <c r="E477" s="4"/>
      <c r="F477" s="5" t="s">
        <v>3</v>
      </c>
      <c r="G477" s="4">
        <v>5464137.090000033</v>
      </c>
      <c r="H477" s="5">
        <v>5464137.09</v>
      </c>
      <c r="I477" s="6" t="s">
        <v>45</v>
      </c>
    </row>
    <row r="478">
      <c r="A478" s="8">
        <v>46319.0</v>
      </c>
      <c r="B478" s="3" t="s">
        <v>510</v>
      </c>
      <c r="C478" s="3" t="s">
        <v>511</v>
      </c>
      <c r="D478" s="5"/>
      <c r="E478" s="5">
        <v>1.360908E8</v>
      </c>
      <c r="F478" s="5" t="s">
        <v>12</v>
      </c>
      <c r="G478" s="4">
        <v>1.4155493709000003E8</v>
      </c>
      <c r="H478" s="4"/>
      <c r="I478" s="6" t="s">
        <v>45</v>
      </c>
    </row>
    <row r="479">
      <c r="A479" s="8">
        <v>46319.0</v>
      </c>
      <c r="B479" s="3" t="s">
        <v>510</v>
      </c>
      <c r="C479" s="3" t="s">
        <v>512</v>
      </c>
      <c r="D479" s="5"/>
      <c r="E479" s="5">
        <v>1.15E8</v>
      </c>
      <c r="F479" s="5" t="s">
        <v>12</v>
      </c>
      <c r="G479" s="4">
        <v>2.5655493709000003E8</v>
      </c>
      <c r="H479" s="4"/>
      <c r="I479" s="6" t="s">
        <v>45</v>
      </c>
    </row>
    <row r="480">
      <c r="A480" s="8">
        <v>46319.0</v>
      </c>
      <c r="B480" s="3" t="s">
        <v>1</v>
      </c>
      <c r="C480" s="3" t="s">
        <v>513</v>
      </c>
      <c r="D480" s="5">
        <v>1.151028E8</v>
      </c>
      <c r="E480" s="4"/>
      <c r="F480" s="5" t="s">
        <v>3</v>
      </c>
      <c r="G480" s="4">
        <v>1.4145213709000003E8</v>
      </c>
      <c r="H480" s="5">
        <v>1.4145213709E8</v>
      </c>
      <c r="I480" s="6" t="s">
        <v>45</v>
      </c>
    </row>
    <row r="481">
      <c r="A481" s="8">
        <v>46319.0</v>
      </c>
      <c r="B481" s="3" t="s">
        <v>1</v>
      </c>
      <c r="C481" s="3" t="s">
        <v>514</v>
      </c>
      <c r="D481" s="5">
        <v>5.4009E7</v>
      </c>
      <c r="E481" s="4"/>
      <c r="F481" s="5" t="s">
        <v>3</v>
      </c>
      <c r="G481" s="4">
        <v>8.744313709000003E7</v>
      </c>
      <c r="H481" s="5">
        <v>8.744313709E7</v>
      </c>
      <c r="I481" s="6" t="s">
        <v>45</v>
      </c>
    </row>
    <row r="482">
      <c r="A482" s="8">
        <v>46319.0</v>
      </c>
      <c r="B482" s="3" t="s">
        <v>1</v>
      </c>
      <c r="C482" s="3" t="s">
        <v>515</v>
      </c>
      <c r="D482" s="5">
        <v>8.73922E7</v>
      </c>
      <c r="E482" s="4"/>
      <c r="F482" s="5" t="s">
        <v>3</v>
      </c>
      <c r="G482" s="4">
        <v>50937.09000003338</v>
      </c>
      <c r="H482" s="4"/>
      <c r="I482" s="6" t="s">
        <v>45</v>
      </c>
    </row>
    <row r="483">
      <c r="A483" s="8">
        <v>46319.0</v>
      </c>
      <c r="B483" s="3" t="s">
        <v>10</v>
      </c>
      <c r="C483" s="3" t="s">
        <v>516</v>
      </c>
      <c r="D483" s="5"/>
      <c r="E483" s="5">
        <v>1.792028E8</v>
      </c>
      <c r="F483" s="5" t="s">
        <v>12</v>
      </c>
      <c r="G483" s="4">
        <v>1.7925373709000003E8</v>
      </c>
      <c r="H483" s="4"/>
      <c r="I483" s="6" t="s">
        <v>45</v>
      </c>
    </row>
    <row r="484">
      <c r="A484" s="8">
        <v>46319.0</v>
      </c>
      <c r="B484" s="3" t="s">
        <v>48</v>
      </c>
      <c r="C484" s="3" t="s">
        <v>517</v>
      </c>
      <c r="D484" s="5">
        <v>52000.0</v>
      </c>
      <c r="E484" s="4"/>
      <c r="F484" s="4"/>
      <c r="G484" s="4">
        <v>1.7920173709000003E8</v>
      </c>
      <c r="H484" s="4"/>
      <c r="I484" s="6" t="s">
        <v>45</v>
      </c>
    </row>
    <row r="485">
      <c r="A485" s="8">
        <v>46319.0</v>
      </c>
      <c r="B485" s="3" t="s">
        <v>10</v>
      </c>
      <c r="C485" s="3" t="s">
        <v>518</v>
      </c>
      <c r="D485" s="5"/>
      <c r="E485" s="5">
        <v>4650000.0</v>
      </c>
      <c r="F485" s="5" t="s">
        <v>12</v>
      </c>
      <c r="G485" s="4">
        <v>1.8385173709000003E8</v>
      </c>
      <c r="H485" s="4"/>
      <c r="I485" s="6" t="s">
        <v>45</v>
      </c>
    </row>
    <row r="486">
      <c r="A486" s="8">
        <v>46319.0</v>
      </c>
      <c r="B486" s="3" t="s">
        <v>1</v>
      </c>
      <c r="C486" s="3" t="s">
        <v>519</v>
      </c>
      <c r="D486" s="5">
        <v>4309400.0</v>
      </c>
      <c r="E486" s="4"/>
      <c r="F486" s="5" t="s">
        <v>3</v>
      </c>
      <c r="G486" s="4">
        <v>1.7954233709000003E8</v>
      </c>
      <c r="H486" s="4"/>
      <c r="I486" s="6" t="s">
        <v>45</v>
      </c>
    </row>
    <row r="487">
      <c r="A487" s="8">
        <v>46319.0</v>
      </c>
      <c r="B487" s="3" t="s">
        <v>10</v>
      </c>
      <c r="C487" s="3" t="s">
        <v>520</v>
      </c>
      <c r="D487" s="5"/>
      <c r="E487" s="5">
        <v>4.89063E7</v>
      </c>
      <c r="F487" s="5" t="s">
        <v>12</v>
      </c>
      <c r="G487" s="4">
        <v>2.2844863709000003E8</v>
      </c>
      <c r="H487" s="4"/>
      <c r="I487" s="6" t="s">
        <v>45</v>
      </c>
    </row>
    <row r="488">
      <c r="A488" s="8">
        <v>46319.0</v>
      </c>
      <c r="B488" s="3" t="s">
        <v>10</v>
      </c>
      <c r="C488" s="3" t="s">
        <v>521</v>
      </c>
      <c r="D488" s="5"/>
      <c r="E488" s="5">
        <v>1.8638315E8</v>
      </c>
      <c r="F488" s="5" t="s">
        <v>12</v>
      </c>
      <c r="G488" s="4">
        <v>4.1483178709000003E8</v>
      </c>
      <c r="H488" s="4"/>
      <c r="I488" s="6" t="s">
        <v>45</v>
      </c>
    </row>
    <row r="489">
      <c r="A489" s="8">
        <v>46319.0</v>
      </c>
      <c r="B489" s="3" t="s">
        <v>10</v>
      </c>
      <c r="C489" s="3" t="s">
        <v>522</v>
      </c>
      <c r="D489" s="5"/>
      <c r="E489" s="5">
        <v>4.3560994E7</v>
      </c>
      <c r="F489" s="5" t="s">
        <v>12</v>
      </c>
      <c r="G489" s="4">
        <v>4.5839278109000003E8</v>
      </c>
      <c r="H489" s="4"/>
      <c r="I489" s="6" t="s">
        <v>45</v>
      </c>
    </row>
    <row r="490">
      <c r="A490" s="8">
        <v>46319.0</v>
      </c>
      <c r="B490" s="3" t="s">
        <v>1</v>
      </c>
      <c r="C490" s="3" t="s">
        <v>523</v>
      </c>
      <c r="D490" s="5">
        <v>1300000.0</v>
      </c>
      <c r="E490" s="4"/>
      <c r="F490" s="5" t="s">
        <v>3</v>
      </c>
      <c r="G490" s="4">
        <v>4.5709278109000003E8</v>
      </c>
      <c r="H490" s="4"/>
      <c r="I490" s="6" t="s">
        <v>45</v>
      </c>
    </row>
    <row r="491">
      <c r="A491" s="8">
        <v>46319.0</v>
      </c>
      <c r="B491" s="3" t="s">
        <v>1</v>
      </c>
      <c r="C491" s="3" t="s">
        <v>524</v>
      </c>
      <c r="D491" s="5">
        <v>1.250594E7</v>
      </c>
      <c r="E491" s="4"/>
      <c r="F491" s="5" t="s">
        <v>3</v>
      </c>
      <c r="G491" s="4">
        <v>4.4458684109000003E8</v>
      </c>
      <c r="H491" s="4"/>
      <c r="I491" s="6" t="s">
        <v>45</v>
      </c>
    </row>
    <row r="492">
      <c r="A492" s="8">
        <v>46319.0</v>
      </c>
      <c r="B492" s="3" t="s">
        <v>10</v>
      </c>
      <c r="C492" s="3" t="s">
        <v>525</v>
      </c>
      <c r="D492" s="5"/>
      <c r="E492" s="5">
        <v>2.4975282E8</v>
      </c>
      <c r="F492" s="5" t="s">
        <v>12</v>
      </c>
      <c r="G492" s="4">
        <v>6.9433966109E8</v>
      </c>
      <c r="H492" s="4"/>
      <c r="I492" s="6" t="s">
        <v>45</v>
      </c>
    </row>
    <row r="493">
      <c r="A493" s="8">
        <v>46319.0</v>
      </c>
      <c r="B493" s="3" t="s">
        <v>1</v>
      </c>
      <c r="C493" s="3" t="s">
        <v>526</v>
      </c>
      <c r="D493" s="5">
        <v>400000.0</v>
      </c>
      <c r="E493" s="4"/>
      <c r="F493" s="5" t="s">
        <v>3</v>
      </c>
      <c r="G493" s="4">
        <v>6.9393966109E8</v>
      </c>
      <c r="H493" s="5">
        <v>6.9393966109E8</v>
      </c>
      <c r="I493" s="6" t="s">
        <v>45</v>
      </c>
    </row>
    <row r="494">
      <c r="A494" s="8">
        <v>46319.0</v>
      </c>
      <c r="B494" s="3" t="s">
        <v>10</v>
      </c>
      <c r="C494" s="3" t="s">
        <v>527</v>
      </c>
      <c r="D494" s="5"/>
      <c r="E494" s="5">
        <v>9.9E7</v>
      </c>
      <c r="F494" s="5" t="s">
        <v>12</v>
      </c>
      <c r="G494" s="4">
        <v>7.9293966109E8</v>
      </c>
      <c r="H494" s="5">
        <v>7.9293966109E8</v>
      </c>
      <c r="I494" s="6" t="s">
        <v>45</v>
      </c>
    </row>
    <row r="495">
      <c r="A495" s="8">
        <v>46320.0</v>
      </c>
      <c r="B495" s="3" t="s">
        <v>528</v>
      </c>
      <c r="C495" s="3" t="s">
        <v>529</v>
      </c>
      <c r="D495" s="5">
        <v>1.150596E8</v>
      </c>
      <c r="E495" s="4"/>
      <c r="F495" s="5" t="s">
        <v>3</v>
      </c>
      <c r="G495" s="4">
        <v>6.7788006109E8</v>
      </c>
      <c r="H495" s="4"/>
      <c r="I495" s="6" t="s">
        <v>45</v>
      </c>
    </row>
    <row r="496">
      <c r="A496" s="8">
        <v>46320.0</v>
      </c>
      <c r="B496" s="3" t="s">
        <v>528</v>
      </c>
      <c r="C496" s="3" t="s">
        <v>530</v>
      </c>
      <c r="D496" s="5">
        <v>2.90102E8</v>
      </c>
      <c r="E496" s="4"/>
      <c r="F496" s="5" t="s">
        <v>3</v>
      </c>
      <c r="G496" s="4">
        <v>3.8777806109000003E8</v>
      </c>
      <c r="H496" s="4"/>
      <c r="I496" s="6" t="s">
        <v>45</v>
      </c>
    </row>
    <row r="497">
      <c r="A497" s="8">
        <v>46320.0</v>
      </c>
      <c r="B497" s="3" t="s">
        <v>528</v>
      </c>
      <c r="C497" s="3" t="s">
        <v>531</v>
      </c>
      <c r="D497" s="5">
        <v>5.75905E7</v>
      </c>
      <c r="E497" s="4"/>
      <c r="F497" s="5" t="s">
        <v>3</v>
      </c>
      <c r="G497" s="4">
        <v>3.3018756109000003E8</v>
      </c>
      <c r="H497" s="4"/>
      <c r="I497" s="6" t="s">
        <v>45</v>
      </c>
    </row>
    <row r="498">
      <c r="A498" s="8">
        <v>46320.0</v>
      </c>
      <c r="B498" s="3" t="s">
        <v>528</v>
      </c>
      <c r="C498" s="3" t="s">
        <v>532</v>
      </c>
      <c r="D498" s="5">
        <v>5.95E7</v>
      </c>
      <c r="E498" s="4"/>
      <c r="F498" s="5" t="s">
        <v>3</v>
      </c>
      <c r="G498" s="4">
        <v>2.7068756109000003E8</v>
      </c>
      <c r="H498" s="4"/>
      <c r="I498" s="6" t="s">
        <v>45</v>
      </c>
    </row>
    <row r="499">
      <c r="A499" s="8">
        <v>46320.0</v>
      </c>
      <c r="B499" s="3" t="s">
        <v>528</v>
      </c>
      <c r="C499" s="3" t="s">
        <v>533</v>
      </c>
      <c r="D499" s="5">
        <v>1.3505E7</v>
      </c>
      <c r="E499" s="4"/>
      <c r="F499" s="5" t="s">
        <v>3</v>
      </c>
      <c r="G499" s="4">
        <v>2.5718256109000003E8</v>
      </c>
      <c r="H499" s="4"/>
      <c r="I499" s="6" t="s">
        <v>45</v>
      </c>
    </row>
    <row r="500">
      <c r="A500" s="8">
        <v>46320.0</v>
      </c>
      <c r="B500" s="3" t="s">
        <v>534</v>
      </c>
      <c r="C500" s="3" t="s">
        <v>535</v>
      </c>
      <c r="D500" s="5"/>
      <c r="E500" s="5">
        <v>1.5E8</v>
      </c>
      <c r="F500" s="5" t="s">
        <v>12</v>
      </c>
      <c r="G500" s="4">
        <v>4.0718256109000003E8</v>
      </c>
      <c r="H500" s="4"/>
      <c r="I500" s="6" t="s">
        <v>45</v>
      </c>
    </row>
    <row r="501">
      <c r="A501" s="8">
        <v>46320.0</v>
      </c>
      <c r="B501" s="3" t="s">
        <v>1</v>
      </c>
      <c r="C501" s="3" t="s">
        <v>536</v>
      </c>
      <c r="D501" s="5">
        <v>1.12E8</v>
      </c>
      <c r="E501" s="4"/>
      <c r="F501" s="5" t="s">
        <v>3</v>
      </c>
      <c r="G501" s="4">
        <v>2.9518256109000003E8</v>
      </c>
      <c r="H501" s="4"/>
      <c r="I501" s="6" t="s">
        <v>45</v>
      </c>
    </row>
    <row r="502">
      <c r="A502" s="8">
        <v>46320.0</v>
      </c>
      <c r="B502" s="3" t="s">
        <v>1</v>
      </c>
      <c r="C502" s="3" t="s">
        <v>537</v>
      </c>
      <c r="D502" s="5">
        <v>1.16172E8</v>
      </c>
      <c r="E502" s="4"/>
      <c r="F502" s="5" t="s">
        <v>3</v>
      </c>
      <c r="G502" s="4">
        <v>1.7901056109000003E8</v>
      </c>
      <c r="H502" s="4"/>
      <c r="I502" s="6" t="s">
        <v>45</v>
      </c>
    </row>
    <row r="503">
      <c r="A503" s="8">
        <v>46320.0</v>
      </c>
      <c r="B503" s="3" t="s">
        <v>1</v>
      </c>
      <c r="C503" s="3" t="s">
        <v>538</v>
      </c>
      <c r="D503" s="5">
        <v>1.152E8</v>
      </c>
      <c r="E503" s="4"/>
      <c r="F503" s="5" t="s">
        <v>3</v>
      </c>
      <c r="G503" s="4">
        <v>6.381056109000003E7</v>
      </c>
      <c r="H503" s="4"/>
      <c r="I503" s="6" t="s">
        <v>45</v>
      </c>
    </row>
    <row r="504">
      <c r="A504" s="8">
        <v>46320.0</v>
      </c>
      <c r="B504" s="3" t="s">
        <v>1</v>
      </c>
      <c r="C504" s="3" t="s">
        <v>539</v>
      </c>
      <c r="D504" s="5">
        <v>6.37604E7</v>
      </c>
      <c r="E504" s="4"/>
      <c r="F504" s="5" t="s">
        <v>3</v>
      </c>
      <c r="G504" s="4">
        <v>50161.09000003338</v>
      </c>
      <c r="H504" s="4"/>
      <c r="I504" s="6" t="s">
        <v>45</v>
      </c>
    </row>
    <row r="505">
      <c r="A505" s="8">
        <v>46320.0</v>
      </c>
      <c r="B505" s="3" t="s">
        <v>10</v>
      </c>
      <c r="C505" s="3" t="s">
        <v>540</v>
      </c>
      <c r="D505" s="5"/>
      <c r="E505" s="5">
        <v>1.06631E7</v>
      </c>
      <c r="F505" s="5" t="s">
        <v>12</v>
      </c>
      <c r="G505" s="4">
        <v>1.0713261090000033E7</v>
      </c>
      <c r="H505" s="5">
        <v>1.071326109E7</v>
      </c>
      <c r="I505" s="6" t="s">
        <v>45</v>
      </c>
    </row>
    <row r="506">
      <c r="A506" s="8">
        <v>46320.0</v>
      </c>
      <c r="B506" s="3" t="s">
        <v>220</v>
      </c>
      <c r="C506" s="3" t="s">
        <v>221</v>
      </c>
      <c r="D506" s="5">
        <v>100300.0</v>
      </c>
      <c r="E506" s="4"/>
      <c r="F506" s="4"/>
      <c r="G506" s="4">
        <v>1.0612961090000033E7</v>
      </c>
      <c r="H506" s="5">
        <v>1.061296109E7</v>
      </c>
      <c r="I506" s="6" t="s">
        <v>45</v>
      </c>
    </row>
    <row r="507">
      <c r="A507" s="8">
        <v>46320.0</v>
      </c>
      <c r="B507" s="3" t="s">
        <v>10</v>
      </c>
      <c r="C507" s="3" t="s">
        <v>541</v>
      </c>
      <c r="D507" s="5"/>
      <c r="E507" s="5">
        <v>6.012E7</v>
      </c>
      <c r="F507" s="5" t="s">
        <v>12</v>
      </c>
      <c r="G507" s="4">
        <v>7.073296109000003E7</v>
      </c>
      <c r="H507" s="4"/>
      <c r="I507" s="6" t="s">
        <v>45</v>
      </c>
    </row>
    <row r="508">
      <c r="A508" s="8">
        <v>46320.0</v>
      </c>
      <c r="B508" s="3" t="s">
        <v>1</v>
      </c>
      <c r="C508" s="3" t="s">
        <v>542</v>
      </c>
      <c r="D508" s="5">
        <v>3000000.0</v>
      </c>
      <c r="E508" s="4"/>
      <c r="F508" s="5" t="s">
        <v>3</v>
      </c>
      <c r="G508" s="4">
        <v>6.773296109000003E7</v>
      </c>
      <c r="H508" s="4"/>
      <c r="I508" s="6" t="s">
        <v>45</v>
      </c>
    </row>
    <row r="509">
      <c r="A509" s="8">
        <v>46320.0</v>
      </c>
      <c r="B509" s="3" t="s">
        <v>10</v>
      </c>
      <c r="C509" s="3" t="s">
        <v>543</v>
      </c>
      <c r="D509" s="5"/>
      <c r="E509" s="5">
        <v>1.8168994E8</v>
      </c>
      <c r="F509" s="5" t="s">
        <v>12</v>
      </c>
      <c r="G509" s="4">
        <v>2.4942290109000003E8</v>
      </c>
      <c r="H509" s="4"/>
      <c r="I509" s="6" t="s">
        <v>45</v>
      </c>
    </row>
    <row r="510">
      <c r="A510" s="8">
        <v>46320.0</v>
      </c>
      <c r="B510" s="3" t="s">
        <v>10</v>
      </c>
      <c r="C510" s="3" t="s">
        <v>544</v>
      </c>
      <c r="D510" s="5"/>
      <c r="E510" s="5">
        <v>5.680686E7</v>
      </c>
      <c r="F510" s="5" t="s">
        <v>12</v>
      </c>
      <c r="G510" s="4">
        <v>3.0622976109000003E8</v>
      </c>
      <c r="H510" s="4"/>
      <c r="I510" s="6" t="s">
        <v>45</v>
      </c>
    </row>
    <row r="511">
      <c r="A511" s="8">
        <v>46320.0</v>
      </c>
      <c r="B511" s="3" t="s">
        <v>10</v>
      </c>
      <c r="C511" s="3" t="s">
        <v>545</v>
      </c>
      <c r="D511" s="5"/>
      <c r="E511" s="5">
        <v>3.3344E7</v>
      </c>
      <c r="F511" s="5" t="s">
        <v>12</v>
      </c>
      <c r="G511" s="4">
        <v>3.3957376109000003E8</v>
      </c>
      <c r="H511" s="4"/>
      <c r="I511" s="6" t="s">
        <v>45</v>
      </c>
    </row>
    <row r="512">
      <c r="A512" s="8">
        <v>46320.0</v>
      </c>
      <c r="B512" s="3" t="s">
        <v>1</v>
      </c>
      <c r="C512" s="3" t="s">
        <v>546</v>
      </c>
      <c r="D512" s="5">
        <v>1.54302E8</v>
      </c>
      <c r="E512" s="4"/>
      <c r="F512" s="5" t="s">
        <v>3</v>
      </c>
      <c r="G512" s="4">
        <v>1.8527176109000003E8</v>
      </c>
      <c r="H512" s="4"/>
      <c r="I512" s="6" t="s">
        <v>45</v>
      </c>
    </row>
    <row r="513">
      <c r="A513" s="8">
        <v>46320.0</v>
      </c>
      <c r="B513" s="3" t="s">
        <v>1</v>
      </c>
      <c r="C513" s="3" t="s">
        <v>547</v>
      </c>
      <c r="D513" s="5">
        <v>9951640.0</v>
      </c>
      <c r="E513" s="4"/>
      <c r="F513" s="5" t="s">
        <v>3</v>
      </c>
      <c r="G513" s="4">
        <v>1.7532012109000003E8</v>
      </c>
      <c r="H513" s="4"/>
      <c r="I513" s="6" t="s">
        <v>45</v>
      </c>
    </row>
    <row r="514">
      <c r="A514" s="8">
        <v>46320.0</v>
      </c>
      <c r="B514" s="3" t="s">
        <v>1</v>
      </c>
      <c r="C514" s="3" t="s">
        <v>548</v>
      </c>
      <c r="D514" s="5">
        <v>2665000.0</v>
      </c>
      <c r="E514" s="4"/>
      <c r="F514" s="5" t="s">
        <v>3</v>
      </c>
      <c r="G514" s="4">
        <v>1.7265512109000003E8</v>
      </c>
      <c r="H514" s="4"/>
      <c r="I514" s="6" t="s">
        <v>45</v>
      </c>
    </row>
    <row r="515">
      <c r="A515" s="8">
        <v>46320.0</v>
      </c>
      <c r="B515" s="3" t="s">
        <v>1</v>
      </c>
      <c r="C515" s="3" t="s">
        <v>549</v>
      </c>
      <c r="D515" s="5">
        <v>1700000.0</v>
      </c>
      <c r="E515" s="4"/>
      <c r="F515" s="5" t="s">
        <v>3</v>
      </c>
      <c r="G515" s="4">
        <v>1.7095512109000003E8</v>
      </c>
      <c r="H515" s="4"/>
      <c r="I515" s="6" t="s">
        <v>45</v>
      </c>
    </row>
    <row r="516">
      <c r="A516" s="8">
        <v>46320.0</v>
      </c>
      <c r="B516" s="3" t="s">
        <v>1</v>
      </c>
      <c r="C516" s="3" t="s">
        <v>550</v>
      </c>
      <c r="D516" s="5">
        <v>5923480.0</v>
      </c>
      <c r="E516" s="4"/>
      <c r="F516" s="5" t="s">
        <v>3</v>
      </c>
      <c r="G516" s="4">
        <v>1.6503164109000003E8</v>
      </c>
      <c r="H516" s="4"/>
      <c r="I516" s="6" t="s">
        <v>45</v>
      </c>
    </row>
    <row r="517">
      <c r="A517" s="8">
        <v>46320.0</v>
      </c>
      <c r="B517" s="3" t="s">
        <v>1</v>
      </c>
      <c r="C517" s="3" t="s">
        <v>551</v>
      </c>
      <c r="D517" s="5">
        <v>2094160.0</v>
      </c>
      <c r="E517" s="4"/>
      <c r="F517" s="5" t="s">
        <v>3</v>
      </c>
      <c r="G517" s="4">
        <v>1.6293748109000003E8</v>
      </c>
      <c r="H517" s="5">
        <v>1.6293748109E8</v>
      </c>
      <c r="I517" s="6" t="s">
        <v>45</v>
      </c>
    </row>
    <row r="518">
      <c r="A518" s="8">
        <v>46321.0</v>
      </c>
      <c r="B518" s="3" t="s">
        <v>552</v>
      </c>
      <c r="C518" s="3" t="s">
        <v>553</v>
      </c>
      <c r="D518" s="5"/>
      <c r="E518" s="5">
        <v>1.75E7</v>
      </c>
      <c r="F518" s="5" t="s">
        <v>12</v>
      </c>
      <c r="G518" s="4">
        <v>1.8043748109000003E8</v>
      </c>
      <c r="H518" s="4"/>
      <c r="I518" s="6" t="s">
        <v>45</v>
      </c>
    </row>
    <row r="519">
      <c r="A519" s="8">
        <v>46321.0</v>
      </c>
      <c r="B519" s="3" t="s">
        <v>552</v>
      </c>
      <c r="C519" s="3" t="s">
        <v>554</v>
      </c>
      <c r="D519" s="5"/>
      <c r="E519" s="5">
        <v>2.2495914E8</v>
      </c>
      <c r="F519" s="5" t="s">
        <v>12</v>
      </c>
      <c r="G519" s="4">
        <v>4.0539662109000003E8</v>
      </c>
      <c r="H519" s="4"/>
      <c r="I519" s="6" t="s">
        <v>45</v>
      </c>
    </row>
    <row r="520">
      <c r="A520" s="8">
        <v>46321.0</v>
      </c>
      <c r="B520" s="3" t="s">
        <v>10</v>
      </c>
      <c r="C520" s="3" t="s">
        <v>555</v>
      </c>
      <c r="D520" s="5"/>
      <c r="E520" s="5">
        <v>1.2170483E8</v>
      </c>
      <c r="F520" s="5" t="s">
        <v>12</v>
      </c>
      <c r="G520" s="4">
        <v>5.2710145109000003E8</v>
      </c>
      <c r="H520" s="5">
        <v>5.2710145109E8</v>
      </c>
      <c r="I520" s="6" t="s">
        <v>45</v>
      </c>
    </row>
    <row r="521">
      <c r="A521" s="8">
        <v>46321.0</v>
      </c>
      <c r="B521" s="3" t="s">
        <v>1</v>
      </c>
      <c r="C521" s="3" t="s">
        <v>556</v>
      </c>
      <c r="D521" s="5">
        <v>4.2555538E8</v>
      </c>
      <c r="E521" s="4"/>
      <c r="F521" s="5" t="s">
        <v>3</v>
      </c>
      <c r="G521" s="4">
        <v>1.0154607109000003E8</v>
      </c>
      <c r="H521" s="5">
        <v>1.0154607109E8</v>
      </c>
      <c r="I521" s="6" t="s">
        <v>45</v>
      </c>
    </row>
    <row r="522">
      <c r="A522" s="8">
        <v>46321.0</v>
      </c>
      <c r="B522" s="3" t="s">
        <v>1</v>
      </c>
      <c r="C522" s="3" t="s">
        <v>557</v>
      </c>
      <c r="D522" s="5">
        <v>5.117601E7</v>
      </c>
      <c r="E522" s="4"/>
      <c r="F522" s="5" t="s">
        <v>3</v>
      </c>
      <c r="G522" s="4">
        <v>5.037006109000003E7</v>
      </c>
      <c r="H522" s="4"/>
      <c r="I522" s="6" t="s">
        <v>45</v>
      </c>
    </row>
    <row r="523">
      <c r="A523" s="8">
        <v>46321.0</v>
      </c>
      <c r="B523" s="3" t="s">
        <v>1</v>
      </c>
      <c r="C523" s="3" t="s">
        <v>558</v>
      </c>
      <c r="D523" s="5">
        <v>4.797625E7</v>
      </c>
      <c r="E523" s="4"/>
      <c r="F523" s="5" t="s">
        <v>3</v>
      </c>
      <c r="G523" s="4">
        <v>2393811.0900000334</v>
      </c>
      <c r="H523" s="4"/>
      <c r="I523" s="6" t="s">
        <v>45</v>
      </c>
    </row>
    <row r="524">
      <c r="A524" s="8">
        <v>46321.0</v>
      </c>
      <c r="B524" s="3" t="s">
        <v>10</v>
      </c>
      <c r="C524" s="3" t="s">
        <v>559</v>
      </c>
      <c r="D524" s="5"/>
      <c r="E524" s="5">
        <v>7000000.0</v>
      </c>
      <c r="F524" s="5" t="s">
        <v>12</v>
      </c>
      <c r="G524" s="4">
        <v>9393811.090000033</v>
      </c>
      <c r="H524" s="4"/>
      <c r="I524" s="6" t="s">
        <v>45</v>
      </c>
    </row>
    <row r="525">
      <c r="A525" s="8">
        <v>46321.0</v>
      </c>
      <c r="B525" s="3" t="s">
        <v>10</v>
      </c>
      <c r="C525" s="3" t="s">
        <v>560</v>
      </c>
      <c r="D525" s="5"/>
      <c r="E525" s="5">
        <v>5.92482E7</v>
      </c>
      <c r="F525" s="5" t="s">
        <v>12</v>
      </c>
      <c r="G525" s="4">
        <v>6.864201109000003E7</v>
      </c>
      <c r="H525" s="4"/>
      <c r="I525" s="6" t="s">
        <v>45</v>
      </c>
    </row>
    <row r="526">
      <c r="A526" s="8">
        <v>46321.0</v>
      </c>
      <c r="B526" s="3" t="s">
        <v>220</v>
      </c>
      <c r="C526" s="3" t="s">
        <v>561</v>
      </c>
      <c r="D526" s="5">
        <v>70000.0</v>
      </c>
      <c r="E526" s="4"/>
      <c r="F526" s="4"/>
      <c r="G526" s="4">
        <v>6.857201109000003E7</v>
      </c>
      <c r="H526" s="4"/>
      <c r="I526" s="6" t="s">
        <v>45</v>
      </c>
    </row>
    <row r="527">
      <c r="A527" s="8">
        <v>46321.0</v>
      </c>
      <c r="B527" s="3" t="s">
        <v>10</v>
      </c>
      <c r="C527" s="3" t="s">
        <v>562</v>
      </c>
      <c r="D527" s="5"/>
      <c r="E527" s="5">
        <v>1.8182706E8</v>
      </c>
      <c r="F527" s="5" t="s">
        <v>12</v>
      </c>
      <c r="G527" s="4">
        <v>2.5039907109000003E8</v>
      </c>
      <c r="H527" s="4"/>
      <c r="I527" s="6" t="s">
        <v>45</v>
      </c>
    </row>
    <row r="528">
      <c r="A528" s="8">
        <v>46321.0</v>
      </c>
      <c r="B528" s="3" t="s">
        <v>10</v>
      </c>
      <c r="C528" s="3" t="s">
        <v>563</v>
      </c>
      <c r="D528" s="5"/>
      <c r="E528" s="5">
        <v>4.81899E7</v>
      </c>
      <c r="F528" s="5" t="s">
        <v>12</v>
      </c>
      <c r="G528" s="4">
        <v>2.9858897109000003E8</v>
      </c>
      <c r="H528" s="4"/>
      <c r="I528" s="6" t="s">
        <v>45</v>
      </c>
    </row>
    <row r="529">
      <c r="A529" s="8">
        <v>46321.0</v>
      </c>
      <c r="B529" s="3" t="s">
        <v>10</v>
      </c>
      <c r="C529" s="3" t="s">
        <v>564</v>
      </c>
      <c r="D529" s="5"/>
      <c r="E529" s="5">
        <v>5.754925E7</v>
      </c>
      <c r="F529" s="5" t="s">
        <v>12</v>
      </c>
      <c r="G529" s="4">
        <v>3.5613822109000003E8</v>
      </c>
      <c r="H529" s="4"/>
      <c r="I529" s="6" t="s">
        <v>45</v>
      </c>
    </row>
    <row r="530">
      <c r="A530" s="8">
        <v>46321.0</v>
      </c>
      <c r="B530" s="3" t="s">
        <v>1</v>
      </c>
      <c r="C530" s="3" t="s">
        <v>565</v>
      </c>
      <c r="D530" s="5">
        <v>1.137115E8</v>
      </c>
      <c r="E530" s="4"/>
      <c r="F530" s="5" t="s">
        <v>3</v>
      </c>
      <c r="G530" s="4">
        <v>2.4242672109000003E8</v>
      </c>
      <c r="H530" s="4"/>
      <c r="I530" s="6" t="s">
        <v>45</v>
      </c>
    </row>
    <row r="531">
      <c r="A531" s="8">
        <v>46321.0</v>
      </c>
      <c r="B531" s="3" t="s">
        <v>1</v>
      </c>
      <c r="C531" s="3" t="s">
        <v>566</v>
      </c>
      <c r="D531" s="5">
        <v>1.095997E8</v>
      </c>
      <c r="E531" s="4"/>
      <c r="F531" s="5" t="s">
        <v>3</v>
      </c>
      <c r="G531" s="4">
        <v>1.3282702109000003E8</v>
      </c>
      <c r="H531" s="4"/>
      <c r="I531" s="6" t="s">
        <v>45</v>
      </c>
    </row>
    <row r="532">
      <c r="A532" s="8">
        <v>46321.0</v>
      </c>
      <c r="B532" s="3" t="s">
        <v>1</v>
      </c>
      <c r="C532" s="3" t="s">
        <v>567</v>
      </c>
      <c r="D532" s="5">
        <v>6.726E7</v>
      </c>
      <c r="E532" s="4"/>
      <c r="F532" s="5" t="s">
        <v>3</v>
      </c>
      <c r="G532" s="4">
        <v>6.556702109000003E7</v>
      </c>
      <c r="H532" s="4"/>
      <c r="I532" s="6" t="s">
        <v>45</v>
      </c>
    </row>
    <row r="533">
      <c r="A533" s="8">
        <v>46321.0</v>
      </c>
      <c r="B533" s="3" t="s">
        <v>10</v>
      </c>
      <c r="C533" s="3" t="s">
        <v>568</v>
      </c>
      <c r="D533" s="5"/>
      <c r="E533" s="5">
        <v>6.730734E7</v>
      </c>
      <c r="F533" s="5" t="s">
        <v>12</v>
      </c>
      <c r="G533" s="4">
        <v>1.3287436109000003E8</v>
      </c>
      <c r="H533" s="5">
        <v>1.3287436109E8</v>
      </c>
      <c r="I533" s="6" t="s">
        <v>45</v>
      </c>
    </row>
    <row r="534">
      <c r="A534" s="8">
        <v>46321.0</v>
      </c>
      <c r="B534" s="3" t="s">
        <v>1</v>
      </c>
      <c r="C534" s="3" t="s">
        <v>569</v>
      </c>
      <c r="D534" s="5">
        <v>9434790.0</v>
      </c>
      <c r="E534" s="4"/>
      <c r="F534" s="5" t="s">
        <v>3</v>
      </c>
      <c r="G534" s="4">
        <v>1.2343957109000003E8</v>
      </c>
      <c r="H534" s="5">
        <v>1.2343957109E8</v>
      </c>
      <c r="I534" s="6" t="s">
        <v>45</v>
      </c>
    </row>
    <row r="535">
      <c r="A535" s="8">
        <v>46321.0</v>
      </c>
      <c r="B535" s="3" t="s">
        <v>1</v>
      </c>
      <c r="C535" s="3" t="s">
        <v>570</v>
      </c>
      <c r="D535" s="5">
        <v>5.919525E7</v>
      </c>
      <c r="E535" s="4"/>
      <c r="F535" s="5" t="s">
        <v>3</v>
      </c>
      <c r="G535" s="4">
        <v>6.424432109000003E7</v>
      </c>
      <c r="H535" s="4"/>
      <c r="I535" s="6" t="s">
        <v>45</v>
      </c>
    </row>
    <row r="536">
      <c r="A536" s="8">
        <v>46321.0</v>
      </c>
      <c r="B536" s="3" t="s">
        <v>1</v>
      </c>
      <c r="C536" s="3" t="s">
        <v>571</v>
      </c>
      <c r="D536" s="5">
        <v>2642460.0</v>
      </c>
      <c r="E536" s="4"/>
      <c r="F536" s="5" t="s">
        <v>3</v>
      </c>
      <c r="G536" s="4">
        <v>6.160186109000003E7</v>
      </c>
      <c r="H536" s="5">
        <v>6.160186109E7</v>
      </c>
      <c r="I536" s="6" t="s">
        <v>45</v>
      </c>
    </row>
    <row r="537">
      <c r="A537" s="8">
        <v>46322.0</v>
      </c>
      <c r="B537" s="3" t="s">
        <v>572</v>
      </c>
      <c r="C537" s="3" t="s">
        <v>573</v>
      </c>
      <c r="D537" s="5">
        <v>1.75E7</v>
      </c>
      <c r="E537" s="4"/>
      <c r="F537" s="5" t="s">
        <v>3</v>
      </c>
      <c r="G537" s="4">
        <v>4.410186109000003E7</v>
      </c>
      <c r="H537" s="4"/>
      <c r="I537" s="6" t="s">
        <v>45</v>
      </c>
    </row>
    <row r="538">
      <c r="A538" s="8">
        <v>46322.0</v>
      </c>
      <c r="B538" s="3" t="s">
        <v>572</v>
      </c>
      <c r="C538" s="3" t="s">
        <v>574</v>
      </c>
      <c r="D538" s="5">
        <v>1.08669E7</v>
      </c>
      <c r="E538" s="4"/>
      <c r="F538" s="5" t="s">
        <v>3</v>
      </c>
      <c r="G538" s="4">
        <v>3.3234961090000033E7</v>
      </c>
      <c r="H538" s="4"/>
      <c r="I538" s="6" t="s">
        <v>45</v>
      </c>
    </row>
    <row r="539">
      <c r="A539" s="8">
        <v>46322.0</v>
      </c>
      <c r="B539" s="3" t="s">
        <v>572</v>
      </c>
      <c r="C539" s="3" t="s">
        <v>575</v>
      </c>
      <c r="D539" s="5">
        <v>1.6E7</v>
      </c>
      <c r="E539" s="4"/>
      <c r="F539" s="5" t="s">
        <v>3</v>
      </c>
      <c r="G539" s="4">
        <v>1.7234961090000033E7</v>
      </c>
      <c r="H539" s="4"/>
      <c r="I539" s="6" t="s">
        <v>45</v>
      </c>
    </row>
    <row r="540">
      <c r="A540" s="8">
        <v>46322.0</v>
      </c>
      <c r="B540" s="3" t="s">
        <v>576</v>
      </c>
      <c r="C540" s="3" t="s">
        <v>577</v>
      </c>
      <c r="D540" s="5"/>
      <c r="E540" s="5">
        <v>2.504804E7</v>
      </c>
      <c r="F540" s="5" t="s">
        <v>12</v>
      </c>
      <c r="G540" s="4">
        <v>4.228300109000003E7</v>
      </c>
      <c r="H540" s="4"/>
      <c r="I540" s="6" t="s">
        <v>45</v>
      </c>
    </row>
    <row r="541">
      <c r="A541" s="8">
        <v>46322.0</v>
      </c>
      <c r="B541" s="3" t="s">
        <v>572</v>
      </c>
      <c r="C541" s="3" t="s">
        <v>578</v>
      </c>
      <c r="D541" s="5">
        <v>9305000.0</v>
      </c>
      <c r="E541" s="4"/>
      <c r="F541" s="5" t="s">
        <v>3</v>
      </c>
      <c r="G541" s="4">
        <v>3.2978001090000033E7</v>
      </c>
      <c r="H541" s="4"/>
      <c r="I541" s="6" t="s">
        <v>45</v>
      </c>
    </row>
    <row r="542">
      <c r="A542" s="8">
        <v>46322.0</v>
      </c>
      <c r="B542" s="3" t="s">
        <v>10</v>
      </c>
      <c r="C542" s="3" t="s">
        <v>579</v>
      </c>
      <c r="D542" s="5"/>
      <c r="E542" s="5">
        <v>2.088E7</v>
      </c>
      <c r="F542" s="5" t="s">
        <v>12</v>
      </c>
      <c r="G542" s="4">
        <v>5.385800109000003E7</v>
      </c>
      <c r="H542" s="4"/>
      <c r="I542" s="6" t="s">
        <v>45</v>
      </c>
    </row>
    <row r="543">
      <c r="A543" s="8">
        <v>46322.0</v>
      </c>
      <c r="B543" s="3" t="s">
        <v>10</v>
      </c>
      <c r="C543" s="3" t="s">
        <v>580</v>
      </c>
      <c r="D543" s="5"/>
      <c r="E543" s="5">
        <v>1.0E8</v>
      </c>
      <c r="F543" s="5" t="s">
        <v>12</v>
      </c>
      <c r="G543" s="4">
        <v>1.5385800109000003E8</v>
      </c>
      <c r="H543" s="4"/>
      <c r="I543" s="6" t="s">
        <v>45</v>
      </c>
    </row>
    <row r="544">
      <c r="A544" s="8">
        <v>46322.0</v>
      </c>
      <c r="B544" s="3" t="s">
        <v>1</v>
      </c>
      <c r="C544" s="3" t="s">
        <v>581</v>
      </c>
      <c r="D544" s="5">
        <v>5.473725E7</v>
      </c>
      <c r="E544" s="4"/>
      <c r="F544" s="5" t="s">
        <v>3</v>
      </c>
      <c r="G544" s="4">
        <v>9.912075109000003E7</v>
      </c>
      <c r="H544" s="4"/>
      <c r="I544" s="6" t="s">
        <v>45</v>
      </c>
    </row>
    <row r="545">
      <c r="A545" s="8">
        <v>46322.0</v>
      </c>
      <c r="B545" s="3" t="s">
        <v>1</v>
      </c>
      <c r="C545" s="3" t="s">
        <v>582</v>
      </c>
      <c r="D545" s="5">
        <v>5.25393E7</v>
      </c>
      <c r="E545" s="4"/>
      <c r="F545" s="5" t="s">
        <v>3</v>
      </c>
      <c r="G545" s="4">
        <v>4.658145109000003E7</v>
      </c>
      <c r="H545" s="4"/>
      <c r="I545" s="6" t="s">
        <v>45</v>
      </c>
    </row>
    <row r="546">
      <c r="A546" s="8">
        <v>46322.0</v>
      </c>
      <c r="B546" s="3" t="s">
        <v>1</v>
      </c>
      <c r="C546" s="3" t="s">
        <v>583</v>
      </c>
      <c r="D546" s="5">
        <v>3.63103E7</v>
      </c>
      <c r="E546" s="4"/>
      <c r="F546" s="5" t="s">
        <v>3</v>
      </c>
      <c r="G546" s="4">
        <v>1.0271151090000033E7</v>
      </c>
      <c r="H546" s="5">
        <v>1.027115109E7</v>
      </c>
      <c r="I546" s="6" t="s">
        <v>45</v>
      </c>
    </row>
    <row r="547">
      <c r="A547" s="8">
        <v>46322.0</v>
      </c>
      <c r="B547" s="3" t="s">
        <v>1</v>
      </c>
      <c r="C547" s="3" t="s">
        <v>584</v>
      </c>
      <c r="D547" s="5">
        <v>5516020.0</v>
      </c>
      <c r="E547" s="4"/>
      <c r="F547" s="5" t="s">
        <v>3</v>
      </c>
      <c r="G547" s="4">
        <v>4755131.090000033</v>
      </c>
      <c r="H547" s="5">
        <v>4755131.09</v>
      </c>
      <c r="I547" s="6" t="s">
        <v>45</v>
      </c>
    </row>
    <row r="548">
      <c r="A548" s="8">
        <v>46322.0</v>
      </c>
      <c r="B548" s="3" t="s">
        <v>1</v>
      </c>
      <c r="C548" s="3" t="s">
        <v>585</v>
      </c>
      <c r="D548" s="5">
        <v>1719110.0</v>
      </c>
      <c r="E548" s="4"/>
      <c r="F548" s="5" t="s">
        <v>3</v>
      </c>
      <c r="G548" s="4">
        <v>3036021.0900000334</v>
      </c>
      <c r="H548" s="4"/>
      <c r="I548" s="6" t="s">
        <v>45</v>
      </c>
    </row>
    <row r="549">
      <c r="A549" s="8">
        <v>46322.0</v>
      </c>
      <c r="B549" s="3" t="s">
        <v>10</v>
      </c>
      <c r="C549" s="3" t="s">
        <v>586</v>
      </c>
      <c r="D549" s="5"/>
      <c r="E549" s="5">
        <v>5.88089E7</v>
      </c>
      <c r="F549" s="5" t="s">
        <v>12</v>
      </c>
      <c r="G549" s="4">
        <v>6.184492109000003E7</v>
      </c>
      <c r="H549" s="4"/>
      <c r="I549" s="6" t="s">
        <v>45</v>
      </c>
    </row>
    <row r="550">
      <c r="A550" s="8">
        <v>46322.0</v>
      </c>
      <c r="B550" s="3" t="s">
        <v>1</v>
      </c>
      <c r="C550" s="3" t="s">
        <v>587</v>
      </c>
      <c r="D550" s="5">
        <v>7400000.0</v>
      </c>
      <c r="E550" s="4"/>
      <c r="F550" s="5" t="s">
        <v>3</v>
      </c>
      <c r="G550" s="4">
        <v>5.444492109000003E7</v>
      </c>
      <c r="H550" s="4"/>
      <c r="I550" s="6" t="s">
        <v>45</v>
      </c>
    </row>
    <row r="551">
      <c r="A551" s="8">
        <v>46322.0</v>
      </c>
      <c r="B551" s="3" t="s">
        <v>10</v>
      </c>
      <c r="C551" s="3" t="s">
        <v>588</v>
      </c>
      <c r="D551" s="5"/>
      <c r="E551" s="5">
        <v>1.7889658E8</v>
      </c>
      <c r="F551" s="5" t="s">
        <v>12</v>
      </c>
      <c r="G551" s="4">
        <v>2.3334150109000003E8</v>
      </c>
      <c r="H551" s="4"/>
      <c r="I551" s="6" t="s">
        <v>45</v>
      </c>
    </row>
    <row r="552">
      <c r="A552" s="8">
        <v>46322.0</v>
      </c>
      <c r="B552" s="3" t="s">
        <v>48</v>
      </c>
      <c r="C552" s="3" t="s">
        <v>589</v>
      </c>
      <c r="D552" s="5">
        <v>102000.0</v>
      </c>
      <c r="E552" s="4"/>
      <c r="F552" s="4"/>
      <c r="G552" s="4">
        <v>2.3323950109000003E8</v>
      </c>
      <c r="H552" s="4"/>
      <c r="I552" s="6" t="s">
        <v>45</v>
      </c>
    </row>
    <row r="553">
      <c r="A553" s="8">
        <v>46322.0</v>
      </c>
      <c r="B553" s="3" t="s">
        <v>10</v>
      </c>
      <c r="C553" s="3" t="s">
        <v>590</v>
      </c>
      <c r="D553" s="5"/>
      <c r="E553" s="5">
        <v>6.943884E7</v>
      </c>
      <c r="F553" s="5" t="s">
        <v>12</v>
      </c>
      <c r="G553" s="4">
        <v>3.0267834109000003E8</v>
      </c>
      <c r="H553" s="4"/>
      <c r="I553" s="6" t="s">
        <v>45</v>
      </c>
    </row>
    <row r="554">
      <c r="A554" s="8">
        <v>46322.0</v>
      </c>
      <c r="B554" s="3" t="s">
        <v>1</v>
      </c>
      <c r="C554" s="3" t="s">
        <v>591</v>
      </c>
      <c r="D554" s="5">
        <v>3.64045E7</v>
      </c>
      <c r="E554" s="4"/>
      <c r="F554" s="5" t="s">
        <v>3</v>
      </c>
      <c r="G554" s="4">
        <v>2.6627384109000003E8</v>
      </c>
      <c r="H554" s="4"/>
      <c r="I554" s="6" t="s">
        <v>45</v>
      </c>
    </row>
    <row r="555">
      <c r="A555" s="8">
        <v>46322.0</v>
      </c>
      <c r="B555" s="3" t="s">
        <v>1</v>
      </c>
      <c r="C555" s="3" t="s">
        <v>592</v>
      </c>
      <c r="D555" s="5">
        <v>1.5E7</v>
      </c>
      <c r="E555" s="4"/>
      <c r="F555" s="5" t="s">
        <v>3</v>
      </c>
      <c r="G555" s="4">
        <v>2.5127384109000003E8</v>
      </c>
      <c r="H555" s="4"/>
      <c r="I555" s="6" t="s">
        <v>45</v>
      </c>
    </row>
    <row r="556">
      <c r="A556" s="8">
        <v>46322.0</v>
      </c>
      <c r="B556" s="3" t="s">
        <v>1</v>
      </c>
      <c r="C556" s="3" t="s">
        <v>593</v>
      </c>
      <c r="D556" s="5">
        <v>7.5E7</v>
      </c>
      <c r="E556" s="4"/>
      <c r="F556" s="5" t="s">
        <v>3</v>
      </c>
      <c r="G556" s="4">
        <v>1.7627384109000003E8</v>
      </c>
      <c r="H556" s="4"/>
      <c r="I556" s="6" t="s">
        <v>45</v>
      </c>
    </row>
    <row r="557">
      <c r="A557" s="8">
        <v>46322.0</v>
      </c>
      <c r="B557" s="3" t="s">
        <v>1</v>
      </c>
      <c r="C557" s="3" t="s">
        <v>594</v>
      </c>
      <c r="D557" s="5">
        <v>2.083697E7</v>
      </c>
      <c r="E557" s="4"/>
      <c r="F557" s="5" t="s">
        <v>3</v>
      </c>
      <c r="G557" s="4">
        <v>1.5543687109000003E8</v>
      </c>
      <c r="H557" s="4"/>
      <c r="I557" s="6" t="s">
        <v>45</v>
      </c>
    </row>
    <row r="558">
      <c r="A558" s="8">
        <v>46322.0</v>
      </c>
      <c r="B558" s="3" t="s">
        <v>1</v>
      </c>
      <c r="C558" s="3" t="s">
        <v>595</v>
      </c>
      <c r="D558" s="5">
        <v>3000000.0</v>
      </c>
      <c r="E558" s="4"/>
      <c r="F558" s="5" t="s">
        <v>3</v>
      </c>
      <c r="G558" s="4">
        <v>1.5243687109000003E8</v>
      </c>
      <c r="H558" s="4"/>
      <c r="I558" s="6" t="s">
        <v>45</v>
      </c>
    </row>
    <row r="559">
      <c r="A559" s="8">
        <v>46322.0</v>
      </c>
      <c r="B559" s="3" t="s">
        <v>1</v>
      </c>
      <c r="C559" s="3" t="s">
        <v>596</v>
      </c>
      <c r="D559" s="5">
        <v>2879160.0</v>
      </c>
      <c r="E559" s="4"/>
      <c r="F559" s="5" t="s">
        <v>3</v>
      </c>
      <c r="G559" s="4">
        <v>1.4955771109000003E8</v>
      </c>
      <c r="H559" s="4"/>
      <c r="I559" s="6" t="s">
        <v>45</v>
      </c>
    </row>
    <row r="560">
      <c r="A560" s="8">
        <v>46322.0</v>
      </c>
      <c r="B560" s="3" t="s">
        <v>1</v>
      </c>
      <c r="C560" s="3" t="s">
        <v>597</v>
      </c>
      <c r="D560" s="5">
        <v>1.0980903E8</v>
      </c>
      <c r="E560" s="4"/>
      <c r="F560" s="5" t="s">
        <v>3</v>
      </c>
      <c r="G560" s="4">
        <v>3.974868109000003E7</v>
      </c>
      <c r="H560" s="5">
        <v>3.974868109E7</v>
      </c>
      <c r="I560" s="6" t="s">
        <v>45</v>
      </c>
    </row>
    <row r="561">
      <c r="A561" s="8">
        <v>46322.0</v>
      </c>
      <c r="B561" s="3" t="s">
        <v>10</v>
      </c>
      <c r="C561" s="3" t="s">
        <v>598</v>
      </c>
      <c r="D561" s="5"/>
      <c r="E561" s="5">
        <v>3.382319E8</v>
      </c>
      <c r="F561" s="5" t="s">
        <v>12</v>
      </c>
      <c r="G561" s="4">
        <v>3.7798058109000003E8</v>
      </c>
      <c r="H561" s="5">
        <v>3.7798058109E8</v>
      </c>
      <c r="I561" s="6" t="s">
        <v>45</v>
      </c>
    </row>
    <row r="562">
      <c r="A562" s="8">
        <v>46323.0</v>
      </c>
      <c r="B562" s="3" t="s">
        <v>599</v>
      </c>
      <c r="C562" s="3" t="s">
        <v>599</v>
      </c>
      <c r="D562" s="5">
        <v>400000.0</v>
      </c>
      <c r="E562" s="4"/>
      <c r="F562" s="4"/>
      <c r="G562" s="4">
        <v>3.7758058109000003E8</v>
      </c>
      <c r="H562" s="4"/>
      <c r="I562" s="6" t="s">
        <v>45</v>
      </c>
    </row>
    <row r="563">
      <c r="A563" s="8">
        <v>46323.0</v>
      </c>
      <c r="B563" s="3" t="s">
        <v>10</v>
      </c>
      <c r="C563" s="3" t="s">
        <v>600</v>
      </c>
      <c r="D563" s="5"/>
      <c r="E563" s="5">
        <v>1.75E8</v>
      </c>
      <c r="F563" s="5" t="s">
        <v>12</v>
      </c>
      <c r="G563" s="4">
        <v>5.5258058109E8</v>
      </c>
      <c r="H563" s="4"/>
      <c r="I563" s="6" t="s">
        <v>45</v>
      </c>
    </row>
    <row r="564">
      <c r="A564" s="8">
        <v>46323.0</v>
      </c>
      <c r="B564" s="3" t="s">
        <v>48</v>
      </c>
      <c r="C564" s="3" t="s">
        <v>601</v>
      </c>
      <c r="D564" s="5">
        <v>768500.0</v>
      </c>
      <c r="E564" s="4"/>
      <c r="F564" s="4"/>
      <c r="G564" s="4">
        <v>5.5181208109E8</v>
      </c>
      <c r="H564" s="4"/>
      <c r="I564" s="6" t="s">
        <v>45</v>
      </c>
    </row>
    <row r="565">
      <c r="A565" s="8">
        <v>46323.0</v>
      </c>
      <c r="B565" s="3" t="s">
        <v>1</v>
      </c>
      <c r="C565" s="3" t="s">
        <v>602</v>
      </c>
      <c r="D565" s="5">
        <v>2500000.0</v>
      </c>
      <c r="E565" s="4"/>
      <c r="F565" s="5" t="s">
        <v>3</v>
      </c>
      <c r="G565" s="4">
        <v>5.4931208109E8</v>
      </c>
      <c r="H565" s="4"/>
      <c r="I565" s="6" t="s">
        <v>45</v>
      </c>
    </row>
    <row r="566">
      <c r="A566" s="8">
        <v>46323.0</v>
      </c>
      <c r="B566" s="3" t="s">
        <v>10</v>
      </c>
      <c r="C566" s="3" t="s">
        <v>603</v>
      </c>
      <c r="D566" s="5"/>
      <c r="E566" s="5">
        <v>1.219665E8</v>
      </c>
      <c r="F566" s="5" t="s">
        <v>12</v>
      </c>
      <c r="G566" s="4">
        <v>6.7127858109E8</v>
      </c>
      <c r="H566" s="4"/>
      <c r="I566" s="6" t="s">
        <v>45</v>
      </c>
    </row>
    <row r="567">
      <c r="A567" s="8">
        <v>46323.0</v>
      </c>
      <c r="B567" s="3" t="s">
        <v>1</v>
      </c>
      <c r="C567" s="3" t="s">
        <v>604</v>
      </c>
      <c r="D567" s="5">
        <v>1.0075902E8</v>
      </c>
      <c r="E567" s="4"/>
      <c r="F567" s="5" t="s">
        <v>3</v>
      </c>
      <c r="G567" s="4">
        <v>5.7051956109E8</v>
      </c>
      <c r="H567" s="4"/>
      <c r="I567" s="6" t="s">
        <v>45</v>
      </c>
    </row>
    <row r="568">
      <c r="A568" s="8">
        <v>46323.0</v>
      </c>
      <c r="B568" s="3" t="s">
        <v>1</v>
      </c>
      <c r="C568" s="3" t="s">
        <v>605</v>
      </c>
      <c r="D568" s="5">
        <v>1.898838E8</v>
      </c>
      <c r="E568" s="4"/>
      <c r="F568" s="5" t="s">
        <v>3</v>
      </c>
      <c r="G568" s="4">
        <v>3.8063576109000003E8</v>
      </c>
      <c r="H568" s="4"/>
      <c r="I568" s="6" t="s">
        <v>45</v>
      </c>
    </row>
    <row r="569">
      <c r="A569" s="8">
        <v>46323.0</v>
      </c>
      <c r="B569" s="3" t="s">
        <v>1</v>
      </c>
      <c r="C569" s="3" t="s">
        <v>606</v>
      </c>
      <c r="D569" s="5">
        <v>5.149375E7</v>
      </c>
      <c r="E569" s="4"/>
      <c r="F569" s="5" t="s">
        <v>3</v>
      </c>
      <c r="G569" s="4">
        <v>3.2914201109000003E8</v>
      </c>
      <c r="H569" s="4"/>
      <c r="I569" s="6" t="s">
        <v>45</v>
      </c>
    </row>
    <row r="570">
      <c r="A570" s="8">
        <v>46323.0</v>
      </c>
      <c r="B570" s="3" t="s">
        <v>1</v>
      </c>
      <c r="C570" s="3" t="s">
        <v>607</v>
      </c>
      <c r="D570" s="5">
        <v>5.595858E7</v>
      </c>
      <c r="E570" s="4"/>
      <c r="F570" s="5" t="s">
        <v>3</v>
      </c>
      <c r="G570" s="4">
        <v>2.7318343109000003E8</v>
      </c>
      <c r="H570" s="4"/>
      <c r="I570" s="6" t="s">
        <v>45</v>
      </c>
    </row>
    <row r="571">
      <c r="A571" s="8">
        <v>46323.0</v>
      </c>
      <c r="B571" s="3" t="s">
        <v>1</v>
      </c>
      <c r="C571" s="3" t="s">
        <v>608</v>
      </c>
      <c r="D571" s="5">
        <v>1.0187054E8</v>
      </c>
      <c r="E571" s="4"/>
      <c r="F571" s="5" t="s">
        <v>3</v>
      </c>
      <c r="G571" s="4">
        <v>1.7131289109000003E8</v>
      </c>
      <c r="H571" s="4"/>
      <c r="I571" s="6" t="s">
        <v>45</v>
      </c>
    </row>
    <row r="572">
      <c r="A572" s="8">
        <v>46323.0</v>
      </c>
      <c r="B572" s="3" t="s">
        <v>1</v>
      </c>
      <c r="C572" s="3" t="s">
        <v>609</v>
      </c>
      <c r="D572" s="5">
        <v>6300000.0</v>
      </c>
      <c r="E572" s="4"/>
      <c r="F572" s="5" t="s">
        <v>3</v>
      </c>
      <c r="G572" s="4">
        <v>1.6501289109000003E8</v>
      </c>
      <c r="H572" s="4"/>
      <c r="I572" s="6" t="s">
        <v>45</v>
      </c>
    </row>
    <row r="573">
      <c r="A573" s="8">
        <v>46323.0</v>
      </c>
      <c r="B573" s="3" t="s">
        <v>1</v>
      </c>
      <c r="C573" s="3" t="s">
        <v>610</v>
      </c>
      <c r="D573" s="5">
        <v>3.301013E7</v>
      </c>
      <c r="E573" s="4"/>
      <c r="F573" s="5" t="s">
        <v>3</v>
      </c>
      <c r="G573" s="4">
        <v>1.3200276109000003E8</v>
      </c>
      <c r="H573" s="5">
        <v>1.3200276109E8</v>
      </c>
      <c r="I573" s="6" t="s">
        <v>45</v>
      </c>
    </row>
    <row r="574">
      <c r="A574" s="8">
        <v>46323.0</v>
      </c>
      <c r="B574" s="3" t="s">
        <v>1</v>
      </c>
      <c r="C574" s="3" t="s">
        <v>611</v>
      </c>
      <c r="D574" s="5">
        <v>5.22368E7</v>
      </c>
      <c r="E574" s="4"/>
      <c r="F574" s="5" t="s">
        <v>3</v>
      </c>
      <c r="G574" s="4">
        <v>7.976596109000003E7</v>
      </c>
      <c r="H574" s="5">
        <v>7.976596109E7</v>
      </c>
      <c r="I574" s="6" t="s">
        <v>45</v>
      </c>
    </row>
    <row r="575">
      <c r="A575" s="8">
        <v>46323.0</v>
      </c>
      <c r="B575" s="3" t="s">
        <v>1</v>
      </c>
      <c r="C575" s="3" t="s">
        <v>612</v>
      </c>
      <c r="D575" s="5">
        <v>5.604025E7</v>
      </c>
      <c r="E575" s="4"/>
      <c r="F575" s="5" t="s">
        <v>3</v>
      </c>
      <c r="G575" s="4">
        <v>2.3725711090000033E7</v>
      </c>
      <c r="H575" s="4"/>
      <c r="I575" s="6" t="s">
        <v>45</v>
      </c>
    </row>
    <row r="576">
      <c r="A576" s="8">
        <v>46323.0</v>
      </c>
      <c r="B576" s="3" t="s">
        <v>1</v>
      </c>
      <c r="C576" s="3" t="s">
        <v>613</v>
      </c>
      <c r="D576" s="5">
        <v>2000000.0</v>
      </c>
      <c r="E576" s="4"/>
      <c r="F576" s="5" t="s">
        <v>3</v>
      </c>
      <c r="G576" s="4">
        <v>2.1725711090000033E7</v>
      </c>
      <c r="H576" s="4"/>
      <c r="I576" s="6" t="s">
        <v>45</v>
      </c>
    </row>
    <row r="577">
      <c r="A577" s="8">
        <v>46323.0</v>
      </c>
      <c r="B577" s="3" t="s">
        <v>1</v>
      </c>
      <c r="C577" s="3" t="s">
        <v>614</v>
      </c>
      <c r="D577" s="5">
        <v>1255080.0</v>
      </c>
      <c r="E577" s="4"/>
      <c r="F577" s="5" t="s">
        <v>3</v>
      </c>
      <c r="G577" s="4">
        <v>2.0470631090000033E7</v>
      </c>
      <c r="H577" s="4"/>
      <c r="I577" s="6" t="s">
        <v>45</v>
      </c>
    </row>
    <row r="578">
      <c r="A578" s="8">
        <v>46323.0</v>
      </c>
      <c r="B578" s="3" t="s">
        <v>1</v>
      </c>
      <c r="C578" s="3" t="s">
        <v>615</v>
      </c>
      <c r="D578" s="5">
        <v>1212200.0</v>
      </c>
      <c r="E578" s="4"/>
      <c r="F578" s="5" t="s">
        <v>3</v>
      </c>
      <c r="G578" s="4">
        <v>1.9258431090000033E7</v>
      </c>
      <c r="H578" s="4"/>
      <c r="I578" s="6" t="s">
        <v>45</v>
      </c>
    </row>
    <row r="579">
      <c r="A579" s="8">
        <v>46323.0</v>
      </c>
      <c r="B579" s="3" t="s">
        <v>194</v>
      </c>
      <c r="C579" s="3" t="s">
        <v>616</v>
      </c>
      <c r="D579" s="5">
        <v>532500.0</v>
      </c>
      <c r="E579" s="4"/>
      <c r="F579" s="4"/>
      <c r="G579" s="4">
        <v>1.8725931090000033E7</v>
      </c>
      <c r="H579" s="4"/>
      <c r="I579" s="6" t="s">
        <v>45</v>
      </c>
    </row>
    <row r="580">
      <c r="A580" s="8">
        <v>46323.0</v>
      </c>
      <c r="B580" s="3" t="s">
        <v>10</v>
      </c>
      <c r="C580" s="3" t="s">
        <v>617</v>
      </c>
      <c r="D580" s="5"/>
      <c r="E580" s="5">
        <v>200000.0</v>
      </c>
      <c r="F580" s="5" t="s">
        <v>12</v>
      </c>
      <c r="G580" s="4">
        <v>1.8925931090000033E7</v>
      </c>
      <c r="H580" s="4"/>
      <c r="I580" s="6" t="s">
        <v>45</v>
      </c>
    </row>
    <row r="581">
      <c r="A581" s="8">
        <v>46323.0</v>
      </c>
      <c r="B581" s="3" t="s">
        <v>220</v>
      </c>
      <c r="C581" s="3" t="s">
        <v>618</v>
      </c>
      <c r="D581" s="5">
        <v>276000.0</v>
      </c>
      <c r="E581" s="4"/>
      <c r="F581" s="4"/>
      <c r="G581" s="4">
        <v>1.8649931090000033E7</v>
      </c>
      <c r="H581" s="4"/>
      <c r="I581" s="6" t="s">
        <v>45</v>
      </c>
    </row>
    <row r="582">
      <c r="A582" s="8">
        <v>46323.0</v>
      </c>
      <c r="B582" s="3" t="s">
        <v>1</v>
      </c>
      <c r="C582" s="3" t="s">
        <v>619</v>
      </c>
      <c r="D582" s="5">
        <v>1.765744E7</v>
      </c>
      <c r="E582" s="4"/>
      <c r="F582" s="5" t="s">
        <v>3</v>
      </c>
      <c r="G582" s="4">
        <v>992491.0900000334</v>
      </c>
      <c r="H582" s="5">
        <v>992491.09</v>
      </c>
      <c r="I582" s="6" t="s">
        <v>45</v>
      </c>
    </row>
    <row r="583">
      <c r="A583" s="8">
        <v>46324.0</v>
      </c>
      <c r="B583" s="3" t="s">
        <v>10</v>
      </c>
      <c r="C583" s="3" t="s">
        <v>620</v>
      </c>
      <c r="D583" s="5"/>
      <c r="E583" s="5">
        <v>1.2240509E8</v>
      </c>
      <c r="F583" s="5" t="s">
        <v>12</v>
      </c>
      <c r="G583" s="4">
        <v>1.2339758109000003E8</v>
      </c>
      <c r="H583" s="4"/>
      <c r="I583" s="6" t="s">
        <v>45</v>
      </c>
    </row>
    <row r="584">
      <c r="A584" s="8">
        <v>46324.0</v>
      </c>
      <c r="B584" s="3" t="s">
        <v>220</v>
      </c>
      <c r="C584" s="3" t="s">
        <v>621</v>
      </c>
      <c r="D584" s="5">
        <v>161600.0</v>
      </c>
      <c r="E584" s="4"/>
      <c r="F584" s="4"/>
      <c r="G584" s="4">
        <v>1.2323598109000003E8</v>
      </c>
      <c r="H584" s="4"/>
      <c r="I584" s="6" t="s">
        <v>45</v>
      </c>
    </row>
    <row r="585">
      <c r="A585" s="8">
        <v>46324.0</v>
      </c>
      <c r="B585" s="3" t="s">
        <v>1</v>
      </c>
      <c r="C585" s="3" t="s">
        <v>622</v>
      </c>
      <c r="D585" s="5">
        <v>1650000.0</v>
      </c>
      <c r="E585" s="4"/>
      <c r="F585" s="5" t="s">
        <v>3</v>
      </c>
      <c r="G585" s="4">
        <v>1.2158598109000003E8</v>
      </c>
      <c r="H585" s="4"/>
      <c r="I585" s="6" t="s">
        <v>45</v>
      </c>
    </row>
    <row r="586">
      <c r="A586" s="8">
        <v>46324.0</v>
      </c>
      <c r="B586" s="3" t="s">
        <v>10</v>
      </c>
      <c r="C586" s="3" t="s">
        <v>623</v>
      </c>
      <c r="D586" s="5"/>
      <c r="E586" s="5">
        <v>3.5E7</v>
      </c>
      <c r="F586" s="5" t="s">
        <v>12</v>
      </c>
      <c r="G586" s="4">
        <v>1.5658598109000003E8</v>
      </c>
      <c r="H586" s="5">
        <v>1.5658598109E8</v>
      </c>
      <c r="I586" s="6" t="s">
        <v>45</v>
      </c>
    </row>
    <row r="587">
      <c r="A587" s="8">
        <v>46325.0</v>
      </c>
      <c r="B587" s="3" t="s">
        <v>10</v>
      </c>
      <c r="C587" s="3" t="s">
        <v>624</v>
      </c>
      <c r="D587" s="5"/>
      <c r="E587" s="5">
        <v>2693170.0</v>
      </c>
      <c r="F587" s="5" t="s">
        <v>12</v>
      </c>
      <c r="G587" s="4">
        <v>1.5927915109000003E8</v>
      </c>
      <c r="H587" s="4"/>
      <c r="I587" s="6" t="s">
        <v>45</v>
      </c>
    </row>
    <row r="588">
      <c r="A588" s="8">
        <v>46325.0</v>
      </c>
      <c r="B588" s="3" t="s">
        <v>33</v>
      </c>
      <c r="C588" s="3" t="s">
        <v>625</v>
      </c>
      <c r="D588" s="5">
        <v>300000.0</v>
      </c>
      <c r="E588" s="4"/>
      <c r="F588" s="5" t="s">
        <v>3</v>
      </c>
      <c r="G588" s="4">
        <v>1.5897915109000003E8</v>
      </c>
      <c r="H588" s="5">
        <v>1.5897915109E8</v>
      </c>
      <c r="I588" s="6" t="s">
        <v>45</v>
      </c>
    </row>
    <row r="589">
      <c r="A589" s="8">
        <v>46325.0</v>
      </c>
      <c r="B589" s="3" t="s">
        <v>33</v>
      </c>
      <c r="C589" s="3" t="s">
        <v>626</v>
      </c>
      <c r="D589" s="5">
        <v>2500.0</v>
      </c>
      <c r="E589" s="4"/>
      <c r="F589" s="5" t="s">
        <v>3</v>
      </c>
      <c r="G589" s="4">
        <v>1.5897665109000003E8</v>
      </c>
      <c r="H589" s="5">
        <v>1.5897665109E8</v>
      </c>
      <c r="I589" s="6" t="s">
        <v>45</v>
      </c>
    </row>
    <row r="590">
      <c r="A590" s="8">
        <v>46325.0</v>
      </c>
      <c r="B590" s="3" t="s">
        <v>1</v>
      </c>
      <c r="C590" s="3" t="s">
        <v>627</v>
      </c>
      <c r="D590" s="5">
        <v>1.0671675E8</v>
      </c>
      <c r="E590" s="4"/>
      <c r="F590" s="5" t="s">
        <v>3</v>
      </c>
      <c r="G590" s="4">
        <v>5.225990109000003E7</v>
      </c>
      <c r="H590" s="4"/>
      <c r="I590" s="6" t="s">
        <v>45</v>
      </c>
    </row>
    <row r="591">
      <c r="A591" s="8">
        <v>46325.0</v>
      </c>
      <c r="B591" s="3" t="s">
        <v>10</v>
      </c>
      <c r="C591" s="3" t="s">
        <v>628</v>
      </c>
      <c r="D591" s="5"/>
      <c r="E591" s="5">
        <v>1.721184E8</v>
      </c>
      <c r="F591" s="5" t="s">
        <v>12</v>
      </c>
      <c r="G591" s="4">
        <v>2.2437830109000003E8</v>
      </c>
      <c r="H591" s="4"/>
      <c r="I591" s="6" t="s">
        <v>45</v>
      </c>
    </row>
    <row r="592">
      <c r="A592" s="8">
        <v>46325.0</v>
      </c>
      <c r="B592" s="3" t="s">
        <v>10</v>
      </c>
      <c r="C592" s="3" t="s">
        <v>629</v>
      </c>
      <c r="D592" s="5"/>
      <c r="E592" s="5">
        <v>4.544287E7</v>
      </c>
      <c r="F592" s="5" t="s">
        <v>12</v>
      </c>
      <c r="G592" s="4">
        <v>2.6982117109000003E8</v>
      </c>
      <c r="H592" s="4"/>
      <c r="I592" s="6" t="s">
        <v>45</v>
      </c>
    </row>
    <row r="593">
      <c r="A593" s="8">
        <v>46325.0</v>
      </c>
      <c r="B593" s="3" t="s">
        <v>10</v>
      </c>
      <c r="C593" s="3" t="s">
        <v>630</v>
      </c>
      <c r="D593" s="5"/>
      <c r="E593" s="5">
        <v>2.03064E7</v>
      </c>
      <c r="F593" s="5" t="s">
        <v>12</v>
      </c>
      <c r="G593" s="4">
        <v>2.9012757109000003E8</v>
      </c>
      <c r="H593" s="4"/>
      <c r="I593" s="6" t="s">
        <v>45</v>
      </c>
    </row>
    <row r="594">
      <c r="A594" s="8">
        <v>46325.0</v>
      </c>
      <c r="B594" s="3" t="s">
        <v>1</v>
      </c>
      <c r="C594" s="3" t="s">
        <v>631</v>
      </c>
      <c r="D594" s="5">
        <v>1.697274E8</v>
      </c>
      <c r="E594" s="4"/>
      <c r="F594" s="5" t="s">
        <v>3</v>
      </c>
      <c r="G594" s="4">
        <v>1.2040017109000003E8</v>
      </c>
      <c r="H594" s="4"/>
      <c r="I594" s="6" t="s">
        <v>45</v>
      </c>
    </row>
    <row r="595">
      <c r="A595" s="8">
        <v>46325.0</v>
      </c>
      <c r="B595" s="3" t="s">
        <v>1</v>
      </c>
      <c r="C595" s="3" t="s">
        <v>632</v>
      </c>
      <c r="D595" s="5">
        <v>1.194775E8</v>
      </c>
      <c r="E595" s="4"/>
      <c r="F595" s="5" t="s">
        <v>3</v>
      </c>
      <c r="G595" s="4">
        <v>922671.0900000334</v>
      </c>
      <c r="H595" s="4"/>
      <c r="I595" s="6" t="s">
        <v>45</v>
      </c>
    </row>
    <row r="596">
      <c r="A596" s="8">
        <v>46325.0</v>
      </c>
      <c r="B596" s="3" t="s">
        <v>10</v>
      </c>
      <c r="C596" s="3" t="s">
        <v>633</v>
      </c>
      <c r="D596" s="5"/>
      <c r="E596" s="5">
        <v>1.9122E7</v>
      </c>
      <c r="F596" s="5" t="s">
        <v>12</v>
      </c>
      <c r="G596" s="4">
        <v>2.0044671090000033E7</v>
      </c>
      <c r="H596" s="4"/>
      <c r="I596" s="6" t="s">
        <v>45</v>
      </c>
    </row>
    <row r="597">
      <c r="A597" s="8">
        <v>46325.0</v>
      </c>
      <c r="B597" s="3" t="s">
        <v>1</v>
      </c>
      <c r="C597" s="3" t="s">
        <v>634</v>
      </c>
      <c r="D597" s="5">
        <v>5000000.0</v>
      </c>
      <c r="E597" s="4"/>
      <c r="F597" s="5" t="s">
        <v>3</v>
      </c>
      <c r="G597" s="4">
        <v>1.5044671090000033E7</v>
      </c>
      <c r="H597" s="4"/>
      <c r="I597" s="6" t="s">
        <v>45</v>
      </c>
    </row>
    <row r="598">
      <c r="A598" s="8">
        <v>46325.0</v>
      </c>
      <c r="B598" s="3" t="s">
        <v>1</v>
      </c>
      <c r="C598" s="3" t="s">
        <v>635</v>
      </c>
      <c r="D598" s="5">
        <v>1.370693E7</v>
      </c>
      <c r="E598" s="4"/>
      <c r="F598" s="5" t="s">
        <v>3</v>
      </c>
      <c r="G598" s="4">
        <v>1337741.0900000334</v>
      </c>
      <c r="H598" s="4"/>
      <c r="I598" s="6" t="s">
        <v>45</v>
      </c>
    </row>
    <row r="599">
      <c r="A599" s="8">
        <v>46325.0</v>
      </c>
      <c r="B599" s="3" t="s">
        <v>1</v>
      </c>
      <c r="C599" s="3" t="s">
        <v>636</v>
      </c>
      <c r="D599" s="5">
        <v>1254080.0</v>
      </c>
      <c r="E599" s="4"/>
      <c r="F599" s="5" t="s">
        <v>3</v>
      </c>
      <c r="G599" s="4">
        <v>83661.09000003338</v>
      </c>
      <c r="H599" s="5">
        <v>83661.09</v>
      </c>
      <c r="I599" s="6" t="s">
        <v>45</v>
      </c>
    </row>
    <row r="600">
      <c r="A600" s="8">
        <v>46326.0</v>
      </c>
      <c r="B600" s="3" t="s">
        <v>637</v>
      </c>
      <c r="C600" s="3" t="s">
        <v>638</v>
      </c>
      <c r="D600" s="5"/>
      <c r="E600" s="5">
        <v>1.6237727E8</v>
      </c>
      <c r="F600" s="5" t="s">
        <v>12</v>
      </c>
      <c r="G600" s="4">
        <v>1.6246093109000003E8</v>
      </c>
      <c r="H600" s="4"/>
      <c r="I600" s="6" t="s">
        <v>45</v>
      </c>
    </row>
    <row r="601">
      <c r="A601" s="8">
        <v>46326.0</v>
      </c>
      <c r="B601" s="3" t="s">
        <v>1</v>
      </c>
      <c r="C601" s="3" t="s">
        <v>639</v>
      </c>
      <c r="D601" s="5">
        <v>5.181225E7</v>
      </c>
      <c r="E601" s="4"/>
      <c r="F601" s="5" t="s">
        <v>3</v>
      </c>
      <c r="G601" s="4">
        <v>1.1064868109000003E8</v>
      </c>
      <c r="H601" s="5">
        <v>1.1064868109E8</v>
      </c>
      <c r="I601" s="6" t="s">
        <v>45</v>
      </c>
    </row>
    <row r="602">
      <c r="A602" s="8">
        <v>46326.0</v>
      </c>
      <c r="B602" s="3" t="s">
        <v>1</v>
      </c>
      <c r="C602" s="3" t="s">
        <v>640</v>
      </c>
      <c r="D602" s="5">
        <v>5.14153E7</v>
      </c>
      <c r="E602" s="4"/>
      <c r="F602" s="5" t="s">
        <v>3</v>
      </c>
      <c r="G602" s="4">
        <v>5.923338109000003E7</v>
      </c>
      <c r="H602" s="5">
        <v>5.923338109E7</v>
      </c>
      <c r="I602" s="6" t="s">
        <v>45</v>
      </c>
    </row>
    <row r="603">
      <c r="A603" s="8">
        <v>46326.0</v>
      </c>
      <c r="B603" s="3" t="s">
        <v>1</v>
      </c>
      <c r="C603" s="3" t="s">
        <v>641</v>
      </c>
      <c r="D603" s="5">
        <v>3.80196E7</v>
      </c>
      <c r="E603" s="4"/>
      <c r="F603" s="5" t="s">
        <v>3</v>
      </c>
      <c r="G603" s="4">
        <v>2.1213781090000033E7</v>
      </c>
      <c r="H603" s="4"/>
      <c r="I603" s="6" t="s">
        <v>45</v>
      </c>
    </row>
    <row r="604">
      <c r="A604" s="8">
        <v>46326.0</v>
      </c>
      <c r="B604" s="3" t="s">
        <v>1</v>
      </c>
      <c r="C604" s="3" t="s">
        <v>642</v>
      </c>
      <c r="D604" s="5">
        <v>3167700.0</v>
      </c>
      <c r="E604" s="4"/>
      <c r="F604" s="5" t="s">
        <v>3</v>
      </c>
      <c r="G604" s="4">
        <v>1.8046081090000033E7</v>
      </c>
      <c r="H604" s="4"/>
      <c r="I604" s="6" t="s">
        <v>45</v>
      </c>
    </row>
    <row r="605">
      <c r="A605" s="8">
        <v>46326.0</v>
      </c>
      <c r="B605" s="3" t="s">
        <v>1</v>
      </c>
      <c r="C605" s="3" t="s">
        <v>643</v>
      </c>
      <c r="D605" s="5">
        <v>4750000.0</v>
      </c>
      <c r="E605" s="4"/>
      <c r="F605" s="5" t="s">
        <v>3</v>
      </c>
      <c r="G605" s="4">
        <v>1.3296081090000033E7</v>
      </c>
      <c r="H605" s="4"/>
      <c r="I605" s="6" t="s">
        <v>45</v>
      </c>
    </row>
    <row r="606">
      <c r="A606" s="8">
        <v>46326.0</v>
      </c>
      <c r="B606" s="3" t="s">
        <v>1</v>
      </c>
      <c r="C606" s="3" t="s">
        <v>644</v>
      </c>
      <c r="D606" s="5">
        <v>2484380.0</v>
      </c>
      <c r="E606" s="4"/>
      <c r="F606" s="5" t="s">
        <v>3</v>
      </c>
      <c r="G606" s="4">
        <v>1.0811701090000033E7</v>
      </c>
      <c r="H606" s="4"/>
      <c r="I606" s="6" t="s">
        <v>45</v>
      </c>
    </row>
    <row r="607">
      <c r="A607" s="8">
        <v>46326.0</v>
      </c>
      <c r="B607" s="3" t="s">
        <v>10</v>
      </c>
      <c r="C607" s="3" t="s">
        <v>645</v>
      </c>
      <c r="D607" s="5"/>
      <c r="E607" s="5">
        <v>1.2072155E8</v>
      </c>
      <c r="F607" s="5" t="s">
        <v>12</v>
      </c>
      <c r="G607" s="4">
        <v>1.3153325109000003E8</v>
      </c>
      <c r="H607" s="4"/>
      <c r="I607" s="6" t="s">
        <v>45</v>
      </c>
    </row>
    <row r="608">
      <c r="A608" s="8">
        <v>46326.0</v>
      </c>
      <c r="B608" s="3" t="s">
        <v>1</v>
      </c>
      <c r="C608" s="3" t="s">
        <v>646</v>
      </c>
      <c r="D608" s="5">
        <v>1369130.0</v>
      </c>
      <c r="E608" s="4"/>
      <c r="F608" s="5" t="s">
        <v>3</v>
      </c>
      <c r="G608" s="4">
        <v>1.3016412109000003E8</v>
      </c>
      <c r="H608" s="4"/>
      <c r="I608" s="6" t="s">
        <v>45</v>
      </c>
    </row>
    <row r="609">
      <c r="A609" s="8">
        <v>46326.0</v>
      </c>
      <c r="B609" s="3" t="s">
        <v>1</v>
      </c>
      <c r="C609" s="3" t="s">
        <v>647</v>
      </c>
      <c r="D609" s="5">
        <v>1.1759748E8</v>
      </c>
      <c r="E609" s="4"/>
      <c r="F609" s="5" t="s">
        <v>3</v>
      </c>
      <c r="G609" s="4">
        <v>1.2566641090000033E7</v>
      </c>
      <c r="H609" s="4"/>
      <c r="I609" s="6" t="s">
        <v>45</v>
      </c>
    </row>
    <row r="610">
      <c r="A610" s="8">
        <v>46326.0</v>
      </c>
      <c r="B610" s="3" t="s">
        <v>1</v>
      </c>
      <c r="C610" s="3" t="s">
        <v>648</v>
      </c>
      <c r="D610" s="5">
        <v>1321320.0</v>
      </c>
      <c r="E610" s="4"/>
      <c r="F610" s="5" t="s">
        <v>3</v>
      </c>
      <c r="G610" s="4">
        <v>1.1245321090000033E7</v>
      </c>
      <c r="H610" s="4"/>
      <c r="I610" s="6" t="s">
        <v>45</v>
      </c>
    </row>
    <row r="611">
      <c r="A611" s="8">
        <v>46326.0</v>
      </c>
      <c r="B611" s="3" t="s">
        <v>10</v>
      </c>
      <c r="C611" s="3" t="s">
        <v>649</v>
      </c>
      <c r="D611" s="5"/>
      <c r="E611" s="5">
        <v>1369130.0</v>
      </c>
      <c r="F611" s="5" t="s">
        <v>12</v>
      </c>
      <c r="G611" s="4">
        <v>1.2614451090000033E7</v>
      </c>
      <c r="H611" s="4"/>
      <c r="I611" s="6" t="s">
        <v>45</v>
      </c>
    </row>
    <row r="612">
      <c r="A612" s="8">
        <v>46326.0</v>
      </c>
      <c r="B612" s="3" t="s">
        <v>650</v>
      </c>
      <c r="C612" s="3" t="s">
        <v>650</v>
      </c>
      <c r="D612" s="5">
        <v>100000.0</v>
      </c>
      <c r="E612" s="4"/>
      <c r="F612" s="4"/>
      <c r="G612" s="4">
        <v>1.2514451090000033E7</v>
      </c>
      <c r="H612" s="4"/>
      <c r="I612" s="6" t="s">
        <v>45</v>
      </c>
    </row>
    <row r="613">
      <c r="A613" s="8">
        <v>46326.0</v>
      </c>
      <c r="B613" s="3" t="s">
        <v>1</v>
      </c>
      <c r="C613" s="3" t="s">
        <v>651</v>
      </c>
      <c r="D613" s="5">
        <v>2000000.0</v>
      </c>
      <c r="E613" s="4"/>
      <c r="F613" s="5" t="s">
        <v>3</v>
      </c>
      <c r="G613" s="4">
        <v>1.0514451090000033E7</v>
      </c>
      <c r="H613" s="4"/>
      <c r="I613" s="6" t="s">
        <v>45</v>
      </c>
    </row>
    <row r="614">
      <c r="A614" s="8">
        <v>46326.0</v>
      </c>
      <c r="B614" s="3" t="s">
        <v>10</v>
      </c>
      <c r="C614" s="3" t="s">
        <v>652</v>
      </c>
      <c r="D614" s="5"/>
      <c r="E614" s="5">
        <v>6731830.0</v>
      </c>
      <c r="F614" s="5" t="s">
        <v>12</v>
      </c>
      <c r="G614" s="4">
        <v>1.7246281090000033E7</v>
      </c>
      <c r="H614" s="4"/>
      <c r="I614" s="6" t="s">
        <v>45</v>
      </c>
    </row>
    <row r="615">
      <c r="A615" s="8">
        <v>46326.0</v>
      </c>
      <c r="B615" s="3" t="s">
        <v>10</v>
      </c>
      <c r="C615" s="3" t="s">
        <v>653</v>
      </c>
      <c r="D615" s="5"/>
      <c r="E615" s="5">
        <v>1.7007463E8</v>
      </c>
      <c r="F615" s="5" t="s">
        <v>12</v>
      </c>
      <c r="G615" s="4">
        <v>1.8732091109000003E8</v>
      </c>
      <c r="H615" s="5">
        <v>1.8732091109E8</v>
      </c>
      <c r="I615" s="6" t="s">
        <v>45</v>
      </c>
    </row>
    <row r="616">
      <c r="A616" s="8">
        <v>46326.0</v>
      </c>
      <c r="B616" s="3" t="s">
        <v>10</v>
      </c>
      <c r="C616" s="3" t="s">
        <v>654</v>
      </c>
      <c r="D616" s="5"/>
      <c r="E616" s="5">
        <v>1.693472E8</v>
      </c>
      <c r="F616" s="5" t="s">
        <v>12</v>
      </c>
      <c r="G616" s="4">
        <v>3.5666811109000003E8</v>
      </c>
      <c r="H616" s="5">
        <v>3.5666811109E8</v>
      </c>
      <c r="I616" s="6" t="s">
        <v>45</v>
      </c>
    </row>
    <row r="617">
      <c r="A617" s="8">
        <v>46326.0</v>
      </c>
      <c r="B617" s="3" t="s">
        <v>1</v>
      </c>
      <c r="C617" s="3" t="s">
        <v>655</v>
      </c>
      <c r="D617" s="5">
        <v>4.835776E7</v>
      </c>
      <c r="E617" s="4"/>
      <c r="F617" s="5" t="s">
        <v>3</v>
      </c>
      <c r="G617" s="4">
        <v>3.0831035109000003E8</v>
      </c>
      <c r="H617" s="4"/>
      <c r="I617" s="6" t="s">
        <v>45</v>
      </c>
    </row>
    <row r="618">
      <c r="A618" s="8">
        <v>46326.0</v>
      </c>
      <c r="B618" s="3" t="s">
        <v>1</v>
      </c>
      <c r="C618" s="3" t="s">
        <v>656</v>
      </c>
      <c r="D618" s="5">
        <v>2642260.0</v>
      </c>
      <c r="E618" s="4"/>
      <c r="F618" s="5" t="s">
        <v>3</v>
      </c>
      <c r="G618" s="4">
        <v>3.0566809109000003E8</v>
      </c>
      <c r="H618" s="4"/>
      <c r="I618" s="6" t="s">
        <v>45</v>
      </c>
    </row>
    <row r="619">
      <c r="A619" s="8">
        <v>46326.0</v>
      </c>
      <c r="B619" s="3" t="s">
        <v>1</v>
      </c>
      <c r="C619" s="3" t="s">
        <v>657</v>
      </c>
      <c r="D619" s="5">
        <v>2642260.0</v>
      </c>
      <c r="E619" s="4"/>
      <c r="F619" s="5" t="s">
        <v>3</v>
      </c>
      <c r="G619" s="4">
        <v>3.0302583109000003E8</v>
      </c>
      <c r="H619" s="4"/>
      <c r="I619" s="6" t="s">
        <v>45</v>
      </c>
    </row>
    <row r="620">
      <c r="A620" s="8">
        <v>46326.0</v>
      </c>
      <c r="B620" s="3" t="s">
        <v>1</v>
      </c>
      <c r="C620" s="3" t="s">
        <v>658</v>
      </c>
      <c r="D620" s="5">
        <v>1.60369E7</v>
      </c>
      <c r="E620" s="4"/>
      <c r="F620" s="5" t="s">
        <v>3</v>
      </c>
      <c r="G620" s="4">
        <v>2.8698893109000003E8</v>
      </c>
      <c r="H620" s="4"/>
      <c r="I620" s="6" t="s">
        <v>45</v>
      </c>
    </row>
    <row r="621">
      <c r="A621" s="8">
        <v>46326.0</v>
      </c>
      <c r="B621" s="3" t="s">
        <v>1</v>
      </c>
      <c r="C621" s="3" t="s">
        <v>659</v>
      </c>
      <c r="D621" s="5">
        <v>300000.0</v>
      </c>
      <c r="E621" s="4"/>
      <c r="F621" s="5" t="s">
        <v>3</v>
      </c>
      <c r="G621" s="4">
        <v>2.8668893109000003E8</v>
      </c>
      <c r="H621" s="4"/>
      <c r="I621" s="6" t="s">
        <v>45</v>
      </c>
    </row>
    <row r="622">
      <c r="A622" s="8">
        <v>46326.0</v>
      </c>
      <c r="B622" s="3" t="s">
        <v>1</v>
      </c>
      <c r="C622" s="3" t="s">
        <v>660</v>
      </c>
      <c r="D622" s="5">
        <v>3.0E7</v>
      </c>
      <c r="E622" s="4"/>
      <c r="F622" s="5" t="s">
        <v>3</v>
      </c>
      <c r="G622" s="4">
        <v>2.5668893109000003E8</v>
      </c>
      <c r="H622" s="4"/>
      <c r="I622" s="6" t="s">
        <v>45</v>
      </c>
    </row>
    <row r="623">
      <c r="A623" s="8">
        <v>46326.0</v>
      </c>
      <c r="B623" s="3" t="s">
        <v>1</v>
      </c>
      <c r="C623" s="3" t="s">
        <v>661</v>
      </c>
      <c r="D623" s="5">
        <v>1.5E7</v>
      </c>
      <c r="E623" s="4"/>
      <c r="F623" s="5" t="s">
        <v>3</v>
      </c>
      <c r="G623" s="4">
        <v>2.4168893109000003E8</v>
      </c>
      <c r="H623" s="4"/>
      <c r="I623" s="6" t="s">
        <v>45</v>
      </c>
    </row>
    <row r="624">
      <c r="A624" s="8">
        <v>46326.0</v>
      </c>
      <c r="B624" s="3" t="s">
        <v>662</v>
      </c>
      <c r="C624" s="3" t="s">
        <v>662</v>
      </c>
      <c r="E624" s="5">
        <v>1947.62</v>
      </c>
      <c r="F624" s="4"/>
      <c r="G624" s="4">
        <v>2.4169087871000004E8</v>
      </c>
      <c r="H624" s="4"/>
      <c r="I624" s="6" t="s">
        <v>45</v>
      </c>
    </row>
    <row r="625">
      <c r="A625" s="8">
        <v>46326.0</v>
      </c>
      <c r="B625" s="3" t="s">
        <v>663</v>
      </c>
      <c r="C625" s="3" t="s">
        <v>664</v>
      </c>
      <c r="D625" s="5">
        <v>389.52</v>
      </c>
      <c r="E625" s="4"/>
      <c r="F625" s="4"/>
      <c r="G625" s="4">
        <v>2.4169048919000003E8</v>
      </c>
      <c r="H625" s="5">
        <v>2.4169048919E8</v>
      </c>
      <c r="I625" s="6" t="s">
        <v>45</v>
      </c>
    </row>
  </sheetData>
  <dataValidations>
    <dataValidation type="list" allowBlank="1" showErrorMessage="1" sqref="I1:I625">
      <formula1>"PRIBADI,PRODUKSI,BANK,EXSPEDISI,V_SALES,OPERASIONAL,NURUL_AINI"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IFERROR(__xludf.DUMMYFUNCTION("IFERROR(QUERY(OKT_2023!A:I, ""SELECT * WHERE D IS NOT NULL AND UPPER(I) = 'EXSPEDISI'"", 1), ""Data EXSPEDISI belum ditemukan"")"),"Data EXSPEDISI belum ditemukan")</f>
        <v>Data EXSPEDISI belum ditemukan</v>
      </c>
      <c r="J1" s="2">
        <f>SUM(D1:D1000)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IFERROR(__xludf.DUMMYFUNCTION("IFERROR(QUERY(OKT_2023!A:I, ""SELECT * WHERE D IS NOT NULL AND UPPER(I) = 'V_SALES'"", 1), ""Data V_SALES belum ditemukan"")"),"Data V_SALES belum ditemukan")</f>
        <v>Data V_SALES belum ditemukan</v>
      </c>
      <c r="J1" s="2">
        <f>SUM(D1:D1000)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IFERROR(__xludf.DUMMYFUNCTION("IFERROR(QUERY(OKT_2023!A:I, ""SELECT * WHERE D IS NOT NULL AND UPPER(I) = 'OPERASIONAL'"", 1), ""Data OPERASIONAL belum ditemukan"")"),"Data OPERASIONAL belum ditemukan")</f>
        <v>Data OPERASIONAL belum ditemukan</v>
      </c>
      <c r="J1" s="2">
        <f>SUM(D1:D1000)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IFERROR(__xludf.DUMMYFUNCTION("IFERROR(QUERY(OKT_2023!A:I, ""SELECT * WHERE D IS NOT NULL AND UPPER(I) = 'NURUL_AINI'"", 1), ""Data NURUL_AINI belum ditemukan"")"),"Data NURUL_AINI belum ditemukan")</f>
        <v>Data NURUL_AINI belum ditemukan</v>
      </c>
      <c r="J1" s="2">
        <f>SUM(D1:D1000)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IFERROR(__xludf.DUMMYFUNCTION("IFERROR(QUERY(OKT_2023!A:I, ""SELECT * WHERE D IS NOT NULL AND UPPER(I) = ''"", 1), ""Data KOSONG belum ditemukan"")"),46296.0)</f>
        <v>46296</v>
      </c>
      <c r="B1" s="2" t="str">
        <f>IFERROR(__xludf.DUMMYFUNCTION("""COMPUTED_VALUE"""),"TRSF E-BANKING DB")</f>
        <v>TRSF E-BANKING DB</v>
      </c>
      <c r="C1" s="2" t="str">
        <f>IFERROR(__xludf.DUMMYFUNCTION("""COMPUTED_VALUE"""),"0110/FTSCY/WS95031 52350000.00 Tue Sep 29 2026 14:00:00 GMT+0700 (Western Indonesia Time) ANUGERAH KARTIKA A 52350000.00 Tue Sep 29 2026 14:00:00 GMT+0700 (Western Indonesia Time) ANUGERAH KARTIKA A")</f>
        <v>0110/FTSCY/WS95031 52350000.00 Tue Sep 29 2026 14:00:00 GMT+0700 (Western Indonesia Time) ANUGERAH KARTIKA A 52350000.00 Tue Sep 29 2026 14:00:00 GMT+0700 (Western Indonesia Time) ANUGERAH KARTIKA A</v>
      </c>
      <c r="D1" s="2">
        <f>IFERROR(__xludf.DUMMYFUNCTION("""COMPUTED_VALUE"""),5.235E7)</f>
        <v>52350000</v>
      </c>
      <c r="E1" s="2"/>
      <c r="F1" s="2" t="str">
        <f>IFERROR(__xludf.DUMMYFUNCTION("""COMPUTED_VALUE"""),"DB")</f>
        <v>DB</v>
      </c>
      <c r="G1" s="2">
        <f>IFERROR(__xludf.DUMMYFUNCTION("""COMPUTED_VALUE"""),1.0844444909E8)</f>
        <v>108444449.1</v>
      </c>
      <c r="H1" s="2">
        <f>IFERROR(__xludf.DUMMYFUNCTION("""COMPUTED_VALUE"""),1.0844444909E8)</f>
        <v>108444449.1</v>
      </c>
      <c r="I1" s="2"/>
      <c r="J1" s="2">
        <f>SUM(D1:D1000) </f>
        <v>6683315546</v>
      </c>
    </row>
    <row r="2">
      <c r="A2" s="7">
        <f>IFERROR(__xludf.DUMMYFUNCTION("""COMPUTED_VALUE"""),46296.0)</f>
        <v>46296</v>
      </c>
      <c r="B2" s="2" t="str">
        <f>IFERROR(__xludf.DUMMYFUNCTION("""COMPUTED_VALUE"""),"TRSF E-BANKING DB")</f>
        <v>TRSF E-BANKING DB</v>
      </c>
      <c r="C2" s="2" t="str">
        <f>IFERROR(__xludf.DUMMYFUNCTION("""COMPUTED_VALUE"""),"0110/FTSCY/WS95031 1340000.00 FINA ARDIANA 1340000.00 FINA ARDIANA")</f>
        <v>0110/FTSCY/WS95031 1340000.00 FINA ARDIANA 1340000.00 FINA ARDIANA</v>
      </c>
      <c r="D2" s="2">
        <f>IFERROR(__xludf.DUMMYFUNCTION("""COMPUTED_VALUE"""),1340000.0)</f>
        <v>1340000</v>
      </c>
      <c r="E2" s="2"/>
      <c r="F2" s="2" t="str">
        <f>IFERROR(__xludf.DUMMYFUNCTION("""COMPUTED_VALUE"""),"DB")</f>
        <v>DB</v>
      </c>
      <c r="G2" s="2">
        <f>IFERROR(__xludf.DUMMYFUNCTION("""COMPUTED_VALUE"""),1.0710444909E8)</f>
        <v>107104449.1</v>
      </c>
      <c r="H2" s="2"/>
      <c r="I2" s="2"/>
    </row>
    <row r="3">
      <c r="A3" s="7">
        <f>IFERROR(__xludf.DUMMYFUNCTION("""COMPUTED_VALUE"""),46296.0)</f>
        <v>46296</v>
      </c>
      <c r="B3" s="2" t="str">
        <f>IFERROR(__xludf.DUMMYFUNCTION("""COMPUTED_VALUE"""),"TRSF E-BANKING DB")</f>
        <v>TRSF E-BANKING DB</v>
      </c>
      <c r="C3" s="2" t="str">
        <f>IFERROR(__xludf.DUMMYFUNCTION("""COMPUTED_VALUE"""),"0110/FTSCY/WS95031 4312640.00 lunas FAJAR ANDREANZAH 4312640.00 lunas FAJAR ANDREANZAH")</f>
        <v>0110/FTSCY/WS95031 4312640.00 lunas FAJAR ANDREANZAH 4312640.00 lunas FAJAR ANDREANZAH</v>
      </c>
      <c r="D3" s="2">
        <f>IFERROR(__xludf.DUMMYFUNCTION("""COMPUTED_VALUE"""),4312640.0)</f>
        <v>4312640</v>
      </c>
      <c r="E3" s="2"/>
      <c r="F3" s="2" t="str">
        <f>IFERROR(__xludf.DUMMYFUNCTION("""COMPUTED_VALUE"""),"DB")</f>
        <v>DB</v>
      </c>
      <c r="G3" s="2">
        <f>IFERROR(__xludf.DUMMYFUNCTION("""COMPUTED_VALUE"""),1.0279180909E8)</f>
        <v>102791809.1</v>
      </c>
      <c r="H3" s="2"/>
      <c r="I3" s="2"/>
    </row>
    <row r="4">
      <c r="A4" s="7">
        <f>IFERROR(__xludf.DUMMYFUNCTION("""COMPUTED_VALUE"""),46296.0)</f>
        <v>46296</v>
      </c>
      <c r="B4" s="2" t="str">
        <f>IFERROR(__xludf.DUMMYFUNCTION("""COMPUTED_VALUE"""),"TRSF E-BANKING DB")</f>
        <v>TRSF E-BANKING DB</v>
      </c>
      <c r="C4" s="2" t="str">
        <f>IFERROR(__xludf.DUMMYFUNCTION("""COMPUTED_VALUE"""),"0110/FTSCY/WS95031 5947060.00 krg 8 jt MUJIANTO 5947060.00 krg 8 jt MUJIANTO")</f>
        <v>0110/FTSCY/WS95031 5947060.00 krg 8 jt MUJIANTO 5947060.00 krg 8 jt MUJIANTO</v>
      </c>
      <c r="D4" s="2">
        <f>IFERROR(__xludf.DUMMYFUNCTION("""COMPUTED_VALUE"""),5947060.0)</f>
        <v>5947060</v>
      </c>
      <c r="E4" s="2"/>
      <c r="F4" s="2" t="str">
        <f>IFERROR(__xludf.DUMMYFUNCTION("""COMPUTED_VALUE"""),"DB")</f>
        <v>DB</v>
      </c>
      <c r="G4" s="2">
        <f>IFERROR(__xludf.DUMMYFUNCTION("""COMPUTED_VALUE"""),9.684474909E7)</f>
        <v>96844749.09</v>
      </c>
      <c r="H4" s="2"/>
      <c r="I4" s="2"/>
    </row>
    <row r="5">
      <c r="A5" s="7">
        <f>IFERROR(__xludf.DUMMYFUNCTION("""COMPUTED_VALUE"""),46297.0)</f>
        <v>46297</v>
      </c>
      <c r="B5" s="2" t="str">
        <f>IFERROR(__xludf.DUMMYFUNCTION("""COMPUTED_VALUE"""),"TRSF E-BANKING DB")</f>
        <v>TRSF E-BANKING DB</v>
      </c>
      <c r="C5" s="2" t="str">
        <f>IFERROR(__xludf.DUMMYFUNCTION("""COMPUTED_VALUE"""),"0210/FTSCY/WS95011 57000000.00 Tue Sep 29 2026 14:00:00 GMT+0700 (Western Indonesia Time) ANDALAN YASA MITRA 57000000.00 Tue Sep 29 2026 14:00:00 GMT+0700 (Western Indonesia Time) ANDALAN YASA MITRA")</f>
        <v>0210/FTSCY/WS95011 57000000.00 Tue Sep 29 2026 14:00:00 GMT+0700 (Western Indonesia Time) ANDALAN YASA MITRA 57000000.00 Tue Sep 29 2026 14:00:00 GMT+0700 (Western Indonesia Time) ANDALAN YASA MITRA</v>
      </c>
      <c r="D5" s="2">
        <f>IFERROR(__xludf.DUMMYFUNCTION("""COMPUTED_VALUE"""),5.7E7)</f>
        <v>57000000</v>
      </c>
      <c r="E5" s="2"/>
      <c r="F5" s="2" t="str">
        <f>IFERROR(__xludf.DUMMYFUNCTION("""COMPUTED_VALUE"""),"DB")</f>
        <v>DB</v>
      </c>
      <c r="G5" s="2">
        <f>IFERROR(__xludf.DUMMYFUNCTION("""COMPUTED_VALUE"""),2.3586011909000003E8)</f>
        <v>235860119.1</v>
      </c>
      <c r="H5" s="2"/>
      <c r="I5" s="2"/>
    </row>
    <row r="6">
      <c r="A6" s="7">
        <f>IFERROR(__xludf.DUMMYFUNCTION("""COMPUTED_VALUE"""),46297.0)</f>
        <v>46297</v>
      </c>
      <c r="B6" s="2" t="str">
        <f>IFERROR(__xludf.DUMMYFUNCTION("""COMPUTED_VALUE"""),"TRSF E-BANKING DB")</f>
        <v>TRSF E-BANKING DB</v>
      </c>
      <c r="C6" s="2" t="str">
        <f>IFERROR(__xludf.DUMMYFUNCTION("""COMPUTED_VALUE"""),"0210/FTSCY/WS95011 127232000.00 Tue Sep 29 2026 14:00:00 GMT+0700 (Western Indonesia Time) BROILER MAKMUR TAN 127232000.00 Tue Sep 29 2026 14:00:00 GMT+0700 (Western Indonesia Time) BROILER MAKMUR TAN")</f>
        <v>0210/FTSCY/WS95011 127232000.00 Tue Sep 29 2026 14:00:00 GMT+0700 (Western Indonesia Time) BROILER MAKMUR TAN 127232000.00 Tue Sep 29 2026 14:00:00 GMT+0700 (Western Indonesia Time) BROILER MAKMUR TAN</v>
      </c>
      <c r="D6" s="2">
        <f>IFERROR(__xludf.DUMMYFUNCTION("""COMPUTED_VALUE"""),1.27232E8)</f>
        <v>127232000</v>
      </c>
      <c r="E6" s="2"/>
      <c r="F6" s="2" t="str">
        <f>IFERROR(__xludf.DUMMYFUNCTION("""COMPUTED_VALUE"""),"DB")</f>
        <v>DB</v>
      </c>
      <c r="G6" s="2">
        <f>IFERROR(__xludf.DUMMYFUNCTION("""COMPUTED_VALUE"""),1.0862811909000003E8)</f>
        <v>108628119.1</v>
      </c>
      <c r="H6" s="2"/>
      <c r="I6" s="2"/>
    </row>
    <row r="7">
      <c r="A7" s="7">
        <f>IFERROR(__xludf.DUMMYFUNCTION("""COMPUTED_VALUE"""),46297.0)</f>
        <v>46297</v>
      </c>
      <c r="B7" s="2" t="str">
        <f>IFERROR(__xludf.DUMMYFUNCTION("""COMPUTED_VALUE"""),"TRSF E-BANKING DB")</f>
        <v>TRSF E-BANKING DB</v>
      </c>
      <c r="C7" s="2" t="str">
        <f>IFERROR(__xludf.DUMMYFUNCTION("""COMPUTED_VALUE"""),"0210/FTSCY/WS95031 12000000.00 EKO SETIYAWAN 12000000.00 EKO SETIYAWAN")</f>
        <v>0210/FTSCY/WS95031 12000000.00 EKO SETIYAWAN 12000000.00 EKO SETIYAWAN</v>
      </c>
      <c r="D7" s="2">
        <f>IFERROR(__xludf.DUMMYFUNCTION("""COMPUTED_VALUE"""),1.2E7)</f>
        <v>12000000</v>
      </c>
      <c r="E7" s="2"/>
      <c r="F7" s="2" t="str">
        <f>IFERROR(__xludf.DUMMYFUNCTION("""COMPUTED_VALUE"""),"DB")</f>
        <v>DB</v>
      </c>
      <c r="G7" s="2">
        <f>IFERROR(__xludf.DUMMYFUNCTION("""COMPUTED_VALUE"""),2.8378119090000033E7)</f>
        <v>28378119.09</v>
      </c>
      <c r="H7" s="2"/>
      <c r="I7" s="2"/>
    </row>
    <row r="8">
      <c r="A8" s="7">
        <f>IFERROR(__xludf.DUMMYFUNCTION("""COMPUTED_VALUE"""),46297.0)</f>
        <v>46297</v>
      </c>
      <c r="B8" s="2" t="str">
        <f>IFERROR(__xludf.DUMMYFUNCTION("""COMPUTED_VALUE"""),"BI-FAST DB")</f>
        <v>BI-FAST DB</v>
      </c>
      <c r="C8" s="2" t="str">
        <f>IFERROR(__xludf.DUMMYFUNCTION("""COMPUTED_VALUE"""),"BIF TRANSFER KE 9 EKKI DEVINDA PUTRI M-BCA 9 EKKI DEVINDA PUTRI M-BCA")</f>
        <v>BIF TRANSFER KE 9 EKKI DEVINDA PUTRI M-BCA 9 EKKI DEVINDA PUTRI M-BCA</v>
      </c>
      <c r="D8" s="2">
        <f>IFERROR(__xludf.DUMMYFUNCTION("""COMPUTED_VALUE"""),47000.0)</f>
        <v>47000</v>
      </c>
      <c r="E8" s="2"/>
      <c r="F8" s="2" t="str">
        <f>IFERROR(__xludf.DUMMYFUNCTION("""COMPUTED_VALUE"""),"DB")</f>
        <v>DB</v>
      </c>
      <c r="G8" s="2">
        <f>IFERROR(__xludf.DUMMYFUNCTION("""COMPUTED_VALUE"""),2.8331119090000033E7)</f>
        <v>28331119.09</v>
      </c>
      <c r="H8" s="2"/>
      <c r="I8" s="2"/>
    </row>
    <row r="9">
      <c r="A9" s="7">
        <f>IFERROR(__xludf.DUMMYFUNCTION("""COMPUTED_VALUE"""),46298.0)</f>
        <v>46298</v>
      </c>
      <c r="B9" s="2" t="str">
        <f>IFERROR(__xludf.DUMMYFUNCTION("""COMPUTED_VALUE"""),"TRSF E-BANKING DB TANGGAL :02/10")</f>
        <v>TRSF E-BANKING DB TANGGAL :02/10</v>
      </c>
      <c r="C9" s="2" t="str">
        <f>IFERROR(__xludf.DUMMYFUNCTION("""COMPUTED_VALUE"""),"0210/FTSCY/WS95271 pelunasan PITIK DIGITAL INDO pelunasan PITIK DIGITAL INDO")</f>
        <v>0210/FTSCY/WS95271 pelunasan PITIK DIGITAL INDO pelunasan PITIK DIGITAL INDO</v>
      </c>
      <c r="D9" s="2">
        <f>IFERROR(__xludf.DUMMYFUNCTION("""COMPUTED_VALUE"""),2.41878E8)</f>
        <v>241878000</v>
      </c>
      <c r="E9" s="2"/>
      <c r="F9" s="2" t="str">
        <f>IFERROR(__xludf.DUMMYFUNCTION("""COMPUTED_VALUE"""),"DB")</f>
        <v>DB</v>
      </c>
      <c r="G9" s="2">
        <f>IFERROR(__xludf.DUMMYFUNCTION("""COMPUTED_VALUE"""),8.136358909000003E7)</f>
        <v>81363589.09</v>
      </c>
      <c r="H9" s="2"/>
      <c r="I9" s="2"/>
    </row>
    <row r="10">
      <c r="A10" s="7">
        <f>IFERROR(__xludf.DUMMYFUNCTION("""COMPUTED_VALUE"""),46298.0)</f>
        <v>46298</v>
      </c>
      <c r="B10" s="2" t="str">
        <f>IFERROR(__xludf.DUMMYFUNCTION("""COMPUTED_VALUE"""),"TRSF E-BANKING DB")</f>
        <v>TRSF E-BANKING DB</v>
      </c>
      <c r="C10" s="2" t="str">
        <f>IFERROR(__xludf.DUMMYFUNCTION("""COMPUTED_VALUE"""),"0310/FTSCY/WS95271 59727600.00 Thu Oct 01 2026 14:00:00 GMT+0700 (Western Indonesia Time) PT BERLIAN INDOMIT 59727600.00 Thu Oct 01 2026 14:00:00 GMT+0700 (Western Indonesia Time) PT BERLIAN INDOMIT")</f>
        <v>0310/FTSCY/WS95271 59727600.00 Thu Oct 01 2026 14:00:00 GMT+0700 (Western Indonesia Time) PT BERLIAN INDOMIT 59727600.00 Thu Oct 01 2026 14:00:00 GMT+0700 (Western Indonesia Time) PT BERLIAN INDOMIT</v>
      </c>
      <c r="D10" s="2">
        <f>IFERROR(__xludf.DUMMYFUNCTION("""COMPUTED_VALUE"""),5.97276E7)</f>
        <v>59727600</v>
      </c>
      <c r="E10" s="2"/>
      <c r="F10" s="2" t="str">
        <f>IFERROR(__xludf.DUMMYFUNCTION("""COMPUTED_VALUE"""),"DB")</f>
        <v>DB</v>
      </c>
      <c r="G10" s="2">
        <f>IFERROR(__xludf.DUMMYFUNCTION("""COMPUTED_VALUE"""),2.1635989090000033E7)</f>
        <v>21635989.09</v>
      </c>
      <c r="H10" s="2"/>
      <c r="I10" s="2"/>
    </row>
    <row r="11">
      <c r="A11" s="7">
        <f>IFERROR(__xludf.DUMMYFUNCTION("""COMPUTED_VALUE"""),46298.0)</f>
        <v>46298</v>
      </c>
      <c r="B11" s="2" t="str">
        <f>IFERROR(__xludf.DUMMYFUNCTION("""COMPUTED_VALUE"""),"TRSF E-BANKING DB")</f>
        <v>TRSF E-BANKING DB</v>
      </c>
      <c r="C11" s="2" t="str">
        <f>IFERROR(__xludf.DUMMYFUNCTION("""COMPUTED_VALUE"""),"0310/FTFVA/WS95031 55569/PT PRIMA FAJ lmjg - 40190 55569/PT PRIMA FAJ lmjg - 40190")</f>
        <v>0310/FTFVA/WS95031 55569/PT PRIMA FAJ lmjg - 40190 55569/PT PRIMA FAJ lmjg - 40190</v>
      </c>
      <c r="D11" s="2">
        <f>IFERROR(__xludf.DUMMYFUNCTION("""COMPUTED_VALUE"""),5.901364E7)</f>
        <v>59013640</v>
      </c>
      <c r="E11" s="2"/>
      <c r="F11" s="2" t="str">
        <f>IFERROR(__xludf.DUMMYFUNCTION("""COMPUTED_VALUE"""),"DB")</f>
        <v>DB</v>
      </c>
      <c r="G11" s="2">
        <f>IFERROR(__xludf.DUMMYFUNCTION("""COMPUTED_VALUE"""),1.4044691909000003E8)</f>
        <v>140446919.1</v>
      </c>
      <c r="H11" s="2">
        <f>IFERROR(__xludf.DUMMYFUNCTION("""COMPUTED_VALUE"""),1.4044691909E8)</f>
        <v>140446919.1</v>
      </c>
      <c r="I11" s="2"/>
    </row>
    <row r="12">
      <c r="A12" s="7">
        <f>IFERROR(__xludf.DUMMYFUNCTION("""COMPUTED_VALUE"""),46298.0)</f>
        <v>46298</v>
      </c>
      <c r="B12" s="2" t="str">
        <f>IFERROR(__xludf.DUMMYFUNCTION("""COMPUTED_VALUE"""),"TARIKAN ATM 03/10")</f>
        <v>TARIKAN ATM 03/10</v>
      </c>
      <c r="C12" s="2" t="str">
        <f>IFERROR(__xludf.DUMMYFUNCTION("""COMPUTED_VALUE"""),"TARIKAN ATM 03/10")</f>
        <v>TARIKAN ATM 03/10</v>
      </c>
      <c r="D12" s="2">
        <f>IFERROR(__xludf.DUMMYFUNCTION("""COMPUTED_VALUE"""),500000.0)</f>
        <v>500000</v>
      </c>
      <c r="E12" s="2"/>
      <c r="F12" s="2"/>
      <c r="G12" s="2">
        <f>IFERROR(__xludf.DUMMYFUNCTION("""COMPUTED_VALUE"""),1.3994691909000003E8)</f>
        <v>139946919.1</v>
      </c>
      <c r="H12" s="2">
        <f>IFERROR(__xludf.DUMMYFUNCTION("""COMPUTED_VALUE"""),1.3994691909E8)</f>
        <v>139946919.1</v>
      </c>
      <c r="I12" s="2"/>
    </row>
    <row r="13">
      <c r="A13" s="7">
        <f>IFERROR(__xludf.DUMMYFUNCTION("""COMPUTED_VALUE"""),46298.0)</f>
        <v>46298</v>
      </c>
      <c r="B13" s="2" t="str">
        <f>IFERROR(__xludf.DUMMYFUNCTION("""COMPUTED_VALUE"""),"TRSF E-BANKING DB")</f>
        <v>TRSF E-BANKING DB</v>
      </c>
      <c r="C13" s="2" t="str">
        <f>IFERROR(__xludf.DUMMYFUNCTION("""COMPUTED_VALUE"""),"0310/FTSCY/WS95031 1000000.00 SUNARTO 1000000.00 SUNARTO")</f>
        <v>0310/FTSCY/WS95031 1000000.00 SUNARTO 1000000.00 SUNARTO</v>
      </c>
      <c r="D13" s="2">
        <f>IFERROR(__xludf.DUMMYFUNCTION("""COMPUTED_VALUE"""),1000000.0)</f>
        <v>1000000</v>
      </c>
      <c r="E13" s="2"/>
      <c r="F13" s="2" t="str">
        <f>IFERROR(__xludf.DUMMYFUNCTION("""COMPUTED_VALUE"""),"DB")</f>
        <v>DB</v>
      </c>
      <c r="G13" s="2">
        <f>IFERROR(__xludf.DUMMYFUNCTION("""COMPUTED_VALUE"""),7.0574506909E8)</f>
        <v>705745069.1</v>
      </c>
      <c r="H13" s="2">
        <f>IFERROR(__xludf.DUMMYFUNCTION("""COMPUTED_VALUE"""),7.0574506909E8)</f>
        <v>705745069.1</v>
      </c>
      <c r="I13" s="2"/>
    </row>
    <row r="14">
      <c r="A14" s="7">
        <f>IFERROR(__xludf.DUMMYFUNCTION("""COMPUTED_VALUE"""),46299.0)</f>
        <v>46299</v>
      </c>
      <c r="B14" s="2" t="str">
        <f>IFERROR(__xludf.DUMMYFUNCTION("""COMPUTED_VALUE"""),"TRSF E-BANKING DB TANGGAL :03/10")</f>
        <v>TRSF E-BANKING DB TANGGAL :03/10</v>
      </c>
      <c r="C14" s="2" t="str">
        <f>IFERROR(__xludf.DUMMYFUNCTION("""COMPUTED_VALUE"""),"0310/FTSCY/WS95011 Thu Oct 01 2026 14:00:00 GMT+0700 (Western Indonesia Time) ANDALAN YASA MITRA Thu Oct 01 2026 14:00:00 GMT+0700 (Western Indonesia Time) ANDALAN YASA MITRA")</f>
        <v>0310/FTSCY/WS95011 Thu Oct 01 2026 14:00:00 GMT+0700 (Western Indonesia Time) ANDALAN YASA MITRA Thu Oct 01 2026 14:00:00 GMT+0700 (Western Indonesia Time) ANDALAN YASA MITRA</v>
      </c>
      <c r="D14" s="2">
        <f>IFERROR(__xludf.DUMMYFUNCTION("""COMPUTED_VALUE"""),5.93385E7)</f>
        <v>59338500</v>
      </c>
      <c r="E14" s="2"/>
      <c r="F14" s="2" t="str">
        <f>IFERROR(__xludf.DUMMYFUNCTION("""COMPUTED_VALUE"""),"DB")</f>
        <v>DB</v>
      </c>
      <c r="G14" s="2">
        <f>IFERROR(__xludf.DUMMYFUNCTION("""COMPUTED_VALUE"""),4.8817606909000003E8)</f>
        <v>488176069.1</v>
      </c>
      <c r="H14" s="2"/>
      <c r="I14" s="2"/>
    </row>
    <row r="15">
      <c r="A15" s="7">
        <f>IFERROR(__xludf.DUMMYFUNCTION("""COMPUTED_VALUE"""),46299.0)</f>
        <v>46299</v>
      </c>
      <c r="B15" s="2" t="str">
        <f>IFERROR(__xludf.DUMMYFUNCTION("""COMPUTED_VALUE"""),"TRSF E-BANKING DB TANGGAL :03/10")</f>
        <v>TRSF E-BANKING DB TANGGAL :03/10</v>
      </c>
      <c r="C15" s="2" t="str">
        <f>IFERROR(__xludf.DUMMYFUNCTION("""COMPUTED_VALUE"""),"0310/FTSCY/WS95031 ABDUR ROHMAN ABDUR ROHMAN")</f>
        <v>0310/FTSCY/WS95031 ABDUR ROHMAN ABDUR ROHMAN</v>
      </c>
      <c r="D15" s="2">
        <f>IFERROR(__xludf.DUMMYFUNCTION("""COMPUTED_VALUE"""),3808450.0)</f>
        <v>3808450</v>
      </c>
      <c r="E15" s="2"/>
      <c r="F15" s="2" t="str">
        <f>IFERROR(__xludf.DUMMYFUNCTION("""COMPUTED_VALUE"""),"DB")</f>
        <v>DB</v>
      </c>
      <c r="G15" s="2">
        <f>IFERROR(__xludf.DUMMYFUNCTION("""COMPUTED_VALUE"""),4.980950909000003E7)</f>
        <v>49809509.09</v>
      </c>
      <c r="H15" s="2"/>
      <c r="I15" s="2"/>
    </row>
    <row r="16">
      <c r="A16" s="7">
        <f>IFERROR(__xludf.DUMMYFUNCTION("""COMPUTED_VALUE"""),46299.0)</f>
        <v>46299</v>
      </c>
      <c r="B16" s="2" t="str">
        <f>IFERROR(__xludf.DUMMYFUNCTION("""COMPUTED_VALUE"""),"TRSF E-BANKING DB")</f>
        <v>TRSF E-BANKING DB</v>
      </c>
      <c r="C16" s="2" t="str">
        <f>IFERROR(__xludf.DUMMYFUNCTION("""COMPUTED_VALUE"""),"0410/FTSCY/WS95271 1140000.00 ANDE DOSO ANGGORO 1140000.00 ANDE DOSO ANGGORO")</f>
        <v>0410/FTSCY/WS95271 1140000.00 ANDE DOSO ANGGORO 1140000.00 ANDE DOSO ANGGORO</v>
      </c>
      <c r="D16" s="2">
        <f>IFERROR(__xludf.DUMMYFUNCTION("""COMPUTED_VALUE"""),1140000.0)</f>
        <v>1140000</v>
      </c>
      <c r="E16" s="2"/>
      <c r="F16" s="2" t="str">
        <f>IFERROR(__xludf.DUMMYFUNCTION("""COMPUTED_VALUE"""),"DB")</f>
        <v>DB</v>
      </c>
      <c r="G16" s="2">
        <f>IFERROR(__xludf.DUMMYFUNCTION("""COMPUTED_VALUE"""),519509.0900000334)</f>
        <v>519509.09</v>
      </c>
      <c r="H16" s="2"/>
      <c r="I16" s="2"/>
    </row>
    <row r="17">
      <c r="A17" s="7">
        <f>IFERROR(__xludf.DUMMYFUNCTION("""COMPUTED_VALUE"""),46299.0)</f>
        <v>46299</v>
      </c>
      <c r="B17" s="2" t="str">
        <f>IFERROR(__xludf.DUMMYFUNCTION("""COMPUTED_VALUE"""),"TRSF E-BANKING DB")</f>
        <v>TRSF E-BANKING DB</v>
      </c>
      <c r="C17" s="2" t="str">
        <f>IFERROR(__xludf.DUMMYFUNCTION("""COMPUTED_VALUE"""),"0410/FTFVA/WS95031 26689/TIKTOK SHOP - - 6418653841483 26689/TIKTOK SHOP - - 6418653841483")</f>
        <v>0410/FTFVA/WS95031 26689/TIKTOK SHOP - - 6418653841483 26689/TIKTOK SHOP - - 6418653841483</v>
      </c>
      <c r="D17" s="2">
        <f>IFERROR(__xludf.DUMMYFUNCTION("""COMPUTED_VALUE"""),155881.0)</f>
        <v>155881</v>
      </c>
      <c r="E17" s="2"/>
      <c r="F17" s="2" t="str">
        <f>IFERROR(__xludf.DUMMYFUNCTION("""COMPUTED_VALUE"""),"DB")</f>
        <v>DB</v>
      </c>
      <c r="G17" s="2">
        <f>IFERROR(__xludf.DUMMYFUNCTION("""COMPUTED_VALUE"""),363628.0900000334)</f>
        <v>363628.09</v>
      </c>
      <c r="H17" s="2"/>
      <c r="I17" s="2"/>
    </row>
    <row r="18">
      <c r="A18" s="7">
        <f>IFERROR(__xludf.DUMMYFUNCTION("""COMPUTED_VALUE"""),46299.0)</f>
        <v>46299</v>
      </c>
      <c r="B18" s="2" t="str">
        <f>IFERROR(__xludf.DUMMYFUNCTION("""COMPUTED_VALUE"""),"TRSF E-BANKING DB")</f>
        <v>TRSF E-BANKING DB</v>
      </c>
      <c r="C18" s="2" t="str">
        <f>IFERROR(__xludf.DUMMYFUNCTION("""COMPUTED_VALUE"""),"0410/FTSCY/WS95031 44678500.00 Fri Oct 02 2026 14:00:00 GMT+0700 (Western Indonesia Time) PT BERLIAN INDOMIT 44678500.00 Fri Oct 02 2026 14:00:00 GMT+0700 (Western Indonesia Time) PT BERLIAN INDOMIT")</f>
        <v>0410/FTSCY/WS95031 44678500.00 Fri Oct 02 2026 14:00:00 GMT+0700 (Western Indonesia Time) PT BERLIAN INDOMIT 44678500.00 Fri Oct 02 2026 14:00:00 GMT+0700 (Western Indonesia Time) PT BERLIAN INDOMIT</v>
      </c>
      <c r="D18" s="2">
        <f>IFERROR(__xludf.DUMMYFUNCTION("""COMPUTED_VALUE"""),4.46785E7)</f>
        <v>44678500</v>
      </c>
      <c r="E18" s="2"/>
      <c r="F18" s="2" t="str">
        <f>IFERROR(__xludf.DUMMYFUNCTION("""COMPUTED_VALUE"""),"DB")</f>
        <v>DB</v>
      </c>
      <c r="G18" s="2">
        <f>IFERROR(__xludf.DUMMYFUNCTION("""COMPUTED_VALUE"""),2.5760712809000003E8)</f>
        <v>257607128.1</v>
      </c>
      <c r="H18" s="2">
        <f>IFERROR(__xludf.DUMMYFUNCTION("""COMPUTED_VALUE"""),2.5760712809E8)</f>
        <v>257607128.1</v>
      </c>
      <c r="I18" s="2"/>
    </row>
    <row r="19">
      <c r="A19" s="7">
        <f>IFERROR(__xludf.DUMMYFUNCTION("""COMPUTED_VALUE"""),46299.0)</f>
        <v>46299</v>
      </c>
      <c r="B19" s="2" t="str">
        <f>IFERROR(__xludf.DUMMYFUNCTION("""COMPUTED_VALUE"""),"TRSF E-BANKING DB")</f>
        <v>TRSF E-BANKING DB</v>
      </c>
      <c r="C19" s="2" t="str">
        <f>IFERROR(__xludf.DUMMYFUNCTION("""COMPUTED_VALUE"""),"0410/FTSCY/WS95031 37000000.00 pelunasan TABASSAM AL HATTAK 37000000.00 pelunasan TABASSAM AL HATTAK")</f>
        <v>0410/FTSCY/WS95031 37000000.00 pelunasan TABASSAM AL HATTAK 37000000.00 pelunasan TABASSAM AL HATTAK</v>
      </c>
      <c r="D19" s="2">
        <f>IFERROR(__xludf.DUMMYFUNCTION("""COMPUTED_VALUE"""),3.7E7)</f>
        <v>37000000</v>
      </c>
      <c r="E19" s="2"/>
      <c r="F19" s="2" t="str">
        <f>IFERROR(__xludf.DUMMYFUNCTION("""COMPUTED_VALUE"""),"DB")</f>
        <v>DB</v>
      </c>
      <c r="G19" s="2">
        <f>IFERROR(__xludf.DUMMYFUNCTION("""COMPUTED_VALUE"""),2.2060712809000003E8)</f>
        <v>220607128.1</v>
      </c>
      <c r="H19" s="2"/>
      <c r="I19" s="2"/>
    </row>
    <row r="20">
      <c r="A20" s="7">
        <f>IFERROR(__xludf.DUMMYFUNCTION("""COMPUTED_VALUE"""),46299.0)</f>
        <v>46299</v>
      </c>
      <c r="B20" s="2" t="str">
        <f>IFERROR(__xludf.DUMMYFUNCTION("""COMPUTED_VALUE"""),"BYR VIA E-BANKING")</f>
        <v>BYR VIA E-BANKING</v>
      </c>
      <c r="C20" s="2" t="str">
        <f>IFERROR(__xludf.DUMMYFUNCTION("""COMPUTED_VALUE"""),"04/10  WSID9503100 1220 TELKOMSEL 82131900513 MUHAMMAD HAIRUL MA 1220 TELKOMSEL 82131900513 MUHAMMAD HAIRUL MA")</f>
        <v>04/10  WSID9503100 1220 TELKOMSEL 82131900513 MUHAMMAD HAIRUL MA 1220 TELKOMSEL 82131900513 MUHAMMAD HAIRUL MA</v>
      </c>
      <c r="D20" s="2">
        <f>IFERROR(__xludf.DUMMYFUNCTION("""COMPUTED_VALUE"""),52000.0)</f>
        <v>52000</v>
      </c>
      <c r="E20" s="2"/>
      <c r="F20" s="2"/>
      <c r="G20" s="2">
        <f>IFERROR(__xludf.DUMMYFUNCTION("""COMPUTED_VALUE"""),2.2055512809000003E8)</f>
        <v>220555128.1</v>
      </c>
      <c r="H20" s="2"/>
      <c r="I20" s="2"/>
    </row>
    <row r="21">
      <c r="A21" s="7">
        <f>IFERROR(__xludf.DUMMYFUNCTION("""COMPUTED_VALUE"""),46299.0)</f>
        <v>46299</v>
      </c>
      <c r="B21" s="2" t="str">
        <f>IFERROR(__xludf.DUMMYFUNCTION("""COMPUTED_VALUE"""),"TRSF E-BANKING DB")</f>
        <v>TRSF E-BANKING DB</v>
      </c>
      <c r="C21" s="2" t="str">
        <f>IFERROR(__xludf.DUMMYFUNCTION("""COMPUTED_VALUE"""),"0410/FTFVA/WS95031 55569/PT PRIMA FAJ lamongan - 40190 55569/PT PRIMA FAJ lamongan - 40190")</f>
        <v>0410/FTFVA/WS95031 55569/PT PRIMA FAJ lamongan - 40190 55569/PT PRIMA FAJ lamongan - 40190</v>
      </c>
      <c r="D21" s="2">
        <f>IFERROR(__xludf.DUMMYFUNCTION("""COMPUTED_VALUE"""),1.25436E8)</f>
        <v>125436000</v>
      </c>
      <c r="E21" s="2"/>
      <c r="F21" s="2" t="str">
        <f>IFERROR(__xludf.DUMMYFUNCTION("""COMPUTED_VALUE"""),"DB")</f>
        <v>DB</v>
      </c>
      <c r="G21" s="2">
        <f>IFERROR(__xludf.DUMMYFUNCTION("""COMPUTED_VALUE"""),9.511912809000003E7)</f>
        <v>95119128.09</v>
      </c>
      <c r="H21" s="2"/>
      <c r="I21" s="2"/>
    </row>
    <row r="22">
      <c r="A22" s="7">
        <f>IFERROR(__xludf.DUMMYFUNCTION("""COMPUTED_VALUE"""),46299.0)</f>
        <v>46299</v>
      </c>
      <c r="B22" s="2" t="str">
        <f>IFERROR(__xludf.DUMMYFUNCTION("""COMPUTED_VALUE"""),"TRSF E-BANKING DB")</f>
        <v>TRSF E-BANKING DB</v>
      </c>
      <c r="C22" s="2" t="str">
        <f>IFERROR(__xludf.DUMMYFUNCTION("""COMPUTED_VALUE"""),"0410/FTSCY/WS95271 66861000.00 Sat Oct 03 2026 14:00:00 GMT+0700 (Western Indonesia Time) BRANTAS ABADI SENT 66861000.00 Sat Oct 03 2026 14:00:00 GMT+0700 (Western Indonesia Time) BRANTAS ABADI SENT")</f>
        <v>0410/FTSCY/WS95271 66861000.00 Sat Oct 03 2026 14:00:00 GMT+0700 (Western Indonesia Time) BRANTAS ABADI SENT 66861000.00 Sat Oct 03 2026 14:00:00 GMT+0700 (Western Indonesia Time) BRANTAS ABADI SENT</v>
      </c>
      <c r="D22" s="2">
        <f>IFERROR(__xludf.DUMMYFUNCTION("""COMPUTED_VALUE"""),6.6861E7)</f>
        <v>66861000</v>
      </c>
      <c r="E22" s="2"/>
      <c r="F22" s="2" t="str">
        <f>IFERROR(__xludf.DUMMYFUNCTION("""COMPUTED_VALUE"""),"DB")</f>
        <v>DB</v>
      </c>
      <c r="G22" s="2">
        <f>IFERROR(__xludf.DUMMYFUNCTION("""COMPUTED_VALUE"""),2.1040036809000003E8)</f>
        <v>210400368.1</v>
      </c>
      <c r="H22" s="2"/>
      <c r="I22" s="2"/>
    </row>
    <row r="23">
      <c r="A23" s="7">
        <f>IFERROR(__xludf.DUMMYFUNCTION("""COMPUTED_VALUE"""),46299.0)</f>
        <v>46299</v>
      </c>
      <c r="B23" s="2" t="str">
        <f>IFERROR(__xludf.DUMMYFUNCTION("""COMPUTED_VALUE"""),"TRSF E-BANKING DB")</f>
        <v>TRSF E-BANKING DB</v>
      </c>
      <c r="C23" s="2" t="str">
        <f>IFERROR(__xludf.DUMMYFUNCTION("""COMPUTED_VALUE"""),"0410/FTFVA/WS95031 26689/TIKTOK SHOP - - 3781703948901 26689/TIKTOK SHOP - - 3781703948901")</f>
        <v>0410/FTFVA/WS95031 26689/TIKTOK SHOP - - 3781703948901 26689/TIKTOK SHOP - - 3781703948901</v>
      </c>
      <c r="D23" s="2">
        <f>IFERROR(__xludf.DUMMYFUNCTION("""COMPUTED_VALUE"""),831040.0)</f>
        <v>831040</v>
      </c>
      <c r="E23" s="2"/>
      <c r="F23" s="2" t="str">
        <f>IFERROR(__xludf.DUMMYFUNCTION("""COMPUTED_VALUE"""),"DB")</f>
        <v>DB</v>
      </c>
      <c r="G23" s="2">
        <f>IFERROR(__xludf.DUMMYFUNCTION("""COMPUTED_VALUE"""),2.0956932809000003E8)</f>
        <v>209569328.1</v>
      </c>
      <c r="H23" s="2"/>
      <c r="I23" s="2"/>
    </row>
    <row r="24">
      <c r="A24" s="7">
        <f>IFERROR(__xludf.DUMMYFUNCTION("""COMPUTED_VALUE"""),46299.0)</f>
        <v>46299</v>
      </c>
      <c r="B24" s="2" t="str">
        <f>IFERROR(__xludf.DUMMYFUNCTION("""COMPUTED_VALUE"""),"TRSF E-BANKING DB")</f>
        <v>TRSF E-BANKING DB</v>
      </c>
      <c r="C24" s="2" t="str">
        <f>IFERROR(__xludf.DUMMYFUNCTION("""COMPUTED_VALUE"""),"0410/FTSCY/WS95031 3800000.00 october ANTON 3800000.00 october ANTON")</f>
        <v>0410/FTSCY/WS95031 3800000.00 october ANTON 3800000.00 october ANTON</v>
      </c>
      <c r="D24" s="2">
        <f>IFERROR(__xludf.DUMMYFUNCTION("""COMPUTED_VALUE"""),3800000.0)</f>
        <v>3800000</v>
      </c>
      <c r="E24" s="2"/>
      <c r="F24" s="2" t="str">
        <f>IFERROR(__xludf.DUMMYFUNCTION("""COMPUTED_VALUE"""),"DB")</f>
        <v>DB</v>
      </c>
      <c r="G24" s="2">
        <f>IFERROR(__xludf.DUMMYFUNCTION("""COMPUTED_VALUE"""),4.9034920809000003E8)</f>
        <v>490349208.1</v>
      </c>
      <c r="H24" s="2"/>
      <c r="I24" s="2"/>
    </row>
    <row r="25">
      <c r="A25" s="7">
        <f>IFERROR(__xludf.DUMMYFUNCTION("""COMPUTED_VALUE"""),46299.0)</f>
        <v>46299</v>
      </c>
      <c r="B25" s="2" t="str">
        <f>IFERROR(__xludf.DUMMYFUNCTION("""COMPUTED_VALUE"""),"TRSF E-BANKING DB")</f>
        <v>TRSF E-BANKING DB</v>
      </c>
      <c r="C25" s="2" t="str">
        <f>IFERROR(__xludf.DUMMYFUNCTION("""COMPUTED_VALUE"""),"0410/FTSCY/WS95271 16668785.00 krg 90 jt EKO SETIYAWAN 16668785.00 krg 90 jt EKO SETIYAWAN")</f>
        <v>0410/FTSCY/WS95271 16668785.00 krg 90 jt EKO SETIYAWAN 16668785.00 krg 90 jt EKO SETIYAWAN</v>
      </c>
      <c r="D25" s="2">
        <f>IFERROR(__xludf.DUMMYFUNCTION("""COMPUTED_VALUE"""),1.6668785E7)</f>
        <v>16668785</v>
      </c>
      <c r="E25" s="2"/>
      <c r="F25" s="2" t="str">
        <f>IFERROR(__xludf.DUMMYFUNCTION("""COMPUTED_VALUE"""),"DB")</f>
        <v>DB</v>
      </c>
      <c r="G25" s="2">
        <f>IFERROR(__xludf.DUMMYFUNCTION("""COMPUTED_VALUE"""),7.2324934309E8)</f>
        <v>723249343.1</v>
      </c>
      <c r="H25" s="2">
        <f>IFERROR(__xludf.DUMMYFUNCTION("""COMPUTED_VALUE"""),7.2324934309E8)</f>
        <v>723249343.1</v>
      </c>
      <c r="I25" s="2"/>
    </row>
    <row r="26">
      <c r="A26" s="7">
        <f>IFERROR(__xludf.DUMMYFUNCTION("""COMPUTED_VALUE"""),46299.0)</f>
        <v>46299</v>
      </c>
      <c r="B26" s="2" t="str">
        <f>IFERROR(__xludf.DUMMYFUNCTION("""COMPUTED_VALUE"""),"TRSF E-BANKING DB")</f>
        <v>TRSF E-BANKING DB</v>
      </c>
      <c r="C26" s="2" t="str">
        <f>IFERROR(__xludf.DUMMYFUNCTION("""COMPUTED_VALUE"""),"0410/FTSCY/WS95031 7926300.00 krg 10 jt MUJIANTO 7926300.00 krg 10 jt MUJIANTO")</f>
        <v>0410/FTSCY/WS95031 7926300.00 krg 10 jt MUJIANTO 7926300.00 krg 10 jt MUJIANTO</v>
      </c>
      <c r="D26" s="2">
        <f>IFERROR(__xludf.DUMMYFUNCTION("""COMPUTED_VALUE"""),7926300.0)</f>
        <v>7926300</v>
      </c>
      <c r="E26" s="2"/>
      <c r="F26" s="2" t="str">
        <f>IFERROR(__xludf.DUMMYFUNCTION("""COMPUTED_VALUE"""),"DB")</f>
        <v>DB</v>
      </c>
      <c r="G26" s="2">
        <f>IFERROR(__xludf.DUMMYFUNCTION("""COMPUTED_VALUE"""),7.1532304309E8)</f>
        <v>715323043.1</v>
      </c>
      <c r="H26" s="2"/>
      <c r="I26" s="2"/>
    </row>
    <row r="27">
      <c r="A27" s="7">
        <f>IFERROR(__xludf.DUMMYFUNCTION("""COMPUTED_VALUE"""),46299.0)</f>
        <v>46299</v>
      </c>
      <c r="B27" s="2" t="str">
        <f>IFERROR(__xludf.DUMMYFUNCTION("""COMPUTED_VALUE"""),"TRSF E-BANKING DB")</f>
        <v>TRSF E-BANKING DB</v>
      </c>
      <c r="C27" s="2" t="str">
        <f>IFERROR(__xludf.DUMMYFUNCTION("""COMPUTED_VALUE"""),"0410/FTSCY/WS95031 6086710.00 lunas HERMAWAN 6086710.00 lunas HERMAWAN")</f>
        <v>0410/FTSCY/WS95031 6086710.00 lunas HERMAWAN 6086710.00 lunas HERMAWAN</v>
      </c>
      <c r="D27" s="2">
        <f>IFERROR(__xludf.DUMMYFUNCTION("""COMPUTED_VALUE"""),6086710.0)</f>
        <v>6086710</v>
      </c>
      <c r="E27" s="2"/>
      <c r="F27" s="2" t="str">
        <f>IFERROR(__xludf.DUMMYFUNCTION("""COMPUTED_VALUE"""),"DB")</f>
        <v>DB</v>
      </c>
      <c r="G27" s="2">
        <f>IFERROR(__xludf.DUMMYFUNCTION("""COMPUTED_VALUE"""),7.0923633309E8)</f>
        <v>709236333.1</v>
      </c>
      <c r="H27" s="2"/>
      <c r="I27" s="2"/>
    </row>
    <row r="28">
      <c r="A28" s="7">
        <f>IFERROR(__xludf.DUMMYFUNCTION("""COMPUTED_VALUE"""),46299.0)</f>
        <v>46299</v>
      </c>
      <c r="B28" s="2" t="str">
        <f>IFERROR(__xludf.DUMMYFUNCTION("""COMPUTED_VALUE"""),"TRSF E-BANKING DB")</f>
        <v>TRSF E-BANKING DB</v>
      </c>
      <c r="C28" s="2" t="str">
        <f>IFERROR(__xludf.DUMMYFUNCTION("""COMPUTED_VALUE"""),"0410/FTSCY/WS95271 1000000.00 SUNARTO 1000000.00 SUNARTO")</f>
        <v>0410/FTSCY/WS95271 1000000.00 SUNARTO 1000000.00 SUNARTO</v>
      </c>
      <c r="D28" s="2">
        <f>IFERROR(__xludf.DUMMYFUNCTION("""COMPUTED_VALUE"""),1000000.0)</f>
        <v>1000000</v>
      </c>
      <c r="E28" s="2"/>
      <c r="F28" s="2" t="str">
        <f>IFERROR(__xludf.DUMMYFUNCTION("""COMPUTED_VALUE"""),"DB")</f>
        <v>DB</v>
      </c>
      <c r="G28" s="2">
        <f>IFERROR(__xludf.DUMMYFUNCTION("""COMPUTED_VALUE"""),7.0823633309E8)</f>
        <v>708236333.1</v>
      </c>
      <c r="H28" s="2"/>
      <c r="I28" s="2"/>
    </row>
    <row r="29">
      <c r="A29" s="7">
        <f>IFERROR(__xludf.DUMMYFUNCTION("""COMPUTED_VALUE"""),46299.0)</f>
        <v>46299</v>
      </c>
      <c r="B29" s="2" t="str">
        <f>IFERROR(__xludf.DUMMYFUNCTION("""COMPUTED_VALUE"""),"TRSF E-BANKING DB")</f>
        <v>TRSF E-BANKING DB</v>
      </c>
      <c r="C29" s="2" t="str">
        <f>IFERROR(__xludf.DUMMYFUNCTION("""COMPUTED_VALUE"""),"0410/FTSCY/WS95271 62442300.00 Wed Sep 02 2026 14:00:00 GMT+0700 (Western Indonesia Time) ANDALAN YASA MITRA 62442300.00 Wed Sep 02 2026 14:00:00 GMT+0700 (Western Indonesia Time) ANDALAN YASA MITRA")</f>
        <v>0410/FTSCY/WS95271 62442300.00 Wed Sep 02 2026 14:00:00 GMT+0700 (Western Indonesia Time) ANDALAN YASA MITRA 62442300.00 Wed Sep 02 2026 14:00:00 GMT+0700 (Western Indonesia Time) ANDALAN YASA MITRA</v>
      </c>
      <c r="D29" s="2">
        <f>IFERROR(__xludf.DUMMYFUNCTION("""COMPUTED_VALUE"""),6.24423E7)</f>
        <v>62442300</v>
      </c>
      <c r="E29" s="2"/>
      <c r="F29" s="2" t="str">
        <f>IFERROR(__xludf.DUMMYFUNCTION("""COMPUTED_VALUE"""),"DB")</f>
        <v>DB</v>
      </c>
      <c r="G29" s="2">
        <f>IFERROR(__xludf.DUMMYFUNCTION("""COMPUTED_VALUE"""),6.4579403309E8)</f>
        <v>645794033.1</v>
      </c>
      <c r="H29" s="2"/>
      <c r="I29" s="2"/>
    </row>
    <row r="30">
      <c r="A30" s="7">
        <f>IFERROR(__xludf.DUMMYFUNCTION("""COMPUTED_VALUE"""),46299.0)</f>
        <v>46299</v>
      </c>
      <c r="B30" s="2" t="str">
        <f>IFERROR(__xludf.DUMMYFUNCTION("""COMPUTED_VALUE"""),"TRSF E-BANKING DB")</f>
        <v>TRSF E-BANKING DB</v>
      </c>
      <c r="C30" s="2" t="str">
        <f>IFERROR(__xludf.DUMMYFUNCTION("""COMPUTED_VALUE"""),"0410/FTSCY/WS95271 55390000.00 Wed Sep 02 2026 14:00:00 GMT+0700 (Western Indonesia Time) ANUGERAH KARTIKA A 55390000.00 Wed Sep 02 2026 14:00:00 GMT+0700 (Western Indonesia Time) ANUGERAH KARTIKA A")</f>
        <v>0410/FTSCY/WS95271 55390000.00 Wed Sep 02 2026 14:00:00 GMT+0700 (Western Indonesia Time) ANUGERAH KARTIKA A 55390000.00 Wed Sep 02 2026 14:00:00 GMT+0700 (Western Indonesia Time) ANUGERAH KARTIKA A</v>
      </c>
      <c r="D30" s="2">
        <f>IFERROR(__xludf.DUMMYFUNCTION("""COMPUTED_VALUE"""),5.539E7)</f>
        <v>55390000</v>
      </c>
      <c r="E30" s="2"/>
      <c r="F30" s="2" t="str">
        <f>IFERROR(__xludf.DUMMYFUNCTION("""COMPUTED_VALUE"""),"DB")</f>
        <v>DB</v>
      </c>
      <c r="G30" s="2">
        <f>IFERROR(__xludf.DUMMYFUNCTION("""COMPUTED_VALUE"""),5.9040403309E8)</f>
        <v>590404033.1</v>
      </c>
      <c r="H30" s="2"/>
      <c r="I30" s="2"/>
    </row>
    <row r="31">
      <c r="A31" s="7">
        <f>IFERROR(__xludf.DUMMYFUNCTION("""COMPUTED_VALUE"""),46299.0)</f>
        <v>46299</v>
      </c>
      <c r="B31" s="2" t="str">
        <f>IFERROR(__xludf.DUMMYFUNCTION("""COMPUTED_VALUE"""),"TRSF E-BANKING DB")</f>
        <v>TRSF E-BANKING DB</v>
      </c>
      <c r="C31" s="2" t="str">
        <f>IFERROR(__xludf.DUMMYFUNCTION("""COMPUTED_VALUE"""),"0410/FTSCY/WS95011 52254150.00 Fri Oct 02 2026 14:00:00 GMT+0700 (Western Indonesia Time) ANUGERAH KARTIKA A 52254150.00 Fri Oct 02 2026 14:00:00 GMT+0700 (Western Indonesia Time) ANUGERAH KARTIKA A")</f>
        <v>0410/FTSCY/WS95011 52254150.00 Fri Oct 02 2026 14:00:00 GMT+0700 (Western Indonesia Time) ANUGERAH KARTIKA A 52254150.00 Fri Oct 02 2026 14:00:00 GMT+0700 (Western Indonesia Time) ANUGERAH KARTIKA A</v>
      </c>
      <c r="D31" s="2">
        <f>IFERROR(__xludf.DUMMYFUNCTION("""COMPUTED_VALUE"""),5.225415E7)</f>
        <v>52254150</v>
      </c>
      <c r="E31" s="2"/>
      <c r="F31" s="2" t="str">
        <f>IFERROR(__xludf.DUMMYFUNCTION("""COMPUTED_VALUE"""),"DB")</f>
        <v>DB</v>
      </c>
      <c r="G31" s="2">
        <f>IFERROR(__xludf.DUMMYFUNCTION("""COMPUTED_VALUE"""),5.3814988309E8)</f>
        <v>538149883.1</v>
      </c>
      <c r="H31" s="2"/>
      <c r="I31" s="2"/>
    </row>
    <row r="32">
      <c r="A32" s="7">
        <f>IFERROR(__xludf.DUMMYFUNCTION("""COMPUTED_VALUE"""),46299.0)</f>
        <v>46299</v>
      </c>
      <c r="B32" s="2" t="str">
        <f>IFERROR(__xludf.DUMMYFUNCTION("""COMPUTED_VALUE"""),"TRSF E-BANKING DB")</f>
        <v>TRSF E-BANKING DB</v>
      </c>
      <c r="C32" s="2" t="str">
        <f>IFERROR(__xludf.DUMMYFUNCTION("""COMPUTED_VALUE"""),"0410/FTSCY/WS95011 48537600.00 Fri Oct 02 2026 14:00:00 GMT+0700 (Western Indonesia Time) ANUGERAH KARTIKA A 48537600.00 Fri Oct 02 2026 14:00:00 GMT+0700 (Western Indonesia Time) ANUGERAH KARTIKA A")</f>
        <v>0410/FTSCY/WS95011 48537600.00 Fri Oct 02 2026 14:00:00 GMT+0700 (Western Indonesia Time) ANUGERAH KARTIKA A 48537600.00 Fri Oct 02 2026 14:00:00 GMT+0700 (Western Indonesia Time) ANUGERAH KARTIKA A</v>
      </c>
      <c r="D32" s="2">
        <f>IFERROR(__xludf.DUMMYFUNCTION("""COMPUTED_VALUE"""),4.85376E7)</f>
        <v>48537600</v>
      </c>
      <c r="E32" s="2"/>
      <c r="F32" s="2" t="str">
        <f>IFERROR(__xludf.DUMMYFUNCTION("""COMPUTED_VALUE"""),"DB")</f>
        <v>DB</v>
      </c>
      <c r="G32" s="2">
        <f>IFERROR(__xludf.DUMMYFUNCTION("""COMPUTED_VALUE"""),4.8961228309000003E8)</f>
        <v>489612283.1</v>
      </c>
      <c r="H32" s="2"/>
      <c r="I32" s="2"/>
    </row>
    <row r="33">
      <c r="A33" s="7">
        <f>IFERROR(__xludf.DUMMYFUNCTION("""COMPUTED_VALUE"""),46299.0)</f>
        <v>46299</v>
      </c>
      <c r="B33" s="2" t="str">
        <f>IFERROR(__xludf.DUMMYFUNCTION("""COMPUTED_VALUE"""),"TRSF E-BANKING DB")</f>
        <v>TRSF E-BANKING DB</v>
      </c>
      <c r="C33" s="2" t="str">
        <f>IFERROR(__xludf.DUMMYFUNCTION("""COMPUTED_VALUE"""),"0410/FTSCY/WS95011 128010900.00 Fri Oct 02 2026 14:00:00 GMT+0700 (Western Indonesia Time) RUKUN MITRA BERSAM 128010900.00 Fri Oct 02 2026 14:00:00 GMT+0700 (Western Indonesia Time) RUKUN MITRA BERSAM")</f>
        <v>0410/FTSCY/WS95011 128010900.00 Fri Oct 02 2026 14:00:00 GMT+0700 (Western Indonesia Time) RUKUN MITRA BERSAM 128010900.00 Fri Oct 02 2026 14:00:00 GMT+0700 (Western Indonesia Time) RUKUN MITRA BERSAM</v>
      </c>
      <c r="D33" s="2">
        <f>IFERROR(__xludf.DUMMYFUNCTION("""COMPUTED_VALUE"""),1.280109E8)</f>
        <v>128010900</v>
      </c>
      <c r="E33" s="2"/>
      <c r="F33" s="2" t="str">
        <f>IFERROR(__xludf.DUMMYFUNCTION("""COMPUTED_VALUE"""),"DB")</f>
        <v>DB</v>
      </c>
      <c r="G33" s="2">
        <f>IFERROR(__xludf.DUMMYFUNCTION("""COMPUTED_VALUE"""),3.6160138309000003E8)</f>
        <v>361601383.1</v>
      </c>
      <c r="H33" s="2"/>
      <c r="I33" s="2"/>
    </row>
    <row r="34">
      <c r="A34" s="7">
        <f>IFERROR(__xludf.DUMMYFUNCTION("""COMPUTED_VALUE"""),46299.0)</f>
        <v>46299</v>
      </c>
      <c r="B34" s="2" t="str">
        <f>IFERROR(__xludf.DUMMYFUNCTION("""COMPUTED_VALUE"""),"TRSF E-BANKING DB")</f>
        <v>TRSF E-BANKING DB</v>
      </c>
      <c r="C34" s="2" t="str">
        <f>IFERROR(__xludf.DUMMYFUNCTION("""COMPUTED_VALUE"""),"0410/FTSCY/WS95011 112642200.00 Fri Oct 02 2026 14:00:00 GMT+0700 (Western Indonesia Time) ANDALAN YASA MITRA 112642200.00 Fri Oct 02 2026 14:00:00 GMT+0700 (Western Indonesia Time) ANDALAN YASA MITRA")</f>
        <v>0410/FTSCY/WS95011 112642200.00 Fri Oct 02 2026 14:00:00 GMT+0700 (Western Indonesia Time) ANDALAN YASA MITRA 112642200.00 Fri Oct 02 2026 14:00:00 GMT+0700 (Western Indonesia Time) ANDALAN YASA MITRA</v>
      </c>
      <c r="D34" s="2">
        <f>IFERROR(__xludf.DUMMYFUNCTION("""COMPUTED_VALUE"""),1.126422E8)</f>
        <v>112642200</v>
      </c>
      <c r="E34" s="2"/>
      <c r="F34" s="2" t="str">
        <f>IFERROR(__xludf.DUMMYFUNCTION("""COMPUTED_VALUE"""),"DB")</f>
        <v>DB</v>
      </c>
      <c r="G34" s="2">
        <f>IFERROR(__xludf.DUMMYFUNCTION("""COMPUTED_VALUE"""),2.4895918309000003E8)</f>
        <v>248959183.1</v>
      </c>
      <c r="H34" s="2"/>
      <c r="I34" s="2"/>
    </row>
    <row r="35">
      <c r="A35" s="7">
        <f>IFERROR(__xludf.DUMMYFUNCTION("""COMPUTED_VALUE"""),46299.0)</f>
        <v>46299</v>
      </c>
      <c r="B35" s="2" t="str">
        <f>IFERROR(__xludf.DUMMYFUNCTION("""COMPUTED_VALUE"""),"TRSF E-BANKING DB")</f>
        <v>TRSF E-BANKING DB</v>
      </c>
      <c r="C35" s="2" t="str">
        <f>IFERROR(__xludf.DUMMYFUNCTION("""COMPUTED_VALUE"""),"0410/FTSCY/WS95011 56714000.00 Fri Oct 02 2026 14:00:00 GMT+0700 (Western Indonesia Time) BROILER MAKMUR TAN 56714000.00 Fri Oct 02 2026 14:00:00 GMT+0700 (Western Indonesia Time) BROILER MAKMUR TAN")</f>
        <v>0410/FTSCY/WS95011 56714000.00 Fri Oct 02 2026 14:00:00 GMT+0700 (Western Indonesia Time) BROILER MAKMUR TAN 56714000.00 Fri Oct 02 2026 14:00:00 GMT+0700 (Western Indonesia Time) BROILER MAKMUR TAN</v>
      </c>
      <c r="D35" s="2">
        <f>IFERROR(__xludf.DUMMYFUNCTION("""COMPUTED_VALUE"""),5.6714E7)</f>
        <v>56714000</v>
      </c>
      <c r="E35" s="2"/>
      <c r="F35" s="2" t="str">
        <f>IFERROR(__xludf.DUMMYFUNCTION("""COMPUTED_VALUE"""),"DB")</f>
        <v>DB</v>
      </c>
      <c r="G35" s="2">
        <f>IFERROR(__xludf.DUMMYFUNCTION("""COMPUTED_VALUE"""),1.9224518309000003E8)</f>
        <v>192245183.1</v>
      </c>
      <c r="H35" s="2"/>
      <c r="I35" s="2"/>
    </row>
    <row r="36">
      <c r="A36" s="7">
        <f>IFERROR(__xludf.DUMMYFUNCTION("""COMPUTED_VALUE"""),46299.0)</f>
        <v>46299</v>
      </c>
      <c r="B36" s="2" t="str">
        <f>IFERROR(__xludf.DUMMYFUNCTION("""COMPUTED_VALUE"""),"TRSF E-BANKING DB")</f>
        <v>TRSF E-BANKING DB</v>
      </c>
      <c r="C36" s="2" t="str">
        <f>IFERROR(__xludf.DUMMYFUNCTION("""COMPUTED_VALUE"""),"0410/FTSCY/WS95011 71060000.00 Fri Oct 02 2026 14:00:00 GMT+0700 (Western Indonesia Time) TUMBUH OPTIMAL PRI 71060000.00 Fri Oct 02 2026 14:00:00 GMT+0700 (Western Indonesia Time) TUMBUH OPTIMAL PRI")</f>
        <v>0410/FTSCY/WS95011 71060000.00 Fri Oct 02 2026 14:00:00 GMT+0700 (Western Indonesia Time) TUMBUH OPTIMAL PRI 71060000.00 Fri Oct 02 2026 14:00:00 GMT+0700 (Western Indonesia Time) TUMBUH OPTIMAL PRI</v>
      </c>
      <c r="D36" s="2">
        <f>IFERROR(__xludf.DUMMYFUNCTION("""COMPUTED_VALUE"""),7.106E7)</f>
        <v>71060000</v>
      </c>
      <c r="E36" s="2"/>
      <c r="F36" s="2" t="str">
        <f>IFERROR(__xludf.DUMMYFUNCTION("""COMPUTED_VALUE"""),"DB")</f>
        <v>DB</v>
      </c>
      <c r="G36" s="2">
        <f>IFERROR(__xludf.DUMMYFUNCTION("""COMPUTED_VALUE"""),1.2118518309000003E8)</f>
        <v>121185183.1</v>
      </c>
      <c r="H36" s="2"/>
      <c r="I36" s="2"/>
    </row>
    <row r="37">
      <c r="A37" s="7">
        <f>IFERROR(__xludf.DUMMYFUNCTION("""COMPUTED_VALUE"""),46299.0)</f>
        <v>46299</v>
      </c>
      <c r="B37" s="2" t="str">
        <f>IFERROR(__xludf.DUMMYFUNCTION("""COMPUTED_VALUE"""),"TRSF E-BANKING DB")</f>
        <v>TRSF E-BANKING DB</v>
      </c>
      <c r="C37" s="2" t="str">
        <f>IFERROR(__xludf.DUMMYFUNCTION("""COMPUTED_VALUE"""),"0410/FTSCY/WS95011 29850500.00 03/10 krg 89 jt BINTANG TAMA SANTO 29850500.00 03/10 krg 89 jt BINTANG TAMA SANTO")</f>
        <v>0410/FTSCY/WS95011 29850500.00 03/10 krg 89 jt BINTANG TAMA SANTO 29850500.00 03/10 krg 89 jt BINTANG TAMA SANTO</v>
      </c>
      <c r="D37" s="2">
        <f>IFERROR(__xludf.DUMMYFUNCTION("""COMPUTED_VALUE"""),2.98505E7)</f>
        <v>29850500</v>
      </c>
      <c r="E37" s="2"/>
      <c r="F37" s="2" t="str">
        <f>IFERROR(__xludf.DUMMYFUNCTION("""COMPUTED_VALUE"""),"DB")</f>
        <v>DB</v>
      </c>
      <c r="G37" s="2">
        <f>IFERROR(__xludf.DUMMYFUNCTION("""COMPUTED_VALUE"""),9.133468309000003E7)</f>
        <v>91334683.09</v>
      </c>
      <c r="H37" s="2">
        <f>IFERROR(__xludf.DUMMYFUNCTION("""COMPUTED_VALUE"""),9.133468309E7)</f>
        <v>91334683.09</v>
      </c>
      <c r="I37" s="2"/>
    </row>
    <row r="38">
      <c r="A38" s="7">
        <f>IFERROR(__xludf.DUMMYFUNCTION("""COMPUTED_VALUE"""),46300.0)</f>
        <v>46300</v>
      </c>
      <c r="B38" s="2" t="str">
        <f>IFERROR(__xludf.DUMMYFUNCTION("""COMPUTED_VALUE"""),"TRSF E-BANKING DB")</f>
        <v>TRSF E-BANKING DB</v>
      </c>
      <c r="C38" s="2" t="str">
        <f>IFERROR(__xludf.DUMMYFUNCTION("""COMPUTED_VALUE"""),"0510/FTSCY/WS95271 89000000.00 pelunasan BINTANG TAMA SANTO 89000000.00 pelunasan BINTANG TAMA SANTO")</f>
        <v>0510/FTSCY/WS95271 89000000.00 pelunasan BINTANG TAMA SANTO 89000000.00 pelunasan BINTANG TAMA SANTO</v>
      </c>
      <c r="D38" s="2">
        <f>IFERROR(__xludf.DUMMYFUNCTION("""COMPUTED_VALUE"""),8.9E7)</f>
        <v>89000000</v>
      </c>
      <c r="E38" s="2"/>
      <c r="F38" s="2" t="str">
        <f>IFERROR(__xludf.DUMMYFUNCTION("""COMPUTED_VALUE"""),"DB")</f>
        <v>DB</v>
      </c>
      <c r="G38" s="2">
        <f>IFERROR(__xludf.DUMMYFUNCTION("""COMPUTED_VALUE"""),2334683.0900000334)</f>
        <v>2334683.09</v>
      </c>
      <c r="H38" s="2">
        <f>IFERROR(__xludf.DUMMYFUNCTION("""COMPUTED_VALUE"""),2334683.09)</f>
        <v>2334683.09</v>
      </c>
      <c r="I38" s="2"/>
    </row>
    <row r="39">
      <c r="A39" s="7">
        <f>IFERROR(__xludf.DUMMYFUNCTION("""COMPUTED_VALUE"""),46300.0)</f>
        <v>46300</v>
      </c>
      <c r="B39" s="2" t="str">
        <f>IFERROR(__xludf.DUMMYFUNCTION("""COMPUTED_VALUE"""),"TRSF E-BANKING DB")</f>
        <v>TRSF E-BANKING DB</v>
      </c>
      <c r="C39" s="2" t="str">
        <f>IFERROR(__xludf.DUMMYFUNCTION("""COMPUTED_VALUE"""),"0510/FTSCY/WS95271 2223720.00 krg 5.5 jt FAJAR ANDREANZAH 2223720.00 krg 5.5 jt FAJAR ANDREANZAH")</f>
        <v>0510/FTSCY/WS95271 2223720.00 krg 5.5 jt FAJAR ANDREANZAH 2223720.00 krg 5.5 jt FAJAR ANDREANZAH</v>
      </c>
      <c r="D39" s="2">
        <f>IFERROR(__xludf.DUMMYFUNCTION("""COMPUTED_VALUE"""),2223720.0)</f>
        <v>2223720</v>
      </c>
      <c r="E39" s="2"/>
      <c r="F39" s="2" t="str">
        <f>IFERROR(__xludf.DUMMYFUNCTION("""COMPUTED_VALUE"""),"DB")</f>
        <v>DB</v>
      </c>
      <c r="G39" s="2">
        <f>IFERROR(__xludf.DUMMYFUNCTION("""COMPUTED_VALUE"""),110963.09000003338)</f>
        <v>110963.09</v>
      </c>
      <c r="H39" s="2"/>
      <c r="I39" s="2"/>
    </row>
    <row r="40">
      <c r="A40" s="7">
        <f>IFERROR(__xludf.DUMMYFUNCTION("""COMPUTED_VALUE"""),46300.0)</f>
        <v>46300</v>
      </c>
      <c r="B40" s="2" t="str">
        <f>IFERROR(__xludf.DUMMYFUNCTION("""COMPUTED_VALUE"""),"TRSF E-BANKING DB")</f>
        <v>TRSF E-BANKING DB</v>
      </c>
      <c r="C40" s="2" t="str">
        <f>IFERROR(__xludf.DUMMYFUNCTION("""COMPUTED_VALUE"""),"0510/FTSCY/WS95271 69844000.00 Fri Oct 02 2026 14:00:00 GMT+0700 (Western Indonesia Time) BINTANG TAMA SANTO 69844000.00 Fri Oct 02 2026 14:00:00 GMT+0700 (Western Indonesia Time) BINTANG TAMA SANTO")</f>
        <v>0510/FTSCY/WS95271 69844000.00 Fri Oct 02 2026 14:00:00 GMT+0700 (Western Indonesia Time) BINTANG TAMA SANTO 69844000.00 Fri Oct 02 2026 14:00:00 GMT+0700 (Western Indonesia Time) BINTANG TAMA SANTO</v>
      </c>
      <c r="D40" s="2">
        <f>IFERROR(__xludf.DUMMYFUNCTION("""COMPUTED_VALUE"""),6.9844E7)</f>
        <v>69844000</v>
      </c>
      <c r="E40" s="2"/>
      <c r="F40" s="2" t="str">
        <f>IFERROR(__xludf.DUMMYFUNCTION("""COMPUTED_VALUE"""),"DB")</f>
        <v>DB</v>
      </c>
      <c r="G40" s="2">
        <f>IFERROR(__xludf.DUMMYFUNCTION("""COMPUTED_VALUE"""),1.9324338309000003E8)</f>
        <v>193243383.1</v>
      </c>
      <c r="H40" s="2"/>
      <c r="I40" s="2"/>
    </row>
    <row r="41">
      <c r="A41" s="7">
        <f>IFERROR(__xludf.DUMMYFUNCTION("""COMPUTED_VALUE"""),46300.0)</f>
        <v>46300</v>
      </c>
      <c r="B41" s="2" t="str">
        <f>IFERROR(__xludf.DUMMYFUNCTION("""COMPUTED_VALUE"""),"TRSF E-BANKING DB")</f>
        <v>TRSF E-BANKING DB</v>
      </c>
      <c r="C41" s="2" t="str">
        <f>IFERROR(__xludf.DUMMYFUNCTION("""COMPUTED_VALUE"""),"0510/FTSCY/WS95011 127814900.00 Sat Oct 03 2026 14:00:00 GMT+0700 (Western Indonesia Time) SUPER UNGGAS JAYA 127814900.00 Sat Oct 03 2026 14:00:00 GMT+0700 (Western Indonesia Time) SUPER UNGGAS JAYA")</f>
        <v>0510/FTSCY/WS95011 127814900.00 Sat Oct 03 2026 14:00:00 GMT+0700 (Western Indonesia Time) SUPER UNGGAS JAYA 127814900.00 Sat Oct 03 2026 14:00:00 GMT+0700 (Western Indonesia Time) SUPER UNGGAS JAYA</v>
      </c>
      <c r="D41" s="2">
        <f>IFERROR(__xludf.DUMMYFUNCTION("""COMPUTED_VALUE"""),1.278149E8)</f>
        <v>127814900</v>
      </c>
      <c r="E41" s="2"/>
      <c r="F41" s="2" t="str">
        <f>IFERROR(__xludf.DUMMYFUNCTION("""COMPUTED_VALUE"""),"DB")</f>
        <v>DB</v>
      </c>
      <c r="G41" s="2">
        <f>IFERROR(__xludf.DUMMYFUNCTION("""COMPUTED_VALUE"""),6.542848309000003E7)</f>
        <v>65428483.09</v>
      </c>
      <c r="H41" s="2"/>
      <c r="I41" s="2"/>
    </row>
    <row r="42">
      <c r="A42" s="7">
        <f>IFERROR(__xludf.DUMMYFUNCTION("""COMPUTED_VALUE"""),46300.0)</f>
        <v>46300</v>
      </c>
      <c r="B42" s="2" t="str">
        <f>IFERROR(__xludf.DUMMYFUNCTION("""COMPUTED_VALUE"""),"TRSF E-BANKING DB")</f>
        <v>TRSF E-BANKING DB</v>
      </c>
      <c r="C42" s="2" t="str">
        <f>IFERROR(__xludf.DUMMYFUNCTION("""COMPUTED_VALUE"""),"0510/FTSCY/WS95011 64640000.00 Sat Oct 03 2026 14:00:00 GMT+0700 (Western Indonesia Time) LAJU SATWA WISESA 64640000.00 Sat Oct 03 2026 14:00:00 GMT+0700 (Western Indonesia Time) LAJU SATWA WISESA")</f>
        <v>0510/FTSCY/WS95011 64640000.00 Sat Oct 03 2026 14:00:00 GMT+0700 (Western Indonesia Time) LAJU SATWA WISESA 64640000.00 Sat Oct 03 2026 14:00:00 GMT+0700 (Western Indonesia Time) LAJU SATWA WISESA</v>
      </c>
      <c r="D42" s="2">
        <f>IFERROR(__xludf.DUMMYFUNCTION("""COMPUTED_VALUE"""),6.464E7)</f>
        <v>64640000</v>
      </c>
      <c r="E42" s="2"/>
      <c r="F42" s="2" t="str">
        <f>IFERROR(__xludf.DUMMYFUNCTION("""COMPUTED_VALUE"""),"DB")</f>
        <v>DB</v>
      </c>
      <c r="G42" s="2">
        <f>IFERROR(__xludf.DUMMYFUNCTION("""COMPUTED_VALUE"""),788483.0900000334)</f>
        <v>788483.09</v>
      </c>
      <c r="H42" s="2"/>
      <c r="I42" s="2"/>
    </row>
    <row r="43">
      <c r="A43" s="7">
        <f>IFERROR(__xludf.DUMMYFUNCTION("""COMPUTED_VALUE"""),46300.0)</f>
        <v>46300</v>
      </c>
      <c r="B43" s="2" t="str">
        <f>IFERROR(__xludf.DUMMYFUNCTION("""COMPUTED_VALUE"""),"TRSF E-BANKING DB")</f>
        <v>TRSF E-BANKING DB</v>
      </c>
      <c r="C43" s="2" t="str">
        <f>IFERROR(__xludf.DUMMYFUNCTION("""COMPUTED_VALUE"""),"0510/FTSCY/WS95031 6000000.00 pelunasan BINTANG TAMA SANTO 6000000.00 pelunasan BINTANG TAMA SANTO")</f>
        <v>0510/FTSCY/WS95031 6000000.00 pelunasan BINTANG TAMA SANTO 6000000.00 pelunasan BINTANG TAMA SANTO</v>
      </c>
      <c r="D43" s="2">
        <f>IFERROR(__xludf.DUMMYFUNCTION("""COMPUTED_VALUE"""),6000000.0)</f>
        <v>6000000</v>
      </c>
      <c r="E43" s="2"/>
      <c r="F43" s="2" t="str">
        <f>IFERROR(__xludf.DUMMYFUNCTION("""COMPUTED_VALUE"""),"DB")</f>
        <v>DB</v>
      </c>
      <c r="G43" s="2">
        <f>IFERROR(__xludf.DUMMYFUNCTION("""COMPUTED_VALUE"""),1.7088483090000033E7)</f>
        <v>17088483.09</v>
      </c>
      <c r="H43" s="2"/>
      <c r="I43" s="2"/>
    </row>
    <row r="44">
      <c r="A44" s="7">
        <f>IFERROR(__xludf.DUMMYFUNCTION("""COMPUTED_VALUE"""),46300.0)</f>
        <v>46300</v>
      </c>
      <c r="B44" s="2" t="str">
        <f>IFERROR(__xludf.DUMMYFUNCTION("""COMPUTED_VALUE"""),"TRSF E-BANKING DB")</f>
        <v>TRSF E-BANKING DB</v>
      </c>
      <c r="C44" s="2" t="str">
        <f>IFERROR(__xludf.DUMMYFUNCTION("""COMPUTED_VALUE"""),"0510/FTSCY/WS95031 1200000.00 bon 700 rb MAQNUL DAHLIAANA F 1200000.00 bon 700 rb MAQNUL DAHLIAANA F")</f>
        <v>0510/FTSCY/WS95031 1200000.00 bon 700 rb MAQNUL DAHLIAANA F 1200000.00 bon 700 rb MAQNUL DAHLIAANA F</v>
      </c>
      <c r="D44" s="2">
        <f>IFERROR(__xludf.DUMMYFUNCTION("""COMPUTED_VALUE"""),1200000.0)</f>
        <v>1200000</v>
      </c>
      <c r="E44" s="2"/>
      <c r="F44" s="2" t="str">
        <f>IFERROR(__xludf.DUMMYFUNCTION("""COMPUTED_VALUE"""),"DB")</f>
        <v>DB</v>
      </c>
      <c r="G44" s="2">
        <f>IFERROR(__xludf.DUMMYFUNCTION("""COMPUTED_VALUE"""),6.494924309000003E7)</f>
        <v>64949243.09</v>
      </c>
      <c r="H44" s="2">
        <f>IFERROR(__xludf.DUMMYFUNCTION("""COMPUTED_VALUE"""),6.494924309E7)</f>
        <v>64949243.09</v>
      </c>
      <c r="I44" s="2"/>
    </row>
    <row r="45">
      <c r="A45" s="7">
        <f>IFERROR(__xludf.DUMMYFUNCTION("""COMPUTED_VALUE"""),46300.0)</f>
        <v>46300</v>
      </c>
      <c r="B45" s="2" t="str">
        <f>IFERROR(__xludf.DUMMYFUNCTION("""COMPUTED_VALUE"""),"TRSF E-BANKING DB")</f>
        <v>TRSF E-BANKING DB</v>
      </c>
      <c r="C45" s="2" t="str">
        <f>IFERROR(__xludf.DUMMYFUNCTION("""COMPUTED_VALUE"""),"0510/FTSCY/WS95031 10000000.00 krg 80 jt EKO SETIYAWAN 10000000.00 krg 80 jt EKO SETIYAWAN")</f>
        <v>0510/FTSCY/WS95031 10000000.00 krg 80 jt EKO SETIYAWAN 10000000.00 krg 80 jt EKO SETIYAWAN</v>
      </c>
      <c r="D45" s="2">
        <f>IFERROR(__xludf.DUMMYFUNCTION("""COMPUTED_VALUE"""),1.0E7)</f>
        <v>10000000</v>
      </c>
      <c r="E45" s="2"/>
      <c r="F45" s="2" t="str">
        <f>IFERROR(__xludf.DUMMYFUNCTION("""COMPUTED_VALUE"""),"DB")</f>
        <v>DB</v>
      </c>
      <c r="G45" s="2">
        <f>IFERROR(__xludf.DUMMYFUNCTION("""COMPUTED_VALUE"""),5.494924309000003E7)</f>
        <v>54949243.09</v>
      </c>
      <c r="H45" s="2">
        <f>IFERROR(__xludf.DUMMYFUNCTION("""COMPUTED_VALUE"""),5.494924309E7)</f>
        <v>54949243.09</v>
      </c>
      <c r="I45" s="2"/>
    </row>
    <row r="46">
      <c r="A46" s="7">
        <f>IFERROR(__xludf.DUMMYFUNCTION("""COMPUTED_VALUE"""),46300.0)</f>
        <v>46300</v>
      </c>
      <c r="B46" s="2" t="str">
        <f>IFERROR(__xludf.DUMMYFUNCTION("""COMPUTED_VALUE"""),"TRSF E-BANKING DB")</f>
        <v>TRSF E-BANKING DB</v>
      </c>
      <c r="C46" s="2" t="str">
        <f>IFERROR(__xludf.DUMMYFUNCTION("""COMPUTED_VALUE"""),"0510/FTFVA/WS95031 55569/PT PRIMA FAJ mlg - 40190 55569/PT PRIMA FAJ mlg - 40190")</f>
        <v>0510/FTFVA/WS95031 55569/PT PRIMA FAJ mlg - 40190 55569/PT PRIMA FAJ mlg - 40190</v>
      </c>
      <c r="D46" s="2">
        <f>IFERROR(__xludf.DUMMYFUNCTION("""COMPUTED_VALUE"""),7.030656E7)</f>
        <v>70306560</v>
      </c>
      <c r="E46" s="2"/>
      <c r="F46" s="2" t="str">
        <f>IFERROR(__xludf.DUMMYFUNCTION("""COMPUTED_VALUE"""),"DB")</f>
        <v>DB</v>
      </c>
      <c r="G46" s="2">
        <f>IFERROR(__xludf.DUMMYFUNCTION("""COMPUTED_VALUE"""),8.464268309000003E7)</f>
        <v>84642683.09</v>
      </c>
      <c r="H46" s="2"/>
      <c r="I46" s="2"/>
    </row>
    <row r="47">
      <c r="A47" s="7">
        <f>IFERROR(__xludf.DUMMYFUNCTION("""COMPUTED_VALUE"""),46300.0)</f>
        <v>46300</v>
      </c>
      <c r="B47" s="2" t="str">
        <f>IFERROR(__xludf.DUMMYFUNCTION("""COMPUTED_VALUE"""),"TRSF E-BANKING DB")</f>
        <v>TRSF E-BANKING DB</v>
      </c>
      <c r="C47" s="2" t="str">
        <f>IFERROR(__xludf.DUMMYFUNCTION("""COMPUTED_VALUE"""),"0510/FTSCY/WS95271 66031800.00 Sat Oct 03 2026 14:00:00 GMT+0700 (Western Indonesia Time) LAJU SATWA WISESA 66031800.00 Sat Oct 03 2026 14:00:00 GMT+0700 (Western Indonesia Time) LAJU SATWA WISESA")</f>
        <v>0510/FTSCY/WS95271 66031800.00 Sat Oct 03 2026 14:00:00 GMT+0700 (Western Indonesia Time) LAJU SATWA WISESA 66031800.00 Sat Oct 03 2026 14:00:00 GMT+0700 (Western Indonesia Time) LAJU SATWA WISESA</v>
      </c>
      <c r="D47" s="2">
        <f>IFERROR(__xludf.DUMMYFUNCTION("""COMPUTED_VALUE"""),6.60318E7)</f>
        <v>66031800</v>
      </c>
      <c r="E47" s="2"/>
      <c r="F47" s="2" t="str">
        <f>IFERROR(__xludf.DUMMYFUNCTION("""COMPUTED_VALUE"""),"DB")</f>
        <v>DB</v>
      </c>
      <c r="G47" s="2">
        <f>IFERROR(__xludf.DUMMYFUNCTION("""COMPUTED_VALUE"""),1.8610883090000033E7)</f>
        <v>18610883.09</v>
      </c>
      <c r="H47" s="2"/>
      <c r="I47" s="2"/>
    </row>
    <row r="48">
      <c r="A48" s="7">
        <f>IFERROR(__xludf.DUMMYFUNCTION("""COMPUTED_VALUE"""),46300.0)</f>
        <v>46300</v>
      </c>
      <c r="B48" s="2" t="str">
        <f>IFERROR(__xludf.DUMMYFUNCTION("""COMPUTED_VALUE"""),"TRSF E-BANKING DB")</f>
        <v>TRSF E-BANKING DB</v>
      </c>
      <c r="C48" s="2" t="str">
        <f>IFERROR(__xludf.DUMMYFUNCTION("""COMPUTED_VALUE"""),"0510/FTSCY/WS95271 1800000.00 BELA PRAMUDITA 1800000.00 BELA PRAMUDITA")</f>
        <v>0510/FTSCY/WS95271 1800000.00 BELA PRAMUDITA 1800000.00 BELA PRAMUDITA</v>
      </c>
      <c r="D48" s="2">
        <f>IFERROR(__xludf.DUMMYFUNCTION("""COMPUTED_VALUE"""),1800000.0)</f>
        <v>1800000</v>
      </c>
      <c r="E48" s="2"/>
      <c r="F48" s="2" t="str">
        <f>IFERROR(__xludf.DUMMYFUNCTION("""COMPUTED_VALUE"""),"DB")</f>
        <v>DB</v>
      </c>
      <c r="G48" s="2">
        <f>IFERROR(__xludf.DUMMYFUNCTION("""COMPUTED_VALUE"""),1.6810883090000033E7)</f>
        <v>16810883.09</v>
      </c>
      <c r="H48" s="2"/>
      <c r="I48" s="2"/>
    </row>
    <row r="49">
      <c r="A49" s="7">
        <f>IFERROR(__xludf.DUMMYFUNCTION("""COMPUTED_VALUE"""),46300.0)</f>
        <v>46300</v>
      </c>
      <c r="B49" s="2" t="str">
        <f>IFERROR(__xludf.DUMMYFUNCTION("""COMPUTED_VALUE"""),"TRSF E-BANKING DB")</f>
        <v>TRSF E-BANKING DB</v>
      </c>
      <c r="C49" s="2" t="str">
        <f>IFERROR(__xludf.DUMMYFUNCTION("""COMPUTED_VALUE"""),"0510/FTSCY/WS95271 1300000.00 DWI HERMANSYAH 1300000.00 DWI HERMANSYAH")</f>
        <v>0510/FTSCY/WS95271 1300000.00 DWI HERMANSYAH 1300000.00 DWI HERMANSYAH</v>
      </c>
      <c r="D49" s="2">
        <f>IFERROR(__xludf.DUMMYFUNCTION("""COMPUTED_VALUE"""),1300000.0)</f>
        <v>1300000</v>
      </c>
      <c r="E49" s="2"/>
      <c r="F49" s="2" t="str">
        <f>IFERROR(__xludf.DUMMYFUNCTION("""COMPUTED_VALUE"""),"DB")</f>
        <v>DB</v>
      </c>
      <c r="G49" s="2">
        <f>IFERROR(__xludf.DUMMYFUNCTION("""COMPUTED_VALUE"""),1.5510883090000033E7)</f>
        <v>15510883.09</v>
      </c>
      <c r="H49" s="2"/>
      <c r="I49" s="2"/>
    </row>
    <row r="50">
      <c r="A50" s="7">
        <f>IFERROR(__xludf.DUMMYFUNCTION("""COMPUTED_VALUE"""),46300.0)</f>
        <v>46300</v>
      </c>
      <c r="B50" s="2" t="str">
        <f>IFERROR(__xludf.DUMMYFUNCTION("""COMPUTED_VALUE"""),"TRSF E-BANKING DB")</f>
        <v>TRSF E-BANKING DB</v>
      </c>
      <c r="C50" s="2" t="str">
        <f>IFERROR(__xludf.DUMMYFUNCTION("""COMPUTED_VALUE"""),"0510/FTSCY/WS95271 2480000.00 krg 3 jt FAJAR ANDREANZAH 2480000.00 krg 3 jt FAJAR ANDREANZAH")</f>
        <v>0510/FTSCY/WS95271 2480000.00 krg 3 jt FAJAR ANDREANZAH 2480000.00 krg 3 jt FAJAR ANDREANZAH</v>
      </c>
      <c r="D50" s="2">
        <f>IFERROR(__xludf.DUMMYFUNCTION("""COMPUTED_VALUE"""),2480000.0)</f>
        <v>2480000</v>
      </c>
      <c r="E50" s="2"/>
      <c r="F50" s="2" t="str">
        <f>IFERROR(__xludf.DUMMYFUNCTION("""COMPUTED_VALUE"""),"DB")</f>
        <v>DB</v>
      </c>
      <c r="G50" s="2">
        <f>IFERROR(__xludf.DUMMYFUNCTION("""COMPUTED_VALUE"""),1.3030883090000033E7)</f>
        <v>13030883.09</v>
      </c>
      <c r="H50" s="2"/>
      <c r="I50" s="2"/>
    </row>
    <row r="51">
      <c r="A51" s="7">
        <f>IFERROR(__xludf.DUMMYFUNCTION("""COMPUTED_VALUE"""),46300.0)</f>
        <v>46300</v>
      </c>
      <c r="B51" s="2" t="str">
        <f>IFERROR(__xludf.DUMMYFUNCTION("""COMPUTED_VALUE"""),"TRSF E-BANKING DB")</f>
        <v>TRSF E-BANKING DB</v>
      </c>
      <c r="C51" s="2" t="str">
        <f>IFERROR(__xludf.DUMMYFUNCTION("""COMPUTED_VALUE"""),"0510/FTSCY/WS95271 3100000.00 MUJIANTO 3100000.00 MUJIANTO")</f>
        <v>0510/FTSCY/WS95271 3100000.00 MUJIANTO 3100000.00 MUJIANTO</v>
      </c>
      <c r="D51" s="2">
        <f>IFERROR(__xludf.DUMMYFUNCTION("""COMPUTED_VALUE"""),3100000.0)</f>
        <v>3100000</v>
      </c>
      <c r="E51" s="2"/>
      <c r="F51" s="2" t="str">
        <f>IFERROR(__xludf.DUMMYFUNCTION("""COMPUTED_VALUE"""),"DB")</f>
        <v>DB</v>
      </c>
      <c r="G51" s="2">
        <f>IFERROR(__xludf.DUMMYFUNCTION("""COMPUTED_VALUE"""),9930883.090000033)</f>
        <v>9930883.09</v>
      </c>
      <c r="H51" s="2"/>
      <c r="I51" s="2"/>
    </row>
    <row r="52">
      <c r="A52" s="7">
        <f>IFERROR(__xludf.DUMMYFUNCTION("""COMPUTED_VALUE"""),46300.0)</f>
        <v>46300</v>
      </c>
      <c r="B52" s="2" t="str">
        <f>IFERROR(__xludf.DUMMYFUNCTION("""COMPUTED_VALUE"""),"TRSF E-BANKING DB")</f>
        <v>TRSF E-BANKING DB</v>
      </c>
      <c r="C52" s="2" t="str">
        <f>IFERROR(__xludf.DUMMYFUNCTION("""COMPUTED_VALUE"""),"0510/FTSCY/WS95271 1901460.00 SUNARTO 1901460.00 SUNARTO")</f>
        <v>0510/FTSCY/WS95271 1901460.00 SUNARTO 1901460.00 SUNARTO</v>
      </c>
      <c r="D52" s="2">
        <f>IFERROR(__xludf.DUMMYFUNCTION("""COMPUTED_VALUE"""),1901460.0)</f>
        <v>1901460</v>
      </c>
      <c r="E52" s="2"/>
      <c r="F52" s="2" t="str">
        <f>IFERROR(__xludf.DUMMYFUNCTION("""COMPUTED_VALUE"""),"DB")</f>
        <v>DB</v>
      </c>
      <c r="G52" s="2">
        <f>IFERROR(__xludf.DUMMYFUNCTION("""COMPUTED_VALUE"""),8029423.090000033)</f>
        <v>8029423.09</v>
      </c>
      <c r="H52" s="2"/>
      <c r="I52" s="2"/>
    </row>
    <row r="53">
      <c r="A53" s="7">
        <f>IFERROR(__xludf.DUMMYFUNCTION("""COMPUTED_VALUE"""),46300.0)</f>
        <v>46300</v>
      </c>
      <c r="B53" s="2" t="str">
        <f>IFERROR(__xludf.DUMMYFUNCTION("""COMPUTED_VALUE"""),"TRSF E-BANKING DB")</f>
        <v>TRSF E-BANKING DB</v>
      </c>
      <c r="C53" s="2" t="str">
        <f>IFERROR(__xludf.DUMMYFUNCTION("""COMPUTED_VALUE"""),"0510/FTSCY/WS95271 2936000.00 HERMAWAN 2936000.00 HERMAWAN")</f>
        <v>0510/FTSCY/WS95271 2936000.00 HERMAWAN 2936000.00 HERMAWAN</v>
      </c>
      <c r="D53" s="2">
        <f>IFERROR(__xludf.DUMMYFUNCTION("""COMPUTED_VALUE"""),2936000.0)</f>
        <v>2936000</v>
      </c>
      <c r="E53" s="2"/>
      <c r="F53" s="2" t="str">
        <f>IFERROR(__xludf.DUMMYFUNCTION("""COMPUTED_VALUE"""),"DB")</f>
        <v>DB</v>
      </c>
      <c r="G53" s="2">
        <f>IFERROR(__xludf.DUMMYFUNCTION("""COMPUTED_VALUE"""),5093423.090000033)</f>
        <v>5093423.09</v>
      </c>
      <c r="H53" s="2">
        <f>IFERROR(__xludf.DUMMYFUNCTION("""COMPUTED_VALUE"""),5093423.09)</f>
        <v>5093423.09</v>
      </c>
      <c r="I53" s="2"/>
    </row>
    <row r="54">
      <c r="A54" s="7">
        <f>IFERROR(__xludf.DUMMYFUNCTION("""COMPUTED_VALUE"""),46301.0)</f>
        <v>46301</v>
      </c>
      <c r="B54" s="2" t="str">
        <f>IFERROR(__xludf.DUMMYFUNCTION("""COMPUTED_VALUE"""),"TRSF E-BANKING DB")</f>
        <v>TRSF E-BANKING DB</v>
      </c>
      <c r="C54" s="2" t="str">
        <f>IFERROR(__xludf.DUMMYFUNCTION("""COMPUTED_VALUE"""),"0610/FTSCY/WS95011 54764000.00 Sat Oct 03 2026 14:00:00 GMT+0700 (Western Indonesia Time) ANDALAN YASA MITRA 54764000.00 Sat Oct 03 2026 14:00:00 GMT+0700 (Western Indonesia Time) ANDALAN YASA MITRA")</f>
        <v>0610/FTSCY/WS95011 54764000.00 Sat Oct 03 2026 14:00:00 GMT+0700 (Western Indonesia Time) ANDALAN YASA MITRA 54764000.00 Sat Oct 03 2026 14:00:00 GMT+0700 (Western Indonesia Time) ANDALAN YASA MITRA</v>
      </c>
      <c r="D54" s="2">
        <f>IFERROR(__xludf.DUMMYFUNCTION("""COMPUTED_VALUE"""),5.4764E7)</f>
        <v>54764000</v>
      </c>
      <c r="E54" s="2"/>
      <c r="F54" s="2" t="str">
        <f>IFERROR(__xludf.DUMMYFUNCTION("""COMPUTED_VALUE"""),"DB")</f>
        <v>DB</v>
      </c>
      <c r="G54" s="2">
        <f>IFERROR(__xludf.DUMMYFUNCTION("""COMPUTED_VALUE"""),2.5966392309000003E8)</f>
        <v>259663923.1</v>
      </c>
      <c r="H54" s="2"/>
      <c r="I54" s="2"/>
    </row>
    <row r="55">
      <c r="A55" s="7">
        <f>IFERROR(__xludf.DUMMYFUNCTION("""COMPUTED_VALUE"""),46301.0)</f>
        <v>46301</v>
      </c>
      <c r="B55" s="2" t="str">
        <f>IFERROR(__xludf.DUMMYFUNCTION("""COMPUTED_VALUE"""),"TRSF E-BANKING DB")</f>
        <v>TRSF E-BANKING DB</v>
      </c>
      <c r="C55" s="2" t="str">
        <f>IFERROR(__xludf.DUMMYFUNCTION("""COMPUTED_VALUE"""),"0610/FTSCY/WS95011 150029250.00 Sat Oct 03 2026 14:00:00 GMT+0700 (Western Indonesia Time) BROILER MAKMUR TAN 150029250.00 Sat Oct 03 2026 14:00:00 GMT+0700 (Western Indonesia Time) BROILER MAKMUR TAN")</f>
        <v>0610/FTSCY/WS95011 150029250.00 Sat Oct 03 2026 14:00:00 GMT+0700 (Western Indonesia Time) BROILER MAKMUR TAN 150029250.00 Sat Oct 03 2026 14:00:00 GMT+0700 (Western Indonesia Time) BROILER MAKMUR TAN</v>
      </c>
      <c r="D55" s="2">
        <f>IFERROR(__xludf.DUMMYFUNCTION("""COMPUTED_VALUE"""),1.5002925E8)</f>
        <v>150029250</v>
      </c>
      <c r="E55" s="2"/>
      <c r="F55" s="2" t="str">
        <f>IFERROR(__xludf.DUMMYFUNCTION("""COMPUTED_VALUE"""),"DB")</f>
        <v>DB</v>
      </c>
      <c r="G55" s="2">
        <f>IFERROR(__xludf.DUMMYFUNCTION("""COMPUTED_VALUE"""),1.0963467309000003E8)</f>
        <v>109634673.1</v>
      </c>
      <c r="H55" s="2"/>
      <c r="I55" s="2"/>
    </row>
    <row r="56">
      <c r="A56" s="7">
        <f>IFERROR(__xludf.DUMMYFUNCTION("""COMPUTED_VALUE"""),46301.0)</f>
        <v>46301</v>
      </c>
      <c r="B56" s="2" t="str">
        <f>IFERROR(__xludf.DUMMYFUNCTION("""COMPUTED_VALUE"""),"TRSF E-BANKING DB")</f>
        <v>TRSF E-BANKING DB</v>
      </c>
      <c r="C56" s="2" t="str">
        <f>IFERROR(__xludf.DUMMYFUNCTION("""COMPUTED_VALUE"""),"0610/FTSCY/WS95011 108420780.00 Sun Oct 04 2026 14:00:00 GMT+0700 (Western Indonesia Time) RUKUN MITRA BERSAM 108420780.00 Sun Oct 04 2026 14:00:00 GMT+0700 (Western Indonesia Time) RUKUN MITRA BERSAM")</f>
        <v>0610/FTSCY/WS95011 108420780.00 Sun Oct 04 2026 14:00:00 GMT+0700 (Western Indonesia Time) RUKUN MITRA BERSAM 108420780.00 Sun Oct 04 2026 14:00:00 GMT+0700 (Western Indonesia Time) RUKUN MITRA BERSAM</v>
      </c>
      <c r="D56" s="2">
        <f>IFERROR(__xludf.DUMMYFUNCTION("""COMPUTED_VALUE"""),1.0842078E8)</f>
        <v>108420780</v>
      </c>
      <c r="E56" s="2"/>
      <c r="F56" s="2" t="str">
        <f>IFERROR(__xludf.DUMMYFUNCTION("""COMPUTED_VALUE"""),"DB")</f>
        <v>DB</v>
      </c>
      <c r="G56" s="2">
        <f>IFERROR(__xludf.DUMMYFUNCTION("""COMPUTED_VALUE"""),1213893.0900000334)</f>
        <v>1213893.09</v>
      </c>
      <c r="H56" s="2">
        <f>IFERROR(__xludf.DUMMYFUNCTION("""COMPUTED_VALUE"""),1213893.09)</f>
        <v>1213893.09</v>
      </c>
      <c r="I56" s="2"/>
    </row>
    <row r="57">
      <c r="A57" s="7">
        <f>IFERROR(__xludf.DUMMYFUNCTION("""COMPUTED_VALUE"""),46301.0)</f>
        <v>46301</v>
      </c>
      <c r="B57" s="2" t="str">
        <f>IFERROR(__xludf.DUMMYFUNCTION("""COMPUTED_VALUE"""),"BYR VIA E-BANKING")</f>
        <v>BYR VIA E-BANKING</v>
      </c>
      <c r="C57" s="2" t="str">
        <f>IFERROR(__xludf.DUMMYFUNCTION("""COMPUTED_VALUE"""),"06/10  WSID9503100 1220 TELKOMSEL 82318368518 MUHAMMAD HAIRUL MA 1220 TELKOMSEL 82318368518 MUHAMMAD HAIRUL MA")</f>
        <v>06/10  WSID9503100 1220 TELKOMSEL 82318368518 MUHAMMAD HAIRUL MA 1220 TELKOMSEL 82318368518 MUHAMMAD HAIRUL MA</v>
      </c>
      <c r="D57" s="2">
        <f>IFERROR(__xludf.DUMMYFUNCTION("""COMPUTED_VALUE"""),102000.0)</f>
        <v>102000</v>
      </c>
      <c r="E57" s="2"/>
      <c r="F57" s="2"/>
      <c r="G57" s="2">
        <f>IFERROR(__xludf.DUMMYFUNCTION("""COMPUTED_VALUE"""),1.9037289309000003E8)</f>
        <v>190372893.1</v>
      </c>
      <c r="H57" s="2"/>
      <c r="I57" s="2"/>
    </row>
    <row r="58">
      <c r="A58" s="7">
        <f>IFERROR(__xludf.DUMMYFUNCTION("""COMPUTED_VALUE"""),46301.0)</f>
        <v>46301</v>
      </c>
      <c r="B58" s="2" t="str">
        <f>IFERROR(__xludf.DUMMYFUNCTION("""COMPUTED_VALUE"""),"TRSF E-BANKING DB")</f>
        <v>TRSF E-BANKING DB</v>
      </c>
      <c r="C58" s="2" t="str">
        <f>IFERROR(__xludf.DUMMYFUNCTION("""COMPUTED_VALUE"""),"0610/FTSCY/WS95031 60982000.00 Mon Oct 05 2026 14:00:00 GMT+0700 (Western Indonesia Time) LAWU ABADI NUSA PT 60982000.00 Mon Oct 05 2026 14:00:00 GMT+0700 (Western Indonesia Time) LAWU ABADI NUSA PT")</f>
        <v>0610/FTSCY/WS95031 60982000.00 Mon Oct 05 2026 14:00:00 GMT+0700 (Western Indonesia Time) LAWU ABADI NUSA PT 60982000.00 Mon Oct 05 2026 14:00:00 GMT+0700 (Western Indonesia Time) LAWU ABADI NUSA PT</v>
      </c>
      <c r="D58" s="2">
        <f>IFERROR(__xludf.DUMMYFUNCTION("""COMPUTED_VALUE"""),6.0982E7)</f>
        <v>60982000</v>
      </c>
      <c r="E58" s="2"/>
      <c r="F58" s="2" t="str">
        <f>IFERROR(__xludf.DUMMYFUNCTION("""COMPUTED_VALUE"""),"DB")</f>
        <v>DB</v>
      </c>
      <c r="G58" s="2">
        <f>IFERROR(__xludf.DUMMYFUNCTION("""COMPUTED_VALUE"""),1.2939089309000003E8)</f>
        <v>129390893.1</v>
      </c>
      <c r="H58" s="2"/>
      <c r="I58" s="2"/>
    </row>
    <row r="59">
      <c r="A59" s="7">
        <f>IFERROR(__xludf.DUMMYFUNCTION("""COMPUTED_VALUE"""),46301.0)</f>
        <v>46301</v>
      </c>
      <c r="B59" s="2" t="str">
        <f>IFERROR(__xludf.DUMMYFUNCTION("""COMPUTED_VALUE"""),"TRSF E-BANKING DB")</f>
        <v>TRSF E-BANKING DB</v>
      </c>
      <c r="C59" s="2" t="str">
        <f>IFERROR(__xludf.DUMMYFUNCTION("""COMPUTED_VALUE"""),"0610/FTSCY/WS95271 300000.00 NATALIA DWIYANTI B 300000.00 NATALIA DWIYANTI B")</f>
        <v>0610/FTSCY/WS95271 300000.00 NATALIA DWIYANTI B 300000.00 NATALIA DWIYANTI B</v>
      </c>
      <c r="D59" s="2">
        <f>IFERROR(__xludf.DUMMYFUNCTION("""COMPUTED_VALUE"""),300000.0)</f>
        <v>300000</v>
      </c>
      <c r="E59" s="2"/>
      <c r="F59" s="2" t="str">
        <f>IFERROR(__xludf.DUMMYFUNCTION("""COMPUTED_VALUE"""),"DB")</f>
        <v>DB</v>
      </c>
      <c r="G59" s="2">
        <f>IFERROR(__xludf.DUMMYFUNCTION("""COMPUTED_VALUE"""),1.2909089309000003E8)</f>
        <v>129090893.1</v>
      </c>
      <c r="H59" s="2"/>
      <c r="I59" s="2"/>
    </row>
    <row r="60">
      <c r="A60" s="7">
        <f>IFERROR(__xludf.DUMMYFUNCTION("""COMPUTED_VALUE"""),46301.0)</f>
        <v>46301</v>
      </c>
      <c r="B60" s="2" t="str">
        <f>IFERROR(__xludf.DUMMYFUNCTION("""COMPUTED_VALUE"""),"TRSF E-BANKING DB")</f>
        <v>TRSF E-BANKING DB</v>
      </c>
      <c r="C60" s="2" t="str">
        <f>IFERROR(__xludf.DUMMYFUNCTION("""COMPUTED_VALUE"""),"0610/FTSCY/WS95031 15821470.00 EKO SETIYAWAN 15821470.00")</f>
        <v>0610/FTSCY/WS95031 15821470.00 EKO SETIYAWAN 15821470.00</v>
      </c>
      <c r="D60" s="2">
        <f>IFERROR(__xludf.DUMMYFUNCTION("""COMPUTED_VALUE"""),1.582147E7)</f>
        <v>15821470</v>
      </c>
      <c r="E60" s="2"/>
      <c r="F60" s="2" t="str">
        <f>IFERROR(__xludf.DUMMYFUNCTION("""COMPUTED_VALUE"""),"DB")</f>
        <v>DB</v>
      </c>
      <c r="G60" s="2">
        <f>IFERROR(__xludf.DUMMYFUNCTION("""COMPUTED_VALUE"""),4.6843709309000003E8)</f>
        <v>468437093.1</v>
      </c>
      <c r="H60" s="2"/>
      <c r="I60" s="2"/>
    </row>
    <row r="61">
      <c r="A61" s="7">
        <f>IFERROR(__xludf.DUMMYFUNCTION("""COMPUTED_VALUE"""),46301.0)</f>
        <v>46301</v>
      </c>
      <c r="B61" s="2" t="str">
        <f>IFERROR(__xludf.DUMMYFUNCTION("""COMPUTED_VALUE"""),"TRSF E-BANKING DB")</f>
        <v>TRSF E-BANKING DB</v>
      </c>
      <c r="C61" s="2" t="str">
        <f>IFERROR(__xludf.DUMMYFUNCTION("""COMPUTED_VALUE"""),"0610/FTSCY/WS95271 59661700.00 Fri Sep 04 2026 14:00:00 GMT+0700 (Western Indonesia Time) ANDALAN YASA MITRA")</f>
        <v>0610/FTSCY/WS95271 59661700.00 Fri Sep 04 2026 14:00:00 GMT+0700 (Western Indonesia Time) ANDALAN YASA MITRA</v>
      </c>
      <c r="D61" s="2">
        <f>IFERROR(__xludf.DUMMYFUNCTION("""COMPUTED_VALUE"""),5.96617E7)</f>
        <v>59661700</v>
      </c>
      <c r="E61" s="2"/>
      <c r="F61" s="2" t="str">
        <f>IFERROR(__xludf.DUMMYFUNCTION("""COMPUTED_VALUE"""),"DB")</f>
        <v>DB</v>
      </c>
      <c r="G61" s="2">
        <f>IFERROR(__xludf.DUMMYFUNCTION("""COMPUTED_VALUE"""),4.0877539309000003E8)</f>
        <v>408775393.1</v>
      </c>
      <c r="H61" s="2"/>
      <c r="I61" s="2"/>
    </row>
    <row r="62">
      <c r="A62" s="7">
        <f>IFERROR(__xludf.DUMMYFUNCTION("""COMPUTED_VALUE"""),46301.0)</f>
        <v>46301</v>
      </c>
      <c r="B62" s="2" t="str">
        <f>IFERROR(__xludf.DUMMYFUNCTION("""COMPUTED_VALUE"""),"TRSF E-BANKING DB")</f>
        <v>TRSF E-BANKING DB</v>
      </c>
      <c r="C62" s="2" t="str">
        <f>IFERROR(__xludf.DUMMYFUNCTION("""COMPUTED_VALUE"""),"0610/FTSCY/WS95271 128374900.00 Sun Oct 04 2026 14:00:00 GMT+0700 (Western Indonesia Time) ANDALAN YASA MITRA")</f>
        <v>0610/FTSCY/WS95271 128374900.00 Sun Oct 04 2026 14:00:00 GMT+0700 (Western Indonesia Time) ANDALAN YASA MITRA</v>
      </c>
      <c r="D62" s="2">
        <f>IFERROR(__xludf.DUMMYFUNCTION("""COMPUTED_VALUE"""),1.283749E8)</f>
        <v>128374900</v>
      </c>
      <c r="E62" s="2"/>
      <c r="F62" s="2" t="str">
        <f>IFERROR(__xludf.DUMMYFUNCTION("""COMPUTED_VALUE"""),"DB")</f>
        <v>DB</v>
      </c>
      <c r="G62" s="2">
        <f>IFERROR(__xludf.DUMMYFUNCTION("""COMPUTED_VALUE"""),2.8040049309000003E8)</f>
        <v>280400493.1</v>
      </c>
      <c r="H62" s="2"/>
      <c r="I62" s="2"/>
    </row>
    <row r="63">
      <c r="A63" s="7">
        <f>IFERROR(__xludf.DUMMYFUNCTION("""COMPUTED_VALUE"""),46301.0)</f>
        <v>46301</v>
      </c>
      <c r="B63" s="2" t="str">
        <f>IFERROR(__xludf.DUMMYFUNCTION("""COMPUTED_VALUE"""),"TRSF E-BANKING DB")</f>
        <v>TRSF E-BANKING DB</v>
      </c>
      <c r="C63" s="2" t="str">
        <f>IFERROR(__xludf.DUMMYFUNCTION("""COMPUTED_VALUE"""),"0610/FTSCY/WS95271 107606480.00 Sun Oct 04 2026 14:00:00 GMT+0700 (Western Indonesia Time) RUKUN MITRA BERSAM")</f>
        <v>0610/FTSCY/WS95271 107606480.00 Sun Oct 04 2026 14:00:00 GMT+0700 (Western Indonesia Time) RUKUN MITRA BERSAM</v>
      </c>
      <c r="D63" s="2">
        <f>IFERROR(__xludf.DUMMYFUNCTION("""COMPUTED_VALUE"""),1.0760648E8)</f>
        <v>107606480</v>
      </c>
      <c r="E63" s="2"/>
      <c r="F63" s="2" t="str">
        <f>IFERROR(__xludf.DUMMYFUNCTION("""COMPUTED_VALUE"""),"DB")</f>
        <v>DB</v>
      </c>
      <c r="G63" s="2">
        <f>IFERROR(__xludf.DUMMYFUNCTION("""COMPUTED_VALUE"""),4.2324635309000003E8)</f>
        <v>423246353.1</v>
      </c>
      <c r="H63" s="2">
        <f>IFERROR(__xludf.DUMMYFUNCTION("""COMPUTED_VALUE"""),4.2324635309E8)</f>
        <v>423246353.1</v>
      </c>
      <c r="I63" s="2"/>
    </row>
    <row r="64">
      <c r="A64" s="7">
        <f>IFERROR(__xludf.DUMMYFUNCTION("""COMPUTED_VALUE"""),46301.0)</f>
        <v>46301</v>
      </c>
      <c r="B64" s="2" t="str">
        <f>IFERROR(__xludf.DUMMYFUNCTION("""COMPUTED_VALUE"""),"TRSF E-BANKING DB")</f>
        <v>TRSF E-BANKING DB</v>
      </c>
      <c r="C64" s="2" t="str">
        <f>IFERROR(__xludf.DUMMYFUNCTION("""COMPUTED_VALUE"""),"0610/FTSCY/WS95031 10000000.00 pelunasan RUKUN MITRA BERSAM")</f>
        <v>0610/FTSCY/WS95031 10000000.00 pelunasan RUKUN MITRA BERSAM</v>
      </c>
      <c r="D64" s="2">
        <f>IFERROR(__xludf.DUMMYFUNCTION("""COMPUTED_VALUE"""),1.0E7)</f>
        <v>10000000</v>
      </c>
      <c r="E64" s="2"/>
      <c r="F64" s="2" t="str">
        <f>IFERROR(__xludf.DUMMYFUNCTION("""COMPUTED_VALUE"""),"DB")</f>
        <v>DB</v>
      </c>
      <c r="G64" s="2">
        <f>IFERROR(__xludf.DUMMYFUNCTION("""COMPUTED_VALUE"""),4.1324635309000003E8)</f>
        <v>413246353.1</v>
      </c>
      <c r="H64" s="2"/>
      <c r="I64" s="2"/>
    </row>
    <row r="65">
      <c r="A65" s="7">
        <f>IFERROR(__xludf.DUMMYFUNCTION("""COMPUTED_VALUE"""),46301.0)</f>
        <v>46301</v>
      </c>
      <c r="B65" s="2" t="str">
        <f>IFERROR(__xludf.DUMMYFUNCTION("""COMPUTED_VALUE"""),"TRSF E-BANKING DB")</f>
        <v>TRSF E-BANKING DB</v>
      </c>
      <c r="C65" s="2" t="str">
        <f>IFERROR(__xludf.DUMMYFUNCTION("""COMPUTED_VALUE"""),"0610/FTSCY/WS95011 186785700.00 Sun Oct 04 2026 14:00:00 GMT+0700 (Western Indonesia Time) SUPER UNGGAS JAYA")</f>
        <v>0610/FTSCY/WS95011 186785700.00 Sun Oct 04 2026 14:00:00 GMT+0700 (Western Indonesia Time) SUPER UNGGAS JAYA</v>
      </c>
      <c r="D65" s="2">
        <f>IFERROR(__xludf.DUMMYFUNCTION("""COMPUTED_VALUE"""),1.867857E8)</f>
        <v>186785700</v>
      </c>
      <c r="E65" s="2"/>
      <c r="F65" s="2" t="str">
        <f>IFERROR(__xludf.DUMMYFUNCTION("""COMPUTED_VALUE"""),"DB")</f>
        <v>DB</v>
      </c>
      <c r="G65" s="2">
        <f>IFERROR(__xludf.DUMMYFUNCTION("""COMPUTED_VALUE"""),2.2646065309000003E8)</f>
        <v>226460653.1</v>
      </c>
      <c r="H65" s="2">
        <f>IFERROR(__xludf.DUMMYFUNCTION("""COMPUTED_VALUE"""),2.2646065309E8)</f>
        <v>226460653.1</v>
      </c>
      <c r="I65" s="2"/>
    </row>
    <row r="66">
      <c r="A66" s="7">
        <f>IFERROR(__xludf.DUMMYFUNCTION("""COMPUTED_VALUE"""),46302.0)</f>
        <v>46302</v>
      </c>
      <c r="B66" s="2" t="str">
        <f>IFERROR(__xludf.DUMMYFUNCTION("""COMPUTED_VALUE"""),"TRSF E-BANKING DB")</f>
        <v>TRSF E-BANKING DB</v>
      </c>
      <c r="C66" s="2" t="str">
        <f>IFERROR(__xludf.DUMMYFUNCTION("""COMPUTED_VALUE"""),"0710/FTSCY/WS95031 1000000.00 MAQNUL DAHLIAANA F")</f>
        <v>0710/FTSCY/WS95031 1000000.00 MAQNUL DAHLIAANA F</v>
      </c>
      <c r="D66" s="2">
        <f>IFERROR(__xludf.DUMMYFUNCTION("""COMPUTED_VALUE"""),1000000.0)</f>
        <v>1000000</v>
      </c>
      <c r="E66" s="2"/>
      <c r="F66" s="2" t="str">
        <f>IFERROR(__xludf.DUMMYFUNCTION("""COMPUTED_VALUE"""),"DB")</f>
        <v>DB</v>
      </c>
      <c r="G66" s="2">
        <f>IFERROR(__xludf.DUMMYFUNCTION("""COMPUTED_VALUE"""),2.2546065309000003E8)</f>
        <v>225460653.1</v>
      </c>
      <c r="H66" s="2"/>
      <c r="I66" s="2"/>
    </row>
    <row r="67">
      <c r="A67" s="7">
        <f>IFERROR(__xludf.DUMMYFUNCTION("""COMPUTED_VALUE"""),46302.0)</f>
        <v>46302</v>
      </c>
      <c r="B67" s="2" t="str">
        <f>IFERROR(__xludf.DUMMYFUNCTION("""COMPUTED_VALUE"""),"TRSF E-BANKING DB")</f>
        <v>TRSF E-BANKING DB</v>
      </c>
      <c r="C67" s="2" t="str">
        <f>IFERROR(__xludf.DUMMYFUNCTION("""COMPUTED_VALUE"""),"0710/FTSCY/WS95031 1100000.00 SUNARTO")</f>
        <v>0710/FTSCY/WS95031 1100000.00 SUNARTO</v>
      </c>
      <c r="D67" s="2">
        <f>IFERROR(__xludf.DUMMYFUNCTION("""COMPUTED_VALUE"""),1100000.0)</f>
        <v>1100000</v>
      </c>
      <c r="E67" s="2"/>
      <c r="F67" s="2" t="str">
        <f>IFERROR(__xludf.DUMMYFUNCTION("""COMPUTED_VALUE"""),"DB")</f>
        <v>DB</v>
      </c>
      <c r="G67" s="2">
        <f>IFERROR(__xludf.DUMMYFUNCTION("""COMPUTED_VALUE"""),2.2436065309000003E8)</f>
        <v>224360653.1</v>
      </c>
      <c r="H67" s="2"/>
      <c r="I67" s="2"/>
    </row>
    <row r="68">
      <c r="A68" s="7">
        <f>IFERROR(__xludf.DUMMYFUNCTION("""COMPUTED_VALUE"""),46302.0)</f>
        <v>46302</v>
      </c>
      <c r="B68" s="2" t="str">
        <f>IFERROR(__xludf.DUMMYFUNCTION("""COMPUTED_VALUE"""),"TRSF E-BANKING DB")</f>
        <v>TRSF E-BANKING DB</v>
      </c>
      <c r="C68" s="2" t="str">
        <f>IFERROR(__xludf.DUMMYFUNCTION("""COMPUTED_VALUE"""),"0710/FTSCY/WS95271 119998100.00 ponorogo PRIMA JAYA BERSATU")</f>
        <v>0710/FTSCY/WS95271 119998100.00 ponorogo PRIMA JAYA BERSATU</v>
      </c>
      <c r="D68" s="2">
        <f>IFERROR(__xludf.DUMMYFUNCTION("""COMPUTED_VALUE"""),1.199981E8)</f>
        <v>119998100</v>
      </c>
      <c r="E68" s="2"/>
      <c r="F68" s="2" t="str">
        <f>IFERROR(__xludf.DUMMYFUNCTION("""COMPUTED_VALUE"""),"DB")</f>
        <v>DB</v>
      </c>
      <c r="G68" s="2">
        <f>IFERROR(__xludf.DUMMYFUNCTION("""COMPUTED_VALUE"""),1.0436255309000003E8)</f>
        <v>104362553.1</v>
      </c>
      <c r="H68" s="2"/>
      <c r="I68" s="2"/>
    </row>
    <row r="69">
      <c r="A69" s="7">
        <f>IFERROR(__xludf.DUMMYFUNCTION("""COMPUTED_VALUE"""),46302.0)</f>
        <v>46302</v>
      </c>
      <c r="B69" s="2" t="str">
        <f>IFERROR(__xludf.DUMMYFUNCTION("""COMPUTED_VALUE"""),"TRSF E-BANKING DB")</f>
        <v>TRSF E-BANKING DB</v>
      </c>
      <c r="C69" s="2" t="str">
        <f>IFERROR(__xludf.DUMMYFUNCTION("""COMPUTED_VALUE"""),"0710/FTSCY/WS95031 3550000.00 NURUL AINI")</f>
        <v>0710/FTSCY/WS95031 3550000.00 NURUL AINI</v>
      </c>
      <c r="D69" s="2">
        <f>IFERROR(__xludf.DUMMYFUNCTION("""COMPUTED_VALUE"""),3550000.0)</f>
        <v>3550000</v>
      </c>
      <c r="E69" s="2"/>
      <c r="F69" s="2" t="str">
        <f>IFERROR(__xludf.DUMMYFUNCTION("""COMPUTED_VALUE"""),"DB")</f>
        <v>DB</v>
      </c>
      <c r="G69" s="2">
        <f>IFERROR(__xludf.DUMMYFUNCTION("""COMPUTED_VALUE"""),1.0081255309000003E8)</f>
        <v>100812553.1</v>
      </c>
      <c r="H69" s="2"/>
      <c r="I69" s="2"/>
    </row>
    <row r="70">
      <c r="A70" s="7">
        <f>IFERROR(__xludf.DUMMYFUNCTION("""COMPUTED_VALUE"""),46302.0)</f>
        <v>46302</v>
      </c>
      <c r="B70" s="2" t="str">
        <f>IFERROR(__xludf.DUMMYFUNCTION("""COMPUTED_VALUE"""),"TRSF E-BANKING DB")</f>
        <v>TRSF E-BANKING DB</v>
      </c>
      <c r="C70" s="2" t="str">
        <f>IFERROR(__xludf.DUMMYFUNCTION("""COMPUTED_VALUE"""),"0710/FTSCY/WS95271 72850050.00 Mon Oct 05 2026 14:00:00 GMT+0700 (Western Indonesia Time) BINTANG TAMA SANTO")</f>
        <v>0710/FTSCY/WS95271 72850050.00 Mon Oct 05 2026 14:00:00 GMT+0700 (Western Indonesia Time) BINTANG TAMA SANTO</v>
      </c>
      <c r="D70" s="2">
        <f>IFERROR(__xludf.DUMMYFUNCTION("""COMPUTED_VALUE"""),7.285005E7)</f>
        <v>72850050</v>
      </c>
      <c r="E70" s="2"/>
      <c r="F70" s="2" t="str">
        <f>IFERROR(__xludf.DUMMYFUNCTION("""COMPUTED_VALUE"""),"DB")</f>
        <v>DB</v>
      </c>
      <c r="G70" s="2">
        <f>IFERROR(__xludf.DUMMYFUNCTION("""COMPUTED_VALUE"""),2.7962503090000033E7)</f>
        <v>27962503.09</v>
      </c>
      <c r="H70" s="2"/>
      <c r="I70" s="2"/>
    </row>
    <row r="71">
      <c r="A71" s="7">
        <f>IFERROR(__xludf.DUMMYFUNCTION("""COMPUTED_VALUE"""),46302.0)</f>
        <v>46302</v>
      </c>
      <c r="B71" s="2" t="str">
        <f>IFERROR(__xludf.DUMMYFUNCTION("""COMPUTED_VALUE"""),"TRSF E-BANKING DB")</f>
        <v>TRSF E-BANKING DB</v>
      </c>
      <c r="C71" s="2" t="str">
        <f>IFERROR(__xludf.DUMMYFUNCTION("""COMPUTED_VALUE"""),"0710/FTSCY/WS95271 98416800.00 Mon Oct 05 2026 14:00:00 GMT+0700 (Western Indonesia Time) BINTANG TAMA SANTO")</f>
        <v>0710/FTSCY/WS95271 98416800.00 Mon Oct 05 2026 14:00:00 GMT+0700 (Western Indonesia Time) BINTANG TAMA SANTO</v>
      </c>
      <c r="D71" s="2">
        <f>IFERROR(__xludf.DUMMYFUNCTION("""COMPUTED_VALUE"""),9.84168E7)</f>
        <v>98416800</v>
      </c>
      <c r="E71" s="2"/>
      <c r="F71" s="2" t="str">
        <f>IFERROR(__xludf.DUMMYFUNCTION("""COMPUTED_VALUE"""),"DB")</f>
        <v>DB</v>
      </c>
      <c r="G71" s="2">
        <f>IFERROR(__xludf.DUMMYFUNCTION("""COMPUTED_VALUE"""),4.0744264309000003E8)</f>
        <v>407442643.1</v>
      </c>
      <c r="H71" s="2"/>
      <c r="I71" s="2"/>
    </row>
    <row r="72">
      <c r="A72" s="7">
        <f>IFERROR(__xludf.DUMMYFUNCTION("""COMPUTED_VALUE"""),46302.0)</f>
        <v>46302</v>
      </c>
      <c r="B72" s="2" t="str">
        <f>IFERROR(__xludf.DUMMYFUNCTION("""COMPUTED_VALUE"""),"TRSF E-BANKING DB")</f>
        <v>TRSF E-BANKING DB</v>
      </c>
      <c r="C72" s="2" t="str">
        <f>IFERROR(__xludf.DUMMYFUNCTION("""COMPUTED_VALUE"""),"0710/FTSCY/WS95031 90000000.00 pelunasan BINTANG TAMA SANTO")</f>
        <v>0710/FTSCY/WS95031 90000000.00 pelunasan BINTANG TAMA SANTO</v>
      </c>
      <c r="D72" s="2">
        <f>IFERROR(__xludf.DUMMYFUNCTION("""COMPUTED_VALUE"""),9.0E7)</f>
        <v>90000000</v>
      </c>
      <c r="E72" s="2"/>
      <c r="F72" s="2" t="str">
        <f>IFERROR(__xludf.DUMMYFUNCTION("""COMPUTED_VALUE"""),"DB")</f>
        <v>DB</v>
      </c>
      <c r="G72" s="2">
        <f>IFERROR(__xludf.DUMMYFUNCTION("""COMPUTED_VALUE"""),3.1744264309000003E8)</f>
        <v>317442643.1</v>
      </c>
      <c r="H72" s="2">
        <f>IFERROR(__xludf.DUMMYFUNCTION("""COMPUTED_VALUE"""),3.1744264309E8)</f>
        <v>317442643.1</v>
      </c>
      <c r="I72" s="2"/>
    </row>
    <row r="73">
      <c r="A73" s="7">
        <f>IFERROR(__xludf.DUMMYFUNCTION("""COMPUTED_VALUE"""),46302.0)</f>
        <v>46302</v>
      </c>
      <c r="B73" s="2" t="str">
        <f>IFERROR(__xludf.DUMMYFUNCTION("""COMPUTED_VALUE"""),"TARIKAN ATM 07/10")</f>
        <v>TARIKAN ATM 07/10</v>
      </c>
      <c r="C73" s="2" t="str">
        <f>IFERROR(__xludf.DUMMYFUNCTION("""COMPUTED_VALUE"""),"TARIKAN ATM 07/10")</f>
        <v>TARIKAN ATM 07/10</v>
      </c>
      <c r="D73" s="2">
        <f>IFERROR(__xludf.DUMMYFUNCTION("""COMPUTED_VALUE"""),200000.0)</f>
        <v>200000</v>
      </c>
      <c r="E73" s="2"/>
      <c r="F73" s="2"/>
      <c r="G73" s="2">
        <f>IFERROR(__xludf.DUMMYFUNCTION("""COMPUTED_VALUE"""),3.1724264309000003E8)</f>
        <v>317242643.1</v>
      </c>
      <c r="H73" s="2">
        <f>IFERROR(__xludf.DUMMYFUNCTION("""COMPUTED_VALUE"""),3.1724264309E8)</f>
        <v>317242643.1</v>
      </c>
      <c r="I73" s="2"/>
    </row>
    <row r="74">
      <c r="A74" s="7">
        <f>IFERROR(__xludf.DUMMYFUNCTION("""COMPUTED_VALUE"""),46303.0)</f>
        <v>46303</v>
      </c>
      <c r="B74" s="2" t="str">
        <f>IFERROR(__xludf.DUMMYFUNCTION("""COMPUTED_VALUE"""),"TRSF E-BANKING DB TANGGAL :07/10")</f>
        <v>TRSF E-BANKING DB TANGGAL :07/10</v>
      </c>
      <c r="C74" s="2" t="str">
        <f>IFERROR(__xludf.DUMMYFUNCTION("""COMPUTED_VALUE"""),"0710/FTSCY/WS95011 Mon Oct 05 2026 14:00:00 GMT+0700 (Western Indonesia Time) BINTANG TAMA SANTO")</f>
        <v>0710/FTSCY/WS95011 Mon Oct 05 2026 14:00:00 GMT+0700 (Western Indonesia Time) BINTANG TAMA SANTO</v>
      </c>
      <c r="D74" s="2">
        <f>IFERROR(__xludf.DUMMYFUNCTION("""COMPUTED_VALUE"""),5.998794E7)</f>
        <v>59987940</v>
      </c>
      <c r="E74" s="2"/>
      <c r="F74" s="2" t="str">
        <f>IFERROR(__xludf.DUMMYFUNCTION("""COMPUTED_VALUE"""),"DB")</f>
        <v>DB</v>
      </c>
      <c r="G74" s="2">
        <f>IFERROR(__xludf.DUMMYFUNCTION("""COMPUTED_VALUE"""),2.5725470309000003E8)</f>
        <v>257254703.1</v>
      </c>
      <c r="H74" s="2"/>
      <c r="I74" s="2"/>
    </row>
    <row r="75">
      <c r="A75" s="7">
        <f>IFERROR(__xludf.DUMMYFUNCTION("""COMPUTED_VALUE"""),46303.0)</f>
        <v>46303</v>
      </c>
      <c r="B75" s="2" t="str">
        <f>IFERROR(__xludf.DUMMYFUNCTION("""COMPUTED_VALUE"""),"TRSF E-BANKING DB TANGGAL :07/10")</f>
        <v>TRSF E-BANKING DB TANGGAL :07/10</v>
      </c>
      <c r="C75" s="2" t="str">
        <f>IFERROR(__xludf.DUMMYFUNCTION("""COMPUTED_VALUE"""),"0710/FTSCY/WS95011 Mon Oct 05 2026 14:00:00 GMT+0700 (Western Indonesia Time) TABASSAM AZ ZUFAR")</f>
        <v>0710/FTSCY/WS95011 Mon Oct 05 2026 14:00:00 GMT+0700 (Western Indonesia Time) TABASSAM AZ ZUFAR</v>
      </c>
      <c r="D75" s="2">
        <f>IFERROR(__xludf.DUMMYFUNCTION("""COMPUTED_VALUE"""),9.054E7)</f>
        <v>90540000</v>
      </c>
      <c r="E75" s="2"/>
      <c r="F75" s="2" t="str">
        <f>IFERROR(__xludf.DUMMYFUNCTION("""COMPUTED_VALUE"""),"DB")</f>
        <v>DB</v>
      </c>
      <c r="G75" s="2">
        <f>IFERROR(__xludf.DUMMYFUNCTION("""COMPUTED_VALUE"""),1.6671470309000003E8)</f>
        <v>166714703.1</v>
      </c>
      <c r="H75" s="2"/>
      <c r="I75" s="2"/>
    </row>
    <row r="76">
      <c r="A76" s="7">
        <f>IFERROR(__xludf.DUMMYFUNCTION("""COMPUTED_VALUE"""),46303.0)</f>
        <v>46303</v>
      </c>
      <c r="B76" s="2" t="str">
        <f>IFERROR(__xludf.DUMMYFUNCTION("""COMPUTED_VALUE"""),"TRSF E-BANKING DB TANGGAL :07/10")</f>
        <v>TRSF E-BANKING DB TANGGAL :07/10</v>
      </c>
      <c r="C76" s="2" t="str">
        <f>IFERROR(__xludf.DUMMYFUNCTION("""COMPUTED_VALUE"""),"0710/FTFVA/WS95031 bwi - 40190")</f>
        <v>0710/FTFVA/WS95031 bwi - 40190</v>
      </c>
      <c r="D76" s="2">
        <f>IFERROR(__xludf.DUMMYFUNCTION("""COMPUTED_VALUE"""),1.1505E8)</f>
        <v>115050000</v>
      </c>
      <c r="E76" s="2"/>
      <c r="F76" s="2" t="str">
        <f>IFERROR(__xludf.DUMMYFUNCTION("""COMPUTED_VALUE"""),"DB")</f>
        <v>DB</v>
      </c>
      <c r="G76" s="2">
        <f>IFERROR(__xludf.DUMMYFUNCTION("""COMPUTED_VALUE"""),5.166470309000003E7)</f>
        <v>51664703.09</v>
      </c>
      <c r="H76" s="2"/>
      <c r="I76" s="2"/>
    </row>
    <row r="77">
      <c r="A77" s="7">
        <f>IFERROR(__xludf.DUMMYFUNCTION("""COMPUTED_VALUE"""),46303.0)</f>
        <v>46303</v>
      </c>
      <c r="B77" s="2" t="str">
        <f>IFERROR(__xludf.DUMMYFUNCTION("""COMPUTED_VALUE"""),"TRSF E-BANKING DB TANGGAL :07/10")</f>
        <v>TRSF E-BANKING DB TANGGAL :07/10</v>
      </c>
      <c r="C77" s="2" t="str">
        <f>IFERROR(__xludf.DUMMYFUNCTION("""COMPUTED_VALUE"""),"0710/FTSCY/WS95011 05/10 krg 66.2 jt BROILER MAKMUR TAN")</f>
        <v>0710/FTSCY/WS95011 05/10 krg 66.2 jt BROILER MAKMUR TAN</v>
      </c>
      <c r="D77" s="2">
        <f>IFERROR(__xludf.DUMMYFUNCTION("""COMPUTED_VALUE"""),5.155197E7)</f>
        <v>51551970</v>
      </c>
      <c r="E77" s="2"/>
      <c r="F77" s="2" t="str">
        <f>IFERROR(__xludf.DUMMYFUNCTION("""COMPUTED_VALUE"""),"DB")</f>
        <v>DB</v>
      </c>
      <c r="G77" s="2">
        <f>IFERROR(__xludf.DUMMYFUNCTION("""COMPUTED_VALUE"""),112733.09000003338)</f>
        <v>112733.09</v>
      </c>
      <c r="H77" s="2">
        <f>IFERROR(__xludf.DUMMYFUNCTION("""COMPUTED_VALUE"""),112733.09)</f>
        <v>112733.09</v>
      </c>
      <c r="I77" s="2"/>
    </row>
    <row r="78">
      <c r="A78" s="7">
        <f>IFERROR(__xludf.DUMMYFUNCTION("""COMPUTED_VALUE"""),46304.0)</f>
        <v>46304</v>
      </c>
      <c r="B78" s="2" t="str">
        <f>IFERROR(__xludf.DUMMYFUNCTION("""COMPUTED_VALUE"""),"TRSF E-BANKING DB")</f>
        <v>TRSF E-BANKING DB</v>
      </c>
      <c r="C78" s="2" t="str">
        <f>IFERROR(__xludf.DUMMYFUNCTION("""COMPUTED_VALUE"""),"0910/FTSCY/WS95031 24584800.00 pelunasan BROILER MAKMUR TAN")</f>
        <v>0910/FTSCY/WS95031 24584800.00 pelunasan BROILER MAKMUR TAN</v>
      </c>
      <c r="D78" s="2">
        <f>IFERROR(__xludf.DUMMYFUNCTION("""COMPUTED_VALUE"""),2.45848E7)</f>
        <v>24584800</v>
      </c>
      <c r="E78" s="2"/>
      <c r="F78" s="2" t="str">
        <f>IFERROR(__xludf.DUMMYFUNCTION("""COMPUTED_VALUE"""),"DB")</f>
        <v>DB</v>
      </c>
      <c r="G78" s="2">
        <f>IFERROR(__xludf.DUMMYFUNCTION("""COMPUTED_VALUE"""),2.9793933090000033E7)</f>
        <v>29793933.09</v>
      </c>
      <c r="H78" s="2"/>
      <c r="I78" s="2"/>
    </row>
    <row r="79">
      <c r="A79" s="7">
        <f>IFERROR(__xludf.DUMMYFUNCTION("""COMPUTED_VALUE"""),46304.0)</f>
        <v>46304</v>
      </c>
      <c r="B79" s="2" t="str">
        <f>IFERROR(__xludf.DUMMYFUNCTION("""COMPUTED_VALUE"""),"TRSF E-BANKING DB")</f>
        <v>TRSF E-BANKING DB</v>
      </c>
      <c r="C79" s="2" t="str">
        <f>IFERROR(__xludf.DUMMYFUNCTION("""COMPUTED_VALUE"""),"0910/FTSCY/WS95271 500000.00 ANTON IMRONI")</f>
        <v>0910/FTSCY/WS95271 500000.00 ANTON IMRONI</v>
      </c>
      <c r="D79" s="2">
        <f>IFERROR(__xludf.DUMMYFUNCTION("""COMPUTED_VALUE"""),500000.0)</f>
        <v>500000</v>
      </c>
      <c r="E79" s="2"/>
      <c r="F79" s="2" t="str">
        <f>IFERROR(__xludf.DUMMYFUNCTION("""COMPUTED_VALUE"""),"DB")</f>
        <v>DB</v>
      </c>
      <c r="G79" s="2">
        <f>IFERROR(__xludf.DUMMYFUNCTION("""COMPUTED_VALUE"""),2.9293933090000033E7)</f>
        <v>29293933.09</v>
      </c>
      <c r="H79" s="2"/>
      <c r="I79" s="2"/>
    </row>
    <row r="80">
      <c r="A80" s="7">
        <f>IFERROR(__xludf.DUMMYFUNCTION("""COMPUTED_VALUE"""),46304.0)</f>
        <v>46304</v>
      </c>
      <c r="B80" s="2" t="str">
        <f>IFERROR(__xludf.DUMMYFUNCTION("""COMPUTED_VALUE"""),"TRSF E-BANKING DB")</f>
        <v>TRSF E-BANKING DB</v>
      </c>
      <c r="C80" s="2" t="str">
        <f>IFERROR(__xludf.DUMMYFUNCTION("""COMPUTED_VALUE"""),"0910/FTFVA/WS95031 55569/PT PRIMA FAJ mlg - 40190")</f>
        <v>0910/FTFVA/WS95031 55569/PT PRIMA FAJ mlg - 40190</v>
      </c>
      <c r="D80" s="2">
        <f>IFERROR(__xludf.DUMMYFUNCTION("""COMPUTED_VALUE"""),7.175E7)</f>
        <v>71750000</v>
      </c>
      <c r="E80" s="2"/>
      <c r="F80" s="2" t="str">
        <f>IFERROR(__xludf.DUMMYFUNCTION("""COMPUTED_VALUE"""),"DB")</f>
        <v>DB</v>
      </c>
      <c r="G80" s="2">
        <f>IFERROR(__xludf.DUMMYFUNCTION("""COMPUTED_VALUE"""),8.114081309000003E7)</f>
        <v>81140813.09</v>
      </c>
      <c r="H80" s="2"/>
      <c r="I80" s="2"/>
    </row>
    <row r="81">
      <c r="A81" s="7">
        <f>IFERROR(__xludf.DUMMYFUNCTION("""COMPUTED_VALUE"""),46304.0)</f>
        <v>46304</v>
      </c>
      <c r="B81" s="2" t="str">
        <f>IFERROR(__xludf.DUMMYFUNCTION("""COMPUTED_VALUE"""),"TRSF E-BANKING DB")</f>
        <v>TRSF E-BANKING DB</v>
      </c>
      <c r="C81" s="2" t="str">
        <f>IFERROR(__xludf.DUMMYFUNCTION("""COMPUTED_VALUE"""),"0910/FTSCY/WS95271 800000.00 SUNARTO")</f>
        <v>0910/FTSCY/WS95271 800000.00 SUNARTO</v>
      </c>
      <c r="D81" s="2">
        <f>IFERROR(__xludf.DUMMYFUNCTION("""COMPUTED_VALUE"""),800000.0)</f>
        <v>800000</v>
      </c>
      <c r="E81" s="2"/>
      <c r="F81" s="2" t="str">
        <f>IFERROR(__xludf.DUMMYFUNCTION("""COMPUTED_VALUE"""),"DB")</f>
        <v>DB</v>
      </c>
      <c r="G81" s="2">
        <f>IFERROR(__xludf.DUMMYFUNCTION("""COMPUTED_VALUE"""),6.3843189309E8)</f>
        <v>638431893.1</v>
      </c>
      <c r="H81" s="2"/>
      <c r="I81" s="2"/>
    </row>
    <row r="82">
      <c r="A82" s="7">
        <f>IFERROR(__xludf.DUMMYFUNCTION("""COMPUTED_VALUE"""),46304.0)</f>
        <v>46304</v>
      </c>
      <c r="B82" s="2" t="str">
        <f>IFERROR(__xludf.DUMMYFUNCTION("""COMPUTED_VALUE"""),"TRSF E-BANKING DB")</f>
        <v>TRSF E-BANKING DB</v>
      </c>
      <c r="C82" s="2" t="str">
        <f>IFERROR(__xludf.DUMMYFUNCTION("""COMPUTED_VALUE"""),"0910/FTSCY/WS95271 19524950.00 EKO SETIYAWAN")</f>
        <v>0910/FTSCY/WS95271 19524950.00 EKO SETIYAWAN</v>
      </c>
      <c r="D82" s="2">
        <f>IFERROR(__xludf.DUMMYFUNCTION("""COMPUTED_VALUE"""),1.952495E7)</f>
        <v>19524950</v>
      </c>
      <c r="E82" s="2"/>
      <c r="F82" s="2" t="str">
        <f>IFERROR(__xludf.DUMMYFUNCTION("""COMPUTED_VALUE"""),"DB")</f>
        <v>DB</v>
      </c>
      <c r="G82" s="2">
        <f>IFERROR(__xludf.DUMMYFUNCTION("""COMPUTED_VALUE"""),6.1890694309E8)</f>
        <v>618906943.1</v>
      </c>
      <c r="H82" s="2"/>
      <c r="I82" s="2"/>
    </row>
    <row r="83">
      <c r="A83" s="7">
        <f>IFERROR(__xludf.DUMMYFUNCTION("""COMPUTED_VALUE"""),46304.0)</f>
        <v>46304</v>
      </c>
      <c r="B83" s="2" t="str">
        <f>IFERROR(__xludf.DUMMYFUNCTION("""COMPUTED_VALUE"""),"TRSF E-BANKING DB")</f>
        <v>TRSF E-BANKING DB</v>
      </c>
      <c r="C83" s="2" t="str">
        <f>IFERROR(__xludf.DUMMYFUNCTION("""COMPUTED_VALUE"""),"0910/FTSCY/WS95271 6977870.00 MUJIANTO")</f>
        <v>0910/FTSCY/WS95271 6977870.00 MUJIANTO</v>
      </c>
      <c r="D83" s="2">
        <f>IFERROR(__xludf.DUMMYFUNCTION("""COMPUTED_VALUE"""),6977870.0)</f>
        <v>6977870</v>
      </c>
      <c r="E83" s="2"/>
      <c r="F83" s="2" t="str">
        <f>IFERROR(__xludf.DUMMYFUNCTION("""COMPUTED_VALUE"""),"DB")</f>
        <v>DB</v>
      </c>
      <c r="G83" s="2">
        <f>IFERROR(__xludf.DUMMYFUNCTION("""COMPUTED_VALUE"""),6.1192907309E8)</f>
        <v>611929073.1</v>
      </c>
      <c r="H83" s="2">
        <f>IFERROR(__xludf.DUMMYFUNCTION("""COMPUTED_VALUE"""),6.1192907309E8)</f>
        <v>611929073.1</v>
      </c>
      <c r="I83" s="2"/>
    </row>
    <row r="84">
      <c r="A84" s="7">
        <f>IFERROR(__xludf.DUMMYFUNCTION("""COMPUTED_VALUE"""),46304.0)</f>
        <v>46304</v>
      </c>
      <c r="B84" s="2" t="str">
        <f>IFERROR(__xludf.DUMMYFUNCTION("""COMPUTED_VALUE"""),"TRSF E-BANKING DB")</f>
        <v>TRSF E-BANKING DB</v>
      </c>
      <c r="C84" s="2" t="str">
        <f>IFERROR(__xludf.DUMMYFUNCTION("""COMPUTED_VALUE"""),"0910/FTSCY/WS95271 3866150.00 FAJAR ANDREANZAH")</f>
        <v>0910/FTSCY/WS95271 3866150.00 FAJAR ANDREANZAH</v>
      </c>
      <c r="D84" s="2">
        <f>IFERROR(__xludf.DUMMYFUNCTION("""COMPUTED_VALUE"""),3866150.0)</f>
        <v>3866150</v>
      </c>
      <c r="E84" s="2"/>
      <c r="F84" s="2" t="str">
        <f>IFERROR(__xludf.DUMMYFUNCTION("""COMPUTED_VALUE"""),"DB")</f>
        <v>DB</v>
      </c>
      <c r="G84" s="2">
        <f>IFERROR(__xludf.DUMMYFUNCTION("""COMPUTED_VALUE"""),6.0806292309E8)</f>
        <v>608062923.1</v>
      </c>
      <c r="H84" s="2">
        <f>IFERROR(__xludf.DUMMYFUNCTION("""COMPUTED_VALUE"""),6.0806292309E8)</f>
        <v>608062923.1</v>
      </c>
      <c r="I84" s="2"/>
    </row>
    <row r="85">
      <c r="A85" s="7">
        <f>IFERROR(__xludf.DUMMYFUNCTION("""COMPUTED_VALUE"""),46304.0)</f>
        <v>46304</v>
      </c>
      <c r="B85" s="2" t="str">
        <f>IFERROR(__xludf.DUMMYFUNCTION("""COMPUTED_VALUE"""),"TRSF E-BANKING DB")</f>
        <v>TRSF E-BANKING DB</v>
      </c>
      <c r="C85" s="2" t="str">
        <f>IFERROR(__xludf.DUMMYFUNCTION("""COMPUTED_VALUE"""),"0910/FTSCY/WS95271 5026700.00 HERMAWAN")</f>
        <v>0910/FTSCY/WS95271 5026700.00 HERMAWAN</v>
      </c>
      <c r="D85" s="2">
        <f>IFERROR(__xludf.DUMMYFUNCTION("""COMPUTED_VALUE"""),5026700.0)</f>
        <v>5026700</v>
      </c>
      <c r="E85" s="2"/>
      <c r="F85" s="2" t="str">
        <f>IFERROR(__xludf.DUMMYFUNCTION("""COMPUTED_VALUE"""),"DB")</f>
        <v>DB</v>
      </c>
      <c r="G85" s="2">
        <f>IFERROR(__xludf.DUMMYFUNCTION("""COMPUTED_VALUE"""),6.0303622309E8)</f>
        <v>603036223.1</v>
      </c>
      <c r="H85" s="2"/>
      <c r="I85" s="2"/>
    </row>
    <row r="86">
      <c r="A86" s="7">
        <f>IFERROR(__xludf.DUMMYFUNCTION("""COMPUTED_VALUE"""),46304.0)</f>
        <v>46304</v>
      </c>
      <c r="B86" s="2" t="str">
        <f>IFERROR(__xludf.DUMMYFUNCTION("""COMPUTED_VALUE"""),"TRSF E-BANKING DB")</f>
        <v>TRSF E-BANKING DB</v>
      </c>
      <c r="C86" s="2" t="str">
        <f>IFERROR(__xludf.DUMMYFUNCTION("""COMPUTED_VALUE"""),"0910/FTSCY/WS95271 133163900.00 Tue Oct 06 2026 14:00:00 GMT+0700 (Western Indonesia Time) ANDALAN YASA MITRA")</f>
        <v>0910/FTSCY/WS95271 133163900.00 Tue Oct 06 2026 14:00:00 GMT+0700 (Western Indonesia Time) ANDALAN YASA MITRA</v>
      </c>
      <c r="D86" s="2">
        <f>IFERROR(__xludf.DUMMYFUNCTION("""COMPUTED_VALUE"""),1.331639E8)</f>
        <v>133163900</v>
      </c>
      <c r="E86" s="2"/>
      <c r="F86" s="2" t="str">
        <f>IFERROR(__xludf.DUMMYFUNCTION("""COMPUTED_VALUE"""),"DB")</f>
        <v>DB</v>
      </c>
      <c r="G86" s="2">
        <f>IFERROR(__xludf.DUMMYFUNCTION("""COMPUTED_VALUE"""),4.6987232309000003E8)</f>
        <v>469872323.1</v>
      </c>
      <c r="H86" s="2"/>
      <c r="I86" s="2"/>
    </row>
    <row r="87">
      <c r="A87" s="7">
        <f>IFERROR(__xludf.DUMMYFUNCTION("""COMPUTED_VALUE"""),46304.0)</f>
        <v>46304</v>
      </c>
      <c r="B87" s="2" t="str">
        <f>IFERROR(__xludf.DUMMYFUNCTION("""COMPUTED_VALUE"""),"TRSF E-BANKING DB")</f>
        <v>TRSF E-BANKING DB</v>
      </c>
      <c r="C87" s="2" t="str">
        <f>IFERROR(__xludf.DUMMYFUNCTION("""COMPUTED_VALUE"""),"0910/FTSCY/WS95271 65579500.00 Tue Oct 06 2026 14:00:00 GMT+0700 (Western Indonesia Time) TABASSAM AL HATTAK")</f>
        <v>0910/FTSCY/WS95271 65579500.00 Tue Oct 06 2026 14:00:00 GMT+0700 (Western Indonesia Time) TABASSAM AL HATTAK</v>
      </c>
      <c r="D87" s="2">
        <f>IFERROR(__xludf.DUMMYFUNCTION("""COMPUTED_VALUE"""),6.55795E7)</f>
        <v>65579500</v>
      </c>
      <c r="E87" s="2"/>
      <c r="F87" s="2" t="str">
        <f>IFERROR(__xludf.DUMMYFUNCTION("""COMPUTED_VALUE"""),"DB")</f>
        <v>DB</v>
      </c>
      <c r="G87" s="2">
        <f>IFERROR(__xludf.DUMMYFUNCTION("""COMPUTED_VALUE"""),4.0429282309000003E8)</f>
        <v>404292823.1</v>
      </c>
      <c r="H87" s="2"/>
      <c r="I87" s="2"/>
    </row>
    <row r="88">
      <c r="A88" s="7">
        <f>IFERROR(__xludf.DUMMYFUNCTION("""COMPUTED_VALUE"""),46304.0)</f>
        <v>46304</v>
      </c>
      <c r="B88" s="2" t="str">
        <f>IFERROR(__xludf.DUMMYFUNCTION("""COMPUTED_VALUE"""),"TRSF E-BANKING DB")</f>
        <v>TRSF E-BANKING DB</v>
      </c>
      <c r="C88" s="2" t="str">
        <f>IFERROR(__xludf.DUMMYFUNCTION("""COMPUTED_VALUE"""),"0910/FTSCY/WS95011 177285000.00 Tue Oct 06 2026 14:00:00 GMT+0700 (Western Indonesia Time) BROILER MAKMUR TAN")</f>
        <v>0910/FTSCY/WS95011 177285000.00 Tue Oct 06 2026 14:00:00 GMT+0700 (Western Indonesia Time) BROILER MAKMUR TAN</v>
      </c>
      <c r="D88" s="2">
        <f>IFERROR(__xludf.DUMMYFUNCTION("""COMPUTED_VALUE"""),1.77285E8)</f>
        <v>177285000</v>
      </c>
      <c r="E88" s="2"/>
      <c r="F88" s="2" t="str">
        <f>IFERROR(__xludf.DUMMYFUNCTION("""COMPUTED_VALUE"""),"DB")</f>
        <v>DB</v>
      </c>
      <c r="G88" s="2">
        <f>IFERROR(__xludf.DUMMYFUNCTION("""COMPUTED_VALUE"""),2.2700782309000003E8)</f>
        <v>227007823.1</v>
      </c>
      <c r="H88" s="2"/>
      <c r="I88" s="2"/>
    </row>
    <row r="89">
      <c r="A89" s="7">
        <f>IFERROR(__xludf.DUMMYFUNCTION("""COMPUTED_VALUE"""),46304.0)</f>
        <v>46304</v>
      </c>
      <c r="B89" s="2" t="str">
        <f>IFERROR(__xludf.DUMMYFUNCTION("""COMPUTED_VALUE"""),"TRSF E-BANKING DB")</f>
        <v>TRSF E-BANKING DB</v>
      </c>
      <c r="C89" s="2" t="str">
        <f>IFERROR(__xludf.DUMMYFUNCTION("""COMPUTED_VALUE"""),"0910/FTSCY/WS95011 140000000.00 Tue Oct 06 2026 14:00:00 GMT+0700 (Western Indonesia Time) PITIK DIGITAL INDO")</f>
        <v>0910/FTSCY/WS95011 140000000.00 Tue Oct 06 2026 14:00:00 GMT+0700 (Western Indonesia Time) PITIK DIGITAL INDO</v>
      </c>
      <c r="D89" s="2">
        <f>IFERROR(__xludf.DUMMYFUNCTION("""COMPUTED_VALUE"""),1.4E8)</f>
        <v>140000000</v>
      </c>
      <c r="E89" s="2"/>
      <c r="F89" s="2" t="str">
        <f>IFERROR(__xludf.DUMMYFUNCTION("""COMPUTED_VALUE"""),"DB")</f>
        <v>DB</v>
      </c>
      <c r="G89" s="2">
        <f>IFERROR(__xludf.DUMMYFUNCTION("""COMPUTED_VALUE"""),8.700782309000003E7)</f>
        <v>87007823.09</v>
      </c>
      <c r="H89" s="2"/>
      <c r="I89" s="2"/>
    </row>
    <row r="90">
      <c r="A90" s="7">
        <f>IFERROR(__xludf.DUMMYFUNCTION("""COMPUTED_VALUE"""),46304.0)</f>
        <v>46304</v>
      </c>
      <c r="B90" s="2" t="str">
        <f>IFERROR(__xludf.DUMMYFUNCTION("""COMPUTED_VALUE"""),"TRSF E-BANKING DB")</f>
        <v>TRSF E-BANKING DB</v>
      </c>
      <c r="C90" s="2" t="str">
        <f>IFERROR(__xludf.DUMMYFUNCTION("""COMPUTED_VALUE"""),"0910/FTSCY/WS95011 86608660.00 08/10 krg 90 jt TABASSAM AL HATTAK")</f>
        <v>0910/FTSCY/WS95011 86608660.00 08/10 krg 90 jt TABASSAM AL HATTAK</v>
      </c>
      <c r="D90" s="2">
        <f>IFERROR(__xludf.DUMMYFUNCTION("""COMPUTED_VALUE"""),8.660866E7)</f>
        <v>86608660</v>
      </c>
      <c r="E90" s="2"/>
      <c r="F90" s="2" t="str">
        <f>IFERROR(__xludf.DUMMYFUNCTION("""COMPUTED_VALUE"""),"DB")</f>
        <v>DB</v>
      </c>
      <c r="G90" s="2">
        <f>IFERROR(__xludf.DUMMYFUNCTION("""COMPUTED_VALUE"""),399163.0900000334)</f>
        <v>399163.09</v>
      </c>
      <c r="H90" s="2">
        <f>IFERROR(__xludf.DUMMYFUNCTION("""COMPUTED_VALUE"""),399163.09)</f>
        <v>399163.09</v>
      </c>
      <c r="I90" s="2"/>
    </row>
    <row r="91">
      <c r="A91" s="7">
        <f>IFERROR(__xludf.DUMMYFUNCTION("""COMPUTED_VALUE"""),46305.0)</f>
        <v>46305</v>
      </c>
      <c r="B91" s="2" t="str">
        <f>IFERROR(__xludf.DUMMYFUNCTION("""COMPUTED_VALUE"""),"TRSF E-BANKING DB")</f>
        <v>TRSF E-BANKING DB</v>
      </c>
      <c r="C91" s="2" t="str">
        <f>IFERROR(__xludf.DUMMYFUNCTION("""COMPUTED_VALUE"""),"1010/FTSCY/WS95271 65579500.00 Tue Oct 06 2026 14:00:00 GMT+0700 (Western Indonesia Time) TABASSAM AZ ZUFAR")</f>
        <v>1010/FTSCY/WS95271 65579500.00 Tue Oct 06 2026 14:00:00 GMT+0700 (Western Indonesia Time) TABASSAM AZ ZUFAR</v>
      </c>
      <c r="D91" s="2">
        <f>IFERROR(__xludf.DUMMYFUNCTION("""COMPUTED_VALUE"""),6.55795E7)</f>
        <v>65579500</v>
      </c>
      <c r="E91" s="2"/>
      <c r="F91" s="2" t="str">
        <f>IFERROR(__xludf.DUMMYFUNCTION("""COMPUTED_VALUE"""),"DB")</f>
        <v>DB</v>
      </c>
      <c r="G91" s="2">
        <f>IFERROR(__xludf.DUMMYFUNCTION("""COMPUTED_VALUE"""),5169663.090000033)</f>
        <v>5169663.09</v>
      </c>
      <c r="H91" s="2"/>
      <c r="I91" s="2"/>
    </row>
    <row r="92">
      <c r="A92" s="7">
        <f>IFERROR(__xludf.DUMMYFUNCTION("""COMPUTED_VALUE"""),46305.0)</f>
        <v>46305</v>
      </c>
      <c r="B92" s="2" t="str">
        <f>IFERROR(__xludf.DUMMYFUNCTION("""COMPUTED_VALUE"""),"TRSF E-BANKING DB")</f>
        <v>TRSF E-BANKING DB</v>
      </c>
      <c r="C92" s="2" t="str">
        <f>IFERROR(__xludf.DUMMYFUNCTION("""COMPUTED_VALUE"""),"1010/FTSCY/WS95271 1420000.00 NURUL AINI")</f>
        <v>1010/FTSCY/WS95271 1420000.00 NURUL AINI</v>
      </c>
      <c r="D92" s="2">
        <f>IFERROR(__xludf.DUMMYFUNCTION("""COMPUTED_VALUE"""),1420000.0)</f>
        <v>1420000</v>
      </c>
      <c r="E92" s="2"/>
      <c r="F92" s="2" t="str">
        <f>IFERROR(__xludf.DUMMYFUNCTION("""COMPUTED_VALUE"""),"DB")</f>
        <v>DB</v>
      </c>
      <c r="G92" s="2">
        <f>IFERROR(__xludf.DUMMYFUNCTION("""COMPUTED_VALUE"""),3749663.0900000334)</f>
        <v>3749663.09</v>
      </c>
      <c r="H92" s="2"/>
      <c r="I92" s="2"/>
    </row>
    <row r="93">
      <c r="A93" s="7">
        <f>IFERROR(__xludf.DUMMYFUNCTION("""COMPUTED_VALUE"""),46305.0)</f>
        <v>46305</v>
      </c>
      <c r="B93" s="2" t="str">
        <f>IFERROR(__xludf.DUMMYFUNCTION("""COMPUTED_VALUE"""),"TRSF E-BANKING DB")</f>
        <v>TRSF E-BANKING DB</v>
      </c>
      <c r="C93" s="2" t="str">
        <f>IFERROR(__xludf.DUMMYFUNCTION("""COMPUTED_VALUE"""),"1010/FTSCY/WS95031 1500000.00 MAQNUL DAHLIAANA F")</f>
        <v>1010/FTSCY/WS95031 1500000.00 MAQNUL DAHLIAANA F</v>
      </c>
      <c r="D93" s="2">
        <f>IFERROR(__xludf.DUMMYFUNCTION("""COMPUTED_VALUE"""),1500000.0)</f>
        <v>1500000</v>
      </c>
      <c r="E93" s="2"/>
      <c r="F93" s="2" t="str">
        <f>IFERROR(__xludf.DUMMYFUNCTION("""COMPUTED_VALUE"""),"DB")</f>
        <v>DB</v>
      </c>
      <c r="G93" s="2">
        <f>IFERROR(__xludf.DUMMYFUNCTION("""COMPUTED_VALUE"""),2249663.0900000334)</f>
        <v>2249663.09</v>
      </c>
      <c r="H93" s="2"/>
      <c r="I93" s="2"/>
    </row>
    <row r="94">
      <c r="A94" s="7">
        <f>IFERROR(__xludf.DUMMYFUNCTION("""COMPUTED_VALUE"""),46305.0)</f>
        <v>46305</v>
      </c>
      <c r="B94" s="2" t="str">
        <f>IFERROR(__xludf.DUMMYFUNCTION("""COMPUTED_VALUE"""),"TRSF E-BANKING DB")</f>
        <v>TRSF E-BANKING DB</v>
      </c>
      <c r="C94" s="2" t="str">
        <f>IFERROR(__xludf.DUMMYFUNCTION("""COMPUTED_VALUE"""),"1010/FTSCY/WS95031 1425000.00 DIDIK HARYADI")</f>
        <v>1010/FTSCY/WS95031 1425000.00 DIDIK HARYADI</v>
      </c>
      <c r="D94" s="2">
        <f>IFERROR(__xludf.DUMMYFUNCTION("""COMPUTED_VALUE"""),1425000.0)</f>
        <v>1425000</v>
      </c>
      <c r="E94" s="2"/>
      <c r="F94" s="2" t="str">
        <f>IFERROR(__xludf.DUMMYFUNCTION("""COMPUTED_VALUE"""),"DB")</f>
        <v>DB</v>
      </c>
      <c r="G94" s="2">
        <f>IFERROR(__xludf.DUMMYFUNCTION("""COMPUTED_VALUE"""),7.498441309000003E7)</f>
        <v>74984413.09</v>
      </c>
      <c r="H94" s="2">
        <f>IFERROR(__xludf.DUMMYFUNCTION("""COMPUTED_VALUE"""),7.498441309E7)</f>
        <v>74984413.09</v>
      </c>
      <c r="I94" s="2"/>
    </row>
    <row r="95">
      <c r="A95" s="7">
        <f>IFERROR(__xludf.DUMMYFUNCTION("""COMPUTED_VALUE"""),46305.0)</f>
        <v>46305</v>
      </c>
      <c r="B95" s="2" t="str">
        <f>IFERROR(__xludf.DUMMYFUNCTION("""COMPUTED_VALUE"""),"TARIKAN ATM 10/10")</f>
        <v>TARIKAN ATM 10/10</v>
      </c>
      <c r="C95" s="2" t="str">
        <f>IFERROR(__xludf.DUMMYFUNCTION("""COMPUTED_VALUE"""),"TARIKAN ATM 10/10")</f>
        <v>TARIKAN ATM 10/10</v>
      </c>
      <c r="D95" s="2">
        <f>IFERROR(__xludf.DUMMYFUNCTION("""COMPUTED_VALUE"""),150000.0)</f>
        <v>150000</v>
      </c>
      <c r="E95" s="2"/>
      <c r="F95" s="2"/>
      <c r="G95" s="2">
        <f>IFERROR(__xludf.DUMMYFUNCTION("""COMPUTED_VALUE"""),7.483441309000003E7)</f>
        <v>74834413.09</v>
      </c>
      <c r="H95" s="2"/>
      <c r="I95" s="2"/>
    </row>
    <row r="96">
      <c r="A96" s="7">
        <f>IFERROR(__xludf.DUMMYFUNCTION("""COMPUTED_VALUE"""),46305.0)</f>
        <v>46305</v>
      </c>
      <c r="B96" s="2" t="str">
        <f>IFERROR(__xludf.DUMMYFUNCTION("""COMPUTED_VALUE"""),"TRSF E-BANKING DB")</f>
        <v>TRSF E-BANKING DB</v>
      </c>
      <c r="C96" s="2" t="str">
        <f>IFERROR(__xludf.DUMMYFUNCTION("""COMPUTED_VALUE"""),"1010/FTSCY/WS95031 17042310.00 EKO SETIYAWAN")</f>
        <v>1010/FTSCY/WS95031 17042310.00 EKO SETIYAWAN</v>
      </c>
      <c r="D96" s="2">
        <f>IFERROR(__xludf.DUMMYFUNCTION("""COMPUTED_VALUE"""),1.704231E7)</f>
        <v>17042310</v>
      </c>
      <c r="E96" s="2"/>
      <c r="F96" s="2" t="str">
        <f>IFERROR(__xludf.DUMMYFUNCTION("""COMPUTED_VALUE"""),"DB")</f>
        <v>DB</v>
      </c>
      <c r="G96" s="2">
        <f>IFERROR(__xludf.DUMMYFUNCTION("""COMPUTED_VALUE"""),5.5669723309E8)</f>
        <v>556697233.1</v>
      </c>
      <c r="H96" s="2"/>
      <c r="I96" s="2"/>
    </row>
    <row r="97">
      <c r="A97" s="7">
        <f>IFERROR(__xludf.DUMMYFUNCTION("""COMPUTED_VALUE"""),46305.0)</f>
        <v>46305</v>
      </c>
      <c r="B97" s="2" t="str">
        <f>IFERROR(__xludf.DUMMYFUNCTION("""COMPUTED_VALUE"""),"TRANSAKSI DEBIT")</f>
        <v>TRANSAKSI DEBIT</v>
      </c>
      <c r="C97" s="2" t="str">
        <f>IFERROR(__xludf.DUMMYFUNCTION("""COMPUTED_VALUE"""),"TGL: 10/10 QR 014 00000.00WSS JEMBER")</f>
        <v>TGL: 10/10 QR 014 00000.00WSS JEMBER</v>
      </c>
      <c r="D97" s="2">
        <f>IFERROR(__xludf.DUMMYFUNCTION("""COMPUTED_VALUE"""),187100.0)</f>
        <v>187100</v>
      </c>
      <c r="E97" s="2"/>
      <c r="F97" s="2"/>
      <c r="G97" s="2">
        <f>IFERROR(__xludf.DUMMYFUNCTION("""COMPUTED_VALUE"""),5.5651013309E8)</f>
        <v>556510133.1</v>
      </c>
      <c r="H97" s="2">
        <f>IFERROR(__xludf.DUMMYFUNCTION("""COMPUTED_VALUE"""),5.5651013309E8)</f>
        <v>556510133.1</v>
      </c>
      <c r="I97" s="2"/>
    </row>
    <row r="98">
      <c r="A98" s="7">
        <f>IFERROR(__xludf.DUMMYFUNCTION("""COMPUTED_VALUE"""),46306.0)</f>
        <v>46306</v>
      </c>
      <c r="B98" s="2" t="str">
        <f>IFERROR(__xludf.DUMMYFUNCTION("""COMPUTED_VALUE"""),"TRSF E-BANKING DB TANGGAL :10/10")</f>
        <v>TRSF E-BANKING DB TANGGAL :10/10</v>
      </c>
      <c r="C98" s="2" t="str">
        <f>IFERROR(__xludf.DUMMYFUNCTION("""COMPUTED_VALUE"""),"1010/FTSCY/WS95271 pelunasan RUKUN MITRA BERSAM")</f>
        <v>1010/FTSCY/WS95271 pelunasan RUKUN MITRA BERSAM</v>
      </c>
      <c r="D98" s="2">
        <f>IFERROR(__xludf.DUMMYFUNCTION("""COMPUTED_VALUE"""),6.5E7)</f>
        <v>65000000</v>
      </c>
      <c r="E98" s="2"/>
      <c r="F98" s="2" t="str">
        <f>IFERROR(__xludf.DUMMYFUNCTION("""COMPUTED_VALUE"""),"DB")</f>
        <v>DB</v>
      </c>
      <c r="G98" s="2">
        <f>IFERROR(__xludf.DUMMYFUNCTION("""COMPUTED_VALUE"""),4.9151013309000003E8)</f>
        <v>491510133.1</v>
      </c>
      <c r="H98" s="2"/>
      <c r="I98" s="2"/>
    </row>
    <row r="99">
      <c r="A99" s="7">
        <f>IFERROR(__xludf.DUMMYFUNCTION("""COMPUTED_VALUE"""),46306.0)</f>
        <v>46306</v>
      </c>
      <c r="B99" s="2" t="str">
        <f>IFERROR(__xludf.DUMMYFUNCTION("""COMPUTED_VALUE"""),"TRSF E-BANKING DB TANGGAL :10/10")</f>
        <v>TRSF E-BANKING DB TANGGAL :10/10</v>
      </c>
      <c r="C99" s="2" t="str">
        <f>IFERROR(__xludf.DUMMYFUNCTION("""COMPUTED_VALUE"""),"1010/FTSCY/WS95271 pelunasan 06/10 PITIK DIGITAL INDO")</f>
        <v>1010/FTSCY/WS95271 pelunasan 06/10 PITIK DIGITAL INDO</v>
      </c>
      <c r="D99" s="2">
        <f>IFERROR(__xludf.DUMMYFUNCTION("""COMPUTED_VALUE"""),4105440.0)</f>
        <v>4105440</v>
      </c>
      <c r="E99" s="2"/>
      <c r="F99" s="2" t="str">
        <f>IFERROR(__xludf.DUMMYFUNCTION("""COMPUTED_VALUE"""),"DB")</f>
        <v>DB</v>
      </c>
      <c r="G99" s="2">
        <f>IFERROR(__xludf.DUMMYFUNCTION("""COMPUTED_VALUE"""),4.8740469309000003E8)</f>
        <v>487404693.1</v>
      </c>
      <c r="H99" s="2"/>
      <c r="I99" s="2"/>
    </row>
    <row r="100">
      <c r="A100" s="7">
        <f>IFERROR(__xludf.DUMMYFUNCTION("""COMPUTED_VALUE"""),46306.0)</f>
        <v>46306</v>
      </c>
      <c r="B100" s="2" t="str">
        <f>IFERROR(__xludf.DUMMYFUNCTION("""COMPUTED_VALUE"""),"TRSF E-BANKING DB TANGGAL :10/10")</f>
        <v>TRSF E-BANKING DB TANGGAL :10/10</v>
      </c>
      <c r="C100" s="2" t="str">
        <f>IFERROR(__xludf.DUMMYFUNCTION("""COMPUTED_VALUE"""),"1010/FTSCY/WS95271 Fri Oct 09 2026 14:00:00 GMT+0700 (Western Indonesia Time) ANUGERAH KARTIKA A")</f>
        <v>1010/FTSCY/WS95271 Fri Oct 09 2026 14:00:00 GMT+0700 (Western Indonesia Time) ANUGERAH KARTIKA A</v>
      </c>
      <c r="D100" s="2">
        <f>IFERROR(__xludf.DUMMYFUNCTION("""COMPUTED_VALUE"""),7.48E7)</f>
        <v>74800000</v>
      </c>
      <c r="E100" s="2"/>
      <c r="F100" s="2" t="str">
        <f>IFERROR(__xludf.DUMMYFUNCTION("""COMPUTED_VALUE"""),"DB")</f>
        <v>DB</v>
      </c>
      <c r="G100" s="2">
        <f>IFERROR(__xludf.DUMMYFUNCTION("""COMPUTED_VALUE"""),4.1260469309000003E8)</f>
        <v>412604693.1</v>
      </c>
      <c r="H100" s="2"/>
      <c r="I100" s="2"/>
    </row>
    <row r="101">
      <c r="A101" s="7">
        <f>IFERROR(__xludf.DUMMYFUNCTION("""COMPUTED_VALUE"""),46306.0)</f>
        <v>46306</v>
      </c>
      <c r="B101" s="2" t="str">
        <f>IFERROR(__xludf.DUMMYFUNCTION("""COMPUTED_VALUE"""),"TRSF E-BANKING DB TANGGAL :10/10")</f>
        <v>TRSF E-BANKING DB TANGGAL :10/10</v>
      </c>
      <c r="C101" s="2" t="str">
        <f>IFERROR(__xludf.DUMMYFUNCTION("""COMPUTED_VALUE"""),"1010/FTSCY/WS95271 Fri Oct 09 2026 14:00:00 GMT+0700 (Western Indonesia Time) ANUGERAH KARTIKA A")</f>
        <v>1010/FTSCY/WS95271 Fri Oct 09 2026 14:00:00 GMT+0700 (Western Indonesia Time) ANUGERAH KARTIKA A</v>
      </c>
      <c r="D101" s="2">
        <f>IFERROR(__xludf.DUMMYFUNCTION("""COMPUTED_VALUE"""),6.7921E7)</f>
        <v>67921000</v>
      </c>
      <c r="E101" s="2"/>
      <c r="F101" s="2" t="str">
        <f>IFERROR(__xludf.DUMMYFUNCTION("""COMPUTED_VALUE"""),"DB")</f>
        <v>DB</v>
      </c>
      <c r="G101" s="2">
        <f>IFERROR(__xludf.DUMMYFUNCTION("""COMPUTED_VALUE"""),3.4468369309000003E8)</f>
        <v>344683693.1</v>
      </c>
      <c r="H101" s="2"/>
      <c r="I101" s="2"/>
    </row>
    <row r="102">
      <c r="A102" s="7">
        <f>IFERROR(__xludf.DUMMYFUNCTION("""COMPUTED_VALUE"""),46306.0)</f>
        <v>46306</v>
      </c>
      <c r="B102" s="2" t="str">
        <f>IFERROR(__xludf.DUMMYFUNCTION("""COMPUTED_VALUE"""),"TRSF E-BANKING DB TANGGAL :10/10")</f>
        <v>TRSF E-BANKING DB TANGGAL :10/10</v>
      </c>
      <c r="C102" s="2" t="str">
        <f>IFERROR(__xludf.DUMMYFUNCTION("""COMPUTED_VALUE"""),"1010/FTSCY/WS95271 pelunasan 09/10 ANDALAN YASA MITRA")</f>
        <v>1010/FTSCY/WS95271 pelunasan 09/10 ANDALAN YASA MITRA</v>
      </c>
      <c r="D102" s="2">
        <f>IFERROR(__xludf.DUMMYFUNCTION("""COMPUTED_VALUE"""),1838300.0)</f>
        <v>1838300</v>
      </c>
      <c r="E102" s="2"/>
      <c r="F102" s="2" t="str">
        <f>IFERROR(__xludf.DUMMYFUNCTION("""COMPUTED_VALUE"""),"DB")</f>
        <v>DB</v>
      </c>
      <c r="G102" s="2">
        <f>IFERROR(__xludf.DUMMYFUNCTION("""COMPUTED_VALUE"""),3.4284539309000003E8)</f>
        <v>342845393.1</v>
      </c>
      <c r="H102" s="2"/>
      <c r="I102" s="2"/>
    </row>
    <row r="103">
      <c r="A103" s="7">
        <f>IFERROR(__xludf.DUMMYFUNCTION("""COMPUTED_VALUE"""),46306.0)</f>
        <v>46306</v>
      </c>
      <c r="B103" s="2" t="str">
        <f>IFERROR(__xludf.DUMMYFUNCTION("""COMPUTED_VALUE"""),"TRSF E-BANKING DB TANGGAL :10/10")</f>
        <v>TRSF E-BANKING DB TANGGAL :10/10</v>
      </c>
      <c r="C103" s="2" t="str">
        <f>IFERROR(__xludf.DUMMYFUNCTION("""COMPUTED_VALUE"""),"1010/FTSCY/WS95011 09/10 t.agung PITIK DIGITAL INDO")</f>
        <v>1010/FTSCY/WS95011 09/10 t.agung PITIK DIGITAL INDO</v>
      </c>
      <c r="D103" s="2">
        <f>IFERROR(__xludf.DUMMYFUNCTION("""COMPUTED_VALUE"""),1.23E8)</f>
        <v>123000000</v>
      </c>
      <c r="E103" s="2"/>
      <c r="F103" s="2" t="str">
        <f>IFERROR(__xludf.DUMMYFUNCTION("""COMPUTED_VALUE"""),"DB")</f>
        <v>DB</v>
      </c>
      <c r="G103" s="2">
        <f>IFERROR(__xludf.DUMMYFUNCTION("""COMPUTED_VALUE"""),2.1984539309000003E8)</f>
        <v>219845393.1</v>
      </c>
      <c r="H103" s="2"/>
      <c r="I103" s="2"/>
    </row>
    <row r="104">
      <c r="A104" s="7">
        <f>IFERROR(__xludf.DUMMYFUNCTION("""COMPUTED_VALUE"""),46306.0)</f>
        <v>46306</v>
      </c>
      <c r="B104" s="2" t="str">
        <f>IFERROR(__xludf.DUMMYFUNCTION("""COMPUTED_VALUE"""),"TRSF E-BANKING DB TANGGAL :10/10")</f>
        <v>TRSF E-BANKING DB TANGGAL :10/10</v>
      </c>
      <c r="C104" s="2" t="str">
        <f>IFERROR(__xludf.DUMMYFUNCTION("""COMPUTED_VALUE"""),"1010/FTSCY/WS95011 Fri Oct 09 2026 14:00:00 GMT+0700 (Western Indonesia Time) BROILER MAKMUR TAN")</f>
        <v>1010/FTSCY/WS95011 Fri Oct 09 2026 14:00:00 GMT+0700 (Western Indonesia Time) BROILER MAKMUR TAN</v>
      </c>
      <c r="D104" s="2">
        <f>IFERROR(__xludf.DUMMYFUNCTION("""COMPUTED_VALUE"""),2.199233E8)</f>
        <v>219923300</v>
      </c>
      <c r="E104" s="2"/>
      <c r="F104" s="2" t="str">
        <f>IFERROR(__xludf.DUMMYFUNCTION("""COMPUTED_VALUE"""),"DB")</f>
        <v>DB</v>
      </c>
      <c r="G104" s="2">
        <f>IFERROR(__xludf.DUMMYFUNCTION("""COMPUTED_VALUE"""),122093.09000003338)</f>
        <v>122093.09</v>
      </c>
      <c r="H104" s="2">
        <f>IFERROR(__xludf.DUMMYFUNCTION("""COMPUTED_VALUE"""),122093.09)</f>
        <v>122093.09</v>
      </c>
      <c r="I104" s="2"/>
    </row>
    <row r="105">
      <c r="A105" s="7">
        <f>IFERROR(__xludf.DUMMYFUNCTION("""COMPUTED_VALUE"""),46306.0)</f>
        <v>46306</v>
      </c>
      <c r="B105" s="2" t="str">
        <f>IFERROR(__xludf.DUMMYFUNCTION("""COMPUTED_VALUE"""),"TRSF E-BANKING DB")</f>
        <v>TRSF E-BANKING DB</v>
      </c>
      <c r="C105" s="2" t="str">
        <f>IFERROR(__xludf.DUMMYFUNCTION("""COMPUTED_VALUE"""),"1110/FTSCY/WS95011 344338400.00 09/10 tuban PITIK DIGITAL INDO")</f>
        <v>1110/FTSCY/WS95011 344338400.00 09/10 tuban PITIK DIGITAL INDO</v>
      </c>
      <c r="D105" s="2">
        <f>IFERROR(__xludf.DUMMYFUNCTION("""COMPUTED_VALUE"""),3.443384E8)</f>
        <v>344338400</v>
      </c>
      <c r="E105" s="2"/>
      <c r="F105" s="2" t="str">
        <f>IFERROR(__xludf.DUMMYFUNCTION("""COMPUTED_VALUE"""),"DB")</f>
        <v>DB</v>
      </c>
      <c r="G105" s="2">
        <f>IFERROR(__xludf.DUMMYFUNCTION("""COMPUTED_VALUE"""),1.2478790309000003E8)</f>
        <v>124787903.1</v>
      </c>
      <c r="H105" s="2"/>
      <c r="I105" s="2"/>
    </row>
    <row r="106">
      <c r="A106" s="7">
        <f>IFERROR(__xludf.DUMMYFUNCTION("""COMPUTED_VALUE"""),46306.0)</f>
        <v>46306</v>
      </c>
      <c r="B106" s="2" t="str">
        <f>IFERROR(__xludf.DUMMYFUNCTION("""COMPUTED_VALUE"""),"TRSF E-BANKING DB")</f>
        <v>TRSF E-BANKING DB</v>
      </c>
      <c r="C106" s="2" t="str">
        <f>IFERROR(__xludf.DUMMYFUNCTION("""COMPUTED_VALUE"""),"1110/FTSCY/WS95011 57003800.00 Tue Nov 10 2026 15:00:00 GMT+0700 (Western Indonesia Time) BINTANG TAMA SANTO")</f>
        <v>1110/FTSCY/WS95011 57003800.00 Tue Nov 10 2026 15:00:00 GMT+0700 (Western Indonesia Time) BINTANG TAMA SANTO</v>
      </c>
      <c r="D106" s="2">
        <f>IFERROR(__xludf.DUMMYFUNCTION("""COMPUTED_VALUE"""),5.70038E7)</f>
        <v>57003800</v>
      </c>
      <c r="E106" s="2"/>
      <c r="F106" s="2" t="str">
        <f>IFERROR(__xludf.DUMMYFUNCTION("""COMPUTED_VALUE"""),"DB")</f>
        <v>DB</v>
      </c>
      <c r="G106" s="2">
        <f>IFERROR(__xludf.DUMMYFUNCTION("""COMPUTED_VALUE"""),6.778410309000003E7)</f>
        <v>67784103.09</v>
      </c>
      <c r="H106" s="2"/>
      <c r="I106" s="2"/>
    </row>
    <row r="107">
      <c r="A107" s="7">
        <f>IFERROR(__xludf.DUMMYFUNCTION("""COMPUTED_VALUE"""),46306.0)</f>
        <v>46306</v>
      </c>
      <c r="B107" s="2" t="str">
        <f>IFERROR(__xludf.DUMMYFUNCTION("""COMPUTED_VALUE"""),"TRSF E-BANKING DB")</f>
        <v>TRSF E-BANKING DB</v>
      </c>
      <c r="C107" s="2" t="str">
        <f>IFERROR(__xludf.DUMMYFUNCTION("""COMPUTED_VALUE"""),"1110/FTSCY/WS95011 57220400.00 Sat Oct 10 2026 14:00:00 GMT+0700 (Western Indonesia Time) BINTANG TAMA SANTO")</f>
        <v>1110/FTSCY/WS95011 57220400.00 Sat Oct 10 2026 14:00:00 GMT+0700 (Western Indonesia Time) BINTANG TAMA SANTO</v>
      </c>
      <c r="D107" s="2">
        <f>IFERROR(__xludf.DUMMYFUNCTION("""COMPUTED_VALUE"""),5.72204E7)</f>
        <v>57220400</v>
      </c>
      <c r="E107" s="2"/>
      <c r="F107" s="2" t="str">
        <f>IFERROR(__xludf.DUMMYFUNCTION("""COMPUTED_VALUE"""),"DB")</f>
        <v>DB</v>
      </c>
      <c r="G107" s="2">
        <f>IFERROR(__xludf.DUMMYFUNCTION("""COMPUTED_VALUE"""),1.0563703090000033E7)</f>
        <v>10563703.09</v>
      </c>
      <c r="H107" s="2"/>
      <c r="I107" s="2"/>
    </row>
    <row r="108">
      <c r="A108" s="7">
        <f>IFERROR(__xludf.DUMMYFUNCTION("""COMPUTED_VALUE"""),46306.0)</f>
        <v>46306</v>
      </c>
      <c r="B108" s="2" t="str">
        <f>IFERROR(__xludf.DUMMYFUNCTION("""COMPUTED_VALUE"""),"TRSF E-BANKING DB")</f>
        <v>TRSF E-BANKING DB</v>
      </c>
      <c r="C108" s="2" t="str">
        <f>IFERROR(__xludf.DUMMYFUNCTION("""COMPUTED_VALUE"""),"1110/FTSCY/WS95031 2300000.00 BELA PRAMUDITA")</f>
        <v>1110/FTSCY/WS95031 2300000.00 BELA PRAMUDITA</v>
      </c>
      <c r="D108" s="2">
        <f>IFERROR(__xludf.DUMMYFUNCTION("""COMPUTED_VALUE"""),2300000.0)</f>
        <v>2300000</v>
      </c>
      <c r="E108" s="2"/>
      <c r="F108" s="2" t="str">
        <f>IFERROR(__xludf.DUMMYFUNCTION("""COMPUTED_VALUE"""),"DB")</f>
        <v>DB</v>
      </c>
      <c r="G108" s="2">
        <f>IFERROR(__xludf.DUMMYFUNCTION("""COMPUTED_VALUE"""),8263703.090000033)</f>
        <v>8263703.09</v>
      </c>
      <c r="H108" s="2"/>
      <c r="I108" s="2"/>
    </row>
    <row r="109">
      <c r="A109" s="7">
        <f>IFERROR(__xludf.DUMMYFUNCTION("""COMPUTED_VALUE"""),46306.0)</f>
        <v>46306</v>
      </c>
      <c r="B109" s="2" t="str">
        <f>IFERROR(__xludf.DUMMYFUNCTION("""COMPUTED_VALUE"""),"TRSF E-BANKING DB")</f>
        <v>TRSF E-BANKING DB</v>
      </c>
      <c r="C109" s="2" t="str">
        <f>IFERROR(__xludf.DUMMYFUNCTION("""COMPUTED_VALUE"""),"1110/FTSCY/WS95271 63034200.00 Fri Oct 09 2026 14:00:00 GMT+0700 (Western Indonesia Time) SUPER UNGGAS JAYA")</f>
        <v>1110/FTSCY/WS95271 63034200.00 Fri Oct 09 2026 14:00:00 GMT+0700 (Western Indonesia Time) SUPER UNGGAS JAYA</v>
      </c>
      <c r="D109" s="2">
        <f>IFERROR(__xludf.DUMMYFUNCTION("""COMPUTED_VALUE"""),6.30342E7)</f>
        <v>63034200</v>
      </c>
      <c r="E109" s="2"/>
      <c r="F109" s="2" t="str">
        <f>IFERROR(__xludf.DUMMYFUNCTION("""COMPUTED_VALUE"""),"DB")</f>
        <v>DB</v>
      </c>
      <c r="G109" s="2">
        <f>IFERROR(__xludf.DUMMYFUNCTION("""COMPUTED_VALUE"""),2.8953653090000033E7)</f>
        <v>28953653.09</v>
      </c>
      <c r="H109" s="2"/>
      <c r="I109" s="2"/>
    </row>
    <row r="110">
      <c r="A110" s="7">
        <f>IFERROR(__xludf.DUMMYFUNCTION("""COMPUTED_VALUE"""),46306.0)</f>
        <v>46306</v>
      </c>
      <c r="B110" s="2" t="str">
        <f>IFERROR(__xludf.DUMMYFUNCTION("""COMPUTED_VALUE"""),"TRSF E-BANKING DB")</f>
        <v>TRSF E-BANKING DB</v>
      </c>
      <c r="C110" s="2" t="str">
        <f>IFERROR(__xludf.DUMMYFUNCTION("""COMPUTED_VALUE"""),"1110/FTSCY/WS95271 923190.00 NURHAYATI")</f>
        <v>1110/FTSCY/WS95271 923190.00 NURHAYATI</v>
      </c>
      <c r="D110" s="2">
        <f>IFERROR(__xludf.DUMMYFUNCTION("""COMPUTED_VALUE"""),923190.0)</f>
        <v>923190</v>
      </c>
      <c r="E110" s="2"/>
      <c r="F110" s="2" t="str">
        <f>IFERROR(__xludf.DUMMYFUNCTION("""COMPUTED_VALUE"""),"DB")</f>
        <v>DB</v>
      </c>
      <c r="G110" s="2">
        <f>IFERROR(__xludf.DUMMYFUNCTION("""COMPUTED_VALUE"""),2.8030463090000033E7)</f>
        <v>28030463.09</v>
      </c>
      <c r="H110" s="2">
        <f>IFERROR(__xludf.DUMMYFUNCTION("""COMPUTED_VALUE"""),2.803046309E7)</f>
        <v>28030463.09</v>
      </c>
      <c r="I110" s="2"/>
    </row>
    <row r="111">
      <c r="A111" s="7">
        <f>IFERROR(__xludf.DUMMYFUNCTION("""COMPUTED_VALUE"""),46306.0)</f>
        <v>46306</v>
      </c>
      <c r="B111" s="2" t="str">
        <f>IFERROR(__xludf.DUMMYFUNCTION("""COMPUTED_VALUE"""),"TRSF E-BANKING DB")</f>
        <v>TRSF E-BANKING DB</v>
      </c>
      <c r="C111" s="2" t="str">
        <f>IFERROR(__xludf.DUMMYFUNCTION("""COMPUTED_VALUE"""),"1110/FTSCY/WS95031 27970000.00 NURUL AINI")</f>
        <v>1110/FTSCY/WS95031 27970000.00 NURUL AINI</v>
      </c>
      <c r="D111" s="2">
        <f>IFERROR(__xludf.DUMMYFUNCTION("""COMPUTED_VALUE"""),2.797E7)</f>
        <v>27970000</v>
      </c>
      <c r="E111" s="2"/>
      <c r="F111" s="2" t="str">
        <f>IFERROR(__xludf.DUMMYFUNCTION("""COMPUTED_VALUE"""),"DB")</f>
        <v>DB</v>
      </c>
      <c r="G111" s="2">
        <f>IFERROR(__xludf.DUMMYFUNCTION("""COMPUTED_VALUE"""),60463.09000003338)</f>
        <v>60463.09</v>
      </c>
      <c r="H111" s="2">
        <f>IFERROR(__xludf.DUMMYFUNCTION("""COMPUTED_VALUE"""),60463.09)</f>
        <v>60463.09</v>
      </c>
      <c r="I111" s="2"/>
    </row>
    <row r="112">
      <c r="A112" s="7">
        <f>IFERROR(__xludf.DUMMYFUNCTION("""COMPUTED_VALUE"""),46306.0)</f>
        <v>46306</v>
      </c>
      <c r="B112" s="2" t="str">
        <f>IFERROR(__xludf.DUMMYFUNCTION("""COMPUTED_VALUE"""),"TRSF E-BANKING DB")</f>
        <v>TRSF E-BANKING DB</v>
      </c>
      <c r="C112" s="2" t="str">
        <f>IFERROR(__xludf.DUMMYFUNCTION("""COMPUTED_VALUE"""),"1110/FTSCY/WS95031 7360350.00 EKO SETIYAWAN")</f>
        <v>1110/FTSCY/WS95031 7360350.00 EKO SETIYAWAN</v>
      </c>
      <c r="D112" s="2">
        <f>IFERROR(__xludf.DUMMYFUNCTION("""COMPUTED_VALUE"""),7360350.0)</f>
        <v>7360350</v>
      </c>
      <c r="E112" s="2"/>
      <c r="F112" s="2" t="str">
        <f>IFERROR(__xludf.DUMMYFUNCTION("""COMPUTED_VALUE"""),"DB")</f>
        <v>DB</v>
      </c>
      <c r="G112" s="2">
        <f>IFERROR(__xludf.DUMMYFUNCTION("""COMPUTED_VALUE"""),2.2954557309000003E8)</f>
        <v>229545573.1</v>
      </c>
      <c r="H112" s="2"/>
      <c r="I112" s="2"/>
    </row>
    <row r="113">
      <c r="A113" s="7">
        <f>IFERROR(__xludf.DUMMYFUNCTION("""COMPUTED_VALUE"""),46306.0)</f>
        <v>46306</v>
      </c>
      <c r="B113" s="2" t="str">
        <f>IFERROR(__xludf.DUMMYFUNCTION("""COMPUTED_VALUE"""),"KARTU DEBIT")</f>
        <v>KARTU DEBIT</v>
      </c>
      <c r="C113" s="2" t="str">
        <f>IFERROR(__xludf.DUMMYFUNCTION("""COMPUTED_VALUE"""),"ALFAMRT Y207 BRTN 6019009510239343")</f>
        <v>ALFAMRT Y207 BRTN 6019009510239343</v>
      </c>
      <c r="D113" s="2">
        <f>IFERROR(__xludf.DUMMYFUNCTION("""COMPUTED_VALUE"""),317200.0)</f>
        <v>317200</v>
      </c>
      <c r="E113" s="2"/>
      <c r="F113" s="2"/>
      <c r="G113" s="2">
        <f>IFERROR(__xludf.DUMMYFUNCTION("""COMPUTED_VALUE"""),2.2922837309000003E8)</f>
        <v>229228373.1</v>
      </c>
      <c r="H113" s="2"/>
      <c r="I113" s="2"/>
    </row>
    <row r="114">
      <c r="A114" s="7">
        <f>IFERROR(__xludf.DUMMYFUNCTION("""COMPUTED_VALUE"""),46306.0)</f>
        <v>46306</v>
      </c>
      <c r="B114" s="2" t="str">
        <f>IFERROR(__xludf.DUMMYFUNCTION("""COMPUTED_VALUE"""),"TRSF E-BANKING DB")</f>
        <v>TRSF E-BANKING DB</v>
      </c>
      <c r="C114" s="2" t="str">
        <f>IFERROR(__xludf.DUMMYFUNCTION("""COMPUTED_VALUE"""),"1110/FTSCY/WS95271 39900000.00 pelunasan TABASSAM AZ ZUFAR")</f>
        <v>1110/FTSCY/WS95271 39900000.00 pelunasan TABASSAM AZ ZUFAR</v>
      </c>
      <c r="D114" s="2">
        <f>IFERROR(__xludf.DUMMYFUNCTION("""COMPUTED_VALUE"""),3.99E7)</f>
        <v>39900000</v>
      </c>
      <c r="E114" s="2"/>
      <c r="F114" s="2" t="str">
        <f>IFERROR(__xludf.DUMMYFUNCTION("""COMPUTED_VALUE"""),"DB")</f>
        <v>DB</v>
      </c>
      <c r="G114" s="2">
        <f>IFERROR(__xludf.DUMMYFUNCTION("""COMPUTED_VALUE"""),1.8932837309000003E8)</f>
        <v>189328373.1</v>
      </c>
      <c r="H114" s="2"/>
      <c r="I114" s="2"/>
    </row>
    <row r="115">
      <c r="A115" s="7">
        <f>IFERROR(__xludf.DUMMYFUNCTION("""COMPUTED_VALUE"""),46306.0)</f>
        <v>46306</v>
      </c>
      <c r="B115" s="2" t="str">
        <f>IFERROR(__xludf.DUMMYFUNCTION("""COMPUTED_VALUE"""),"TRSF E-BANKING DB")</f>
        <v>TRSF E-BANKING DB</v>
      </c>
      <c r="C115" s="2" t="str">
        <f>IFERROR(__xludf.DUMMYFUNCTION("""COMPUTED_VALUE"""),"1110/FTSCY/WS95011 40801390.00 Fri Oct 09 2026 14:00:00 GMT+0700 (Western Indonesia Time) ANDALAN YASA MITRA")</f>
        <v>1110/FTSCY/WS95011 40801390.00 Fri Oct 09 2026 14:00:00 GMT+0700 (Western Indonesia Time) ANDALAN YASA MITRA</v>
      </c>
      <c r="D115" s="2">
        <f>IFERROR(__xludf.DUMMYFUNCTION("""COMPUTED_VALUE"""),4.080139E7)</f>
        <v>40801390</v>
      </c>
      <c r="E115" s="2"/>
      <c r="F115" s="2" t="str">
        <f>IFERROR(__xludf.DUMMYFUNCTION("""COMPUTED_VALUE"""),"DB")</f>
        <v>DB</v>
      </c>
      <c r="G115" s="2">
        <f>IFERROR(__xludf.DUMMYFUNCTION("""COMPUTED_VALUE"""),1.4852698309000003E8)</f>
        <v>148526983.1</v>
      </c>
      <c r="H115" s="2"/>
      <c r="I115" s="2"/>
    </row>
    <row r="116">
      <c r="A116" s="7">
        <f>IFERROR(__xludf.DUMMYFUNCTION("""COMPUTED_VALUE"""),46306.0)</f>
        <v>46306</v>
      </c>
      <c r="B116" s="2" t="str">
        <f>IFERROR(__xludf.DUMMYFUNCTION("""COMPUTED_VALUE"""),"TRSF E-BANKING DB")</f>
        <v>TRSF E-BANKING DB</v>
      </c>
      <c r="C116" s="2" t="str">
        <f>IFERROR(__xludf.DUMMYFUNCTION("""COMPUTED_VALUE"""),"1110/FTSCY/WS95031 23000000.00 pelunasan ANDALAN YASA MITRA")</f>
        <v>1110/FTSCY/WS95031 23000000.00 pelunasan ANDALAN YASA MITRA</v>
      </c>
      <c r="D116" s="2">
        <f>IFERROR(__xludf.DUMMYFUNCTION("""COMPUTED_VALUE"""),2.3E7)</f>
        <v>23000000</v>
      </c>
      <c r="E116" s="2"/>
      <c r="F116" s="2" t="str">
        <f>IFERROR(__xludf.DUMMYFUNCTION("""COMPUTED_VALUE"""),"DB")</f>
        <v>DB</v>
      </c>
      <c r="G116" s="2">
        <f>IFERROR(__xludf.DUMMYFUNCTION("""COMPUTED_VALUE"""),1.2552698309000003E8)</f>
        <v>125526983.1</v>
      </c>
      <c r="H116" s="2">
        <f>IFERROR(__xludf.DUMMYFUNCTION("""COMPUTED_VALUE"""),1.2552698309E8)</f>
        <v>125526983.1</v>
      </c>
      <c r="I116" s="2"/>
    </row>
    <row r="117">
      <c r="A117" s="7">
        <f>IFERROR(__xludf.DUMMYFUNCTION("""COMPUTED_VALUE"""),46307.0)</f>
        <v>46307</v>
      </c>
      <c r="B117" s="2" t="str">
        <f>IFERROR(__xludf.DUMMYFUNCTION("""COMPUTED_VALUE"""),"TRSF E-BANKING DB")</f>
        <v>TRSF E-BANKING DB</v>
      </c>
      <c r="C117" s="2" t="str">
        <f>IFERROR(__xludf.DUMMYFUNCTION("""COMPUTED_VALUE"""),"1210/FTSCY/WS95011 71200350.00 Sat Oct 10 2026 14:00:00 GMT+0700 (Western Indonesia Time) ANDALAN YASA MITRA")</f>
        <v>1210/FTSCY/WS95011 71200350.00 Sat Oct 10 2026 14:00:00 GMT+0700 (Western Indonesia Time) ANDALAN YASA MITRA</v>
      </c>
      <c r="D117" s="2">
        <f>IFERROR(__xludf.DUMMYFUNCTION("""COMPUTED_VALUE"""),7.120035E7)</f>
        <v>71200350</v>
      </c>
      <c r="E117" s="2"/>
      <c r="F117" s="2" t="str">
        <f>IFERROR(__xludf.DUMMYFUNCTION("""COMPUTED_VALUE"""),"DB")</f>
        <v>DB</v>
      </c>
      <c r="G117" s="2">
        <f>IFERROR(__xludf.DUMMYFUNCTION("""COMPUTED_VALUE"""),1.0203403090000033E7)</f>
        <v>10203403.09</v>
      </c>
      <c r="H117" s="2"/>
      <c r="I117" s="2"/>
    </row>
    <row r="118">
      <c r="A118" s="7">
        <f>IFERROR(__xludf.DUMMYFUNCTION("""COMPUTED_VALUE"""),46307.0)</f>
        <v>46307</v>
      </c>
      <c r="B118" s="2" t="str">
        <f>IFERROR(__xludf.DUMMYFUNCTION("""COMPUTED_VALUE"""),"TRSF E-BANKING DB")</f>
        <v>TRSF E-BANKING DB</v>
      </c>
      <c r="C118" s="2" t="str">
        <f>IFERROR(__xludf.DUMMYFUNCTION("""COMPUTED_VALUE"""),"1210/FTSCY/WS95031 6005000.00 DWI HERMANSYAH")</f>
        <v>1210/FTSCY/WS95031 6005000.00 DWI HERMANSYAH</v>
      </c>
      <c r="D118" s="2">
        <f>IFERROR(__xludf.DUMMYFUNCTION("""COMPUTED_VALUE"""),6005000.0)</f>
        <v>6005000</v>
      </c>
      <c r="E118" s="2"/>
      <c r="F118" s="2" t="str">
        <f>IFERROR(__xludf.DUMMYFUNCTION("""COMPUTED_VALUE"""),"DB")</f>
        <v>DB</v>
      </c>
      <c r="G118" s="2">
        <f>IFERROR(__xludf.DUMMYFUNCTION("""COMPUTED_VALUE"""),4198403.090000033)</f>
        <v>4198403.09</v>
      </c>
      <c r="H118" s="2"/>
      <c r="I118" s="2"/>
    </row>
    <row r="119">
      <c r="A119" s="7">
        <f>IFERROR(__xludf.DUMMYFUNCTION("""COMPUTED_VALUE"""),46307.0)</f>
        <v>46307</v>
      </c>
      <c r="B119" s="2" t="str">
        <f>IFERROR(__xludf.DUMMYFUNCTION("""COMPUTED_VALUE"""),"TARIKAN ATM 12/10")</f>
        <v>TARIKAN ATM 12/10</v>
      </c>
      <c r="C119" s="2" t="str">
        <f>IFERROR(__xludf.DUMMYFUNCTION("""COMPUTED_VALUE"""),"TARIKAN ATM 12/10")</f>
        <v>TARIKAN ATM 12/10</v>
      </c>
      <c r="D119" s="2">
        <f>IFERROR(__xludf.DUMMYFUNCTION("""COMPUTED_VALUE"""),800000.0)</f>
        <v>800000</v>
      </c>
      <c r="E119" s="2"/>
      <c r="F119" s="2"/>
      <c r="G119" s="2">
        <f>IFERROR(__xludf.DUMMYFUNCTION("""COMPUTED_VALUE"""),4.8585331309000003E8)</f>
        <v>485853313.1</v>
      </c>
      <c r="H119" s="2"/>
      <c r="I119" s="2"/>
    </row>
    <row r="120">
      <c r="A120" s="7">
        <f>IFERROR(__xludf.DUMMYFUNCTION("""COMPUTED_VALUE"""),46307.0)</f>
        <v>46307</v>
      </c>
      <c r="B120" s="2" t="str">
        <f>IFERROR(__xludf.DUMMYFUNCTION("""COMPUTED_VALUE"""),"TRSF E-BANKING DB")</f>
        <v>TRSF E-BANKING DB</v>
      </c>
      <c r="C120" s="2" t="str">
        <f>IFERROR(__xludf.DUMMYFUNCTION("""COMPUTED_VALUE"""),"1210/FTSCY/WS95031 6918910.00 EKO SETIYAWAN")</f>
        <v>1210/FTSCY/WS95031 6918910.00 EKO SETIYAWAN</v>
      </c>
      <c r="D120" s="2">
        <f>IFERROR(__xludf.DUMMYFUNCTION("""COMPUTED_VALUE"""),6918910.0)</f>
        <v>6918910</v>
      </c>
      <c r="E120" s="2"/>
      <c r="F120" s="2" t="str">
        <f>IFERROR(__xludf.DUMMYFUNCTION("""COMPUTED_VALUE"""),"DB")</f>
        <v>DB</v>
      </c>
      <c r="G120" s="2">
        <f>IFERROR(__xludf.DUMMYFUNCTION("""COMPUTED_VALUE"""),4.7893440309000003E8)</f>
        <v>478934403.1</v>
      </c>
      <c r="H120" s="2"/>
      <c r="I120" s="2"/>
    </row>
    <row r="121">
      <c r="A121" s="7">
        <f>IFERROR(__xludf.DUMMYFUNCTION("""COMPUTED_VALUE"""),46307.0)</f>
        <v>46307</v>
      </c>
      <c r="B121" s="2" t="str">
        <f>IFERROR(__xludf.DUMMYFUNCTION("""COMPUTED_VALUE"""),"TRSF E-BANKING DB")</f>
        <v>TRSF E-BANKING DB</v>
      </c>
      <c r="C121" s="2" t="str">
        <f>IFERROR(__xludf.DUMMYFUNCTION("""COMPUTED_VALUE"""),"1210/FTSCY/WS95031 8060540.00 krg 3 jt FAJAR ANDREANZAH")</f>
        <v>1210/FTSCY/WS95031 8060540.00 krg 3 jt FAJAR ANDREANZAH</v>
      </c>
      <c r="D121" s="2">
        <f>IFERROR(__xludf.DUMMYFUNCTION("""COMPUTED_VALUE"""),8060540.0)</f>
        <v>8060540</v>
      </c>
      <c r="E121" s="2"/>
      <c r="F121" s="2" t="str">
        <f>IFERROR(__xludf.DUMMYFUNCTION("""COMPUTED_VALUE"""),"DB")</f>
        <v>DB</v>
      </c>
      <c r="G121" s="2">
        <f>IFERROR(__xludf.DUMMYFUNCTION("""COMPUTED_VALUE"""),4.7087386309000003E8)</f>
        <v>470873863.1</v>
      </c>
      <c r="H121" s="2">
        <f>IFERROR(__xludf.DUMMYFUNCTION("""COMPUTED_VALUE"""),4.7087386309E8)</f>
        <v>470873863.1</v>
      </c>
      <c r="I121" s="2"/>
    </row>
    <row r="122">
      <c r="A122" s="7">
        <f>IFERROR(__xludf.DUMMYFUNCTION("""COMPUTED_VALUE"""),46307.0)</f>
        <v>46307</v>
      </c>
      <c r="B122" s="2" t="str">
        <f>IFERROR(__xludf.DUMMYFUNCTION("""COMPUTED_VALUE"""),"TRSF E-BANKING DB")</f>
        <v>TRSF E-BANKING DB</v>
      </c>
      <c r="C122" s="2" t="str">
        <f>IFERROR(__xludf.DUMMYFUNCTION("""COMPUTED_VALUE"""),"1210/FTFVA/WS95031 55569/PT PRIMA FAJ 11 oct. - 40190")</f>
        <v>1210/FTFVA/WS95031 55569/PT PRIMA FAJ 11 oct. - 40190</v>
      </c>
      <c r="D122" s="2">
        <f>IFERROR(__xludf.DUMMYFUNCTION("""COMPUTED_VALUE"""),6.886626E7)</f>
        <v>68866260</v>
      </c>
      <c r="E122" s="2"/>
      <c r="F122" s="2" t="str">
        <f>IFERROR(__xludf.DUMMYFUNCTION("""COMPUTED_VALUE"""),"DB")</f>
        <v>DB</v>
      </c>
      <c r="G122" s="2">
        <f>IFERROR(__xludf.DUMMYFUNCTION("""COMPUTED_VALUE"""),4.7480760309000003E8)</f>
        <v>474807603.1</v>
      </c>
      <c r="H122" s="2"/>
      <c r="I122" s="2"/>
    </row>
    <row r="123">
      <c r="A123" s="7">
        <f>IFERROR(__xludf.DUMMYFUNCTION("""COMPUTED_VALUE"""),46308.0)</f>
        <v>46308</v>
      </c>
      <c r="B123" s="2" t="str">
        <f>IFERROR(__xludf.DUMMYFUNCTION("""COMPUTED_VALUE"""),"TRSF E-BANKING DB")</f>
        <v>TRSF E-BANKING DB</v>
      </c>
      <c r="C123" s="2" t="str">
        <f>IFERROR(__xludf.DUMMYFUNCTION("""COMPUTED_VALUE"""),"1310/FTSCY/WS95031 58273720.00 Sat Oct 10 2026 14:00:00 GMT+0700 (Western Indonesia Time) BROILER MAKMUR TAN")</f>
        <v>1310/FTSCY/WS95031 58273720.00 Sat Oct 10 2026 14:00:00 GMT+0700 (Western Indonesia Time) BROILER MAKMUR TAN</v>
      </c>
      <c r="D123" s="2">
        <f>IFERROR(__xludf.DUMMYFUNCTION("""COMPUTED_VALUE"""),5.827372E7)</f>
        <v>58273720</v>
      </c>
      <c r="E123" s="2"/>
      <c r="F123" s="2" t="str">
        <f>IFERROR(__xludf.DUMMYFUNCTION("""COMPUTED_VALUE"""),"DB")</f>
        <v>DB</v>
      </c>
      <c r="G123" s="2">
        <f>IFERROR(__xludf.DUMMYFUNCTION("""COMPUTED_VALUE"""),4.3695880309000003E8)</f>
        <v>436958803.1</v>
      </c>
      <c r="H123" s="2"/>
      <c r="I123" s="2"/>
    </row>
    <row r="124">
      <c r="A124" s="7">
        <f>IFERROR(__xludf.DUMMYFUNCTION("""COMPUTED_VALUE"""),46308.0)</f>
        <v>46308</v>
      </c>
      <c r="B124" s="2" t="str">
        <f>IFERROR(__xludf.DUMMYFUNCTION("""COMPUTED_VALUE"""),"TRSF E-BANKING DB")</f>
        <v>TRSF E-BANKING DB</v>
      </c>
      <c r="C124" s="2" t="str">
        <f>IFERROR(__xludf.DUMMYFUNCTION("""COMPUTED_VALUE"""),"1310/FTSCY/WS95271 133000000.00 Sun Oct 11 2026 14:00:00 GMT+0700 (Western Indonesia Time) INTEGRASI TEKNOLOG")</f>
        <v>1310/FTSCY/WS95271 133000000.00 Sun Oct 11 2026 14:00:00 GMT+0700 (Western Indonesia Time) INTEGRASI TEKNOLOG</v>
      </c>
      <c r="D124" s="2">
        <f>IFERROR(__xludf.DUMMYFUNCTION("""COMPUTED_VALUE"""),1.33E8)</f>
        <v>133000000</v>
      </c>
      <c r="E124" s="2"/>
      <c r="F124" s="2" t="str">
        <f>IFERROR(__xludf.DUMMYFUNCTION("""COMPUTED_VALUE"""),"DB")</f>
        <v>DB</v>
      </c>
      <c r="G124" s="2">
        <f>IFERROR(__xludf.DUMMYFUNCTION("""COMPUTED_VALUE"""),3.0395880309000003E8)</f>
        <v>303958803.1</v>
      </c>
      <c r="H124" s="2"/>
      <c r="I124" s="2"/>
    </row>
    <row r="125">
      <c r="A125" s="7">
        <f>IFERROR(__xludf.DUMMYFUNCTION("""COMPUTED_VALUE"""),46308.0)</f>
        <v>46308</v>
      </c>
      <c r="B125" s="2" t="str">
        <f>IFERROR(__xludf.DUMMYFUNCTION("""COMPUTED_VALUE"""),"TRSF E-BANKING DB")</f>
        <v>TRSF E-BANKING DB</v>
      </c>
      <c r="C125" s="2" t="str">
        <f>IFERROR(__xludf.DUMMYFUNCTION("""COMPUTED_VALUE"""),"1310/FTSCY/WS95271 1207520.00 ANDE DOSO ANGGORO")</f>
        <v>1310/FTSCY/WS95271 1207520.00 ANDE DOSO ANGGORO</v>
      </c>
      <c r="D125" s="2">
        <f>IFERROR(__xludf.DUMMYFUNCTION("""COMPUTED_VALUE"""),1207520.0)</f>
        <v>1207520</v>
      </c>
      <c r="E125" s="2"/>
      <c r="F125" s="2" t="str">
        <f>IFERROR(__xludf.DUMMYFUNCTION("""COMPUTED_VALUE"""),"DB")</f>
        <v>DB</v>
      </c>
      <c r="G125" s="2">
        <f>IFERROR(__xludf.DUMMYFUNCTION("""COMPUTED_VALUE"""),8.0917196109E8)</f>
        <v>809171961.1</v>
      </c>
      <c r="H125" s="2"/>
      <c r="I125" s="2"/>
    </row>
    <row r="126">
      <c r="A126" s="7">
        <f>IFERROR(__xludf.DUMMYFUNCTION("""COMPUTED_VALUE"""),46308.0)</f>
        <v>46308</v>
      </c>
      <c r="B126" s="2" t="str">
        <f>IFERROR(__xludf.DUMMYFUNCTION("""COMPUTED_VALUE"""),"TRSF E-BANKING DB")</f>
        <v>TRSF E-BANKING DB</v>
      </c>
      <c r="C126" s="2" t="str">
        <f>IFERROR(__xludf.DUMMYFUNCTION("""COMPUTED_VALUE"""),"1310/FTSCY/WS95011 233111400.00 Sun Oct 11 2026 14:00:00 GMT+0700 (Western Indonesia Time) TABASSAM AL HATTAK")</f>
        <v>1310/FTSCY/WS95011 233111400.00 Sun Oct 11 2026 14:00:00 GMT+0700 (Western Indonesia Time) TABASSAM AL HATTAK</v>
      </c>
      <c r="D126" s="2">
        <f>IFERROR(__xludf.DUMMYFUNCTION("""COMPUTED_VALUE"""),2.331114E8)</f>
        <v>233111400</v>
      </c>
      <c r="E126" s="2"/>
      <c r="F126" s="2" t="str">
        <f>IFERROR(__xludf.DUMMYFUNCTION("""COMPUTED_VALUE"""),"DB")</f>
        <v>DB</v>
      </c>
      <c r="G126" s="2">
        <f>IFERROR(__xludf.DUMMYFUNCTION("""COMPUTED_VALUE"""),5.7606056109E8)</f>
        <v>576060561.1</v>
      </c>
      <c r="H126" s="2"/>
      <c r="I126" s="2"/>
    </row>
    <row r="127">
      <c r="A127" s="7">
        <f>IFERROR(__xludf.DUMMYFUNCTION("""COMPUTED_VALUE"""),46308.0)</f>
        <v>46308</v>
      </c>
      <c r="B127" s="2" t="str">
        <f>IFERROR(__xludf.DUMMYFUNCTION("""COMPUTED_VALUE"""),"TRSF E-BANKING DB")</f>
        <v>TRSF E-BANKING DB</v>
      </c>
      <c r="C127" s="2" t="str">
        <f>IFERROR(__xludf.DUMMYFUNCTION("""COMPUTED_VALUE"""),"1310/FTSCY/WS95011 60851300.00 Sun Oct 11 2026 14:00:00 GMT+0700 (Western Indonesia Time) ANDALAN YASA MITRA")</f>
        <v>1310/FTSCY/WS95011 60851300.00 Sun Oct 11 2026 14:00:00 GMT+0700 (Western Indonesia Time) ANDALAN YASA MITRA</v>
      </c>
      <c r="D127" s="2">
        <f>IFERROR(__xludf.DUMMYFUNCTION("""COMPUTED_VALUE"""),6.08513E7)</f>
        <v>60851300</v>
      </c>
      <c r="E127" s="2"/>
      <c r="F127" s="2" t="str">
        <f>IFERROR(__xludf.DUMMYFUNCTION("""COMPUTED_VALUE"""),"DB")</f>
        <v>DB</v>
      </c>
      <c r="G127" s="2">
        <f>IFERROR(__xludf.DUMMYFUNCTION("""COMPUTED_VALUE"""),5.1520926109000003E8)</f>
        <v>515209261.1</v>
      </c>
      <c r="H127" s="2"/>
      <c r="I127" s="2"/>
    </row>
    <row r="128">
      <c r="A128" s="7">
        <f>IFERROR(__xludf.DUMMYFUNCTION("""COMPUTED_VALUE"""),46308.0)</f>
        <v>46308</v>
      </c>
      <c r="B128" s="2" t="str">
        <f>IFERROR(__xludf.DUMMYFUNCTION("""COMPUTED_VALUE"""),"TRSF E-BANKING DB")</f>
        <v>TRSF E-BANKING DB</v>
      </c>
      <c r="C128" s="2" t="str">
        <f>IFERROR(__xludf.DUMMYFUNCTION("""COMPUTED_VALUE"""),"1310/FTSCY/WS95011 60851300.00 Sun Oct 11 2026 14:00:00 GMT+0700 (Western Indonesia Time) SURYA INTI TERNAK")</f>
        <v>1310/FTSCY/WS95011 60851300.00 Sun Oct 11 2026 14:00:00 GMT+0700 (Western Indonesia Time) SURYA INTI TERNAK</v>
      </c>
      <c r="D128" s="2">
        <f>IFERROR(__xludf.DUMMYFUNCTION("""COMPUTED_VALUE"""),6.08513E7)</f>
        <v>60851300</v>
      </c>
      <c r="E128" s="2"/>
      <c r="F128" s="2" t="str">
        <f>IFERROR(__xludf.DUMMYFUNCTION("""COMPUTED_VALUE"""),"DB")</f>
        <v>DB</v>
      </c>
      <c r="G128" s="2">
        <f>IFERROR(__xludf.DUMMYFUNCTION("""COMPUTED_VALUE"""),4.5435796109000003E8)</f>
        <v>454357961.1</v>
      </c>
      <c r="H128" s="2"/>
      <c r="I128" s="2"/>
    </row>
    <row r="129">
      <c r="A129" s="7">
        <f>IFERROR(__xludf.DUMMYFUNCTION("""COMPUTED_VALUE"""),46308.0)</f>
        <v>46308</v>
      </c>
      <c r="B129" s="2" t="str">
        <f>IFERROR(__xludf.DUMMYFUNCTION("""COMPUTED_VALUE"""),"TRSF E-BANKING DB")</f>
        <v>TRSF E-BANKING DB</v>
      </c>
      <c r="C129" s="2" t="str">
        <f>IFERROR(__xludf.DUMMYFUNCTION("""COMPUTED_VALUE"""),"1310/FTSCY/WS95011 59200000.00 Sun Oct 11 2026 14:00:00 GMT+0700 (Western Indonesia Time) RUKUN MITRA BERSAM")</f>
        <v>1310/FTSCY/WS95011 59200000.00 Sun Oct 11 2026 14:00:00 GMT+0700 (Western Indonesia Time) RUKUN MITRA BERSAM</v>
      </c>
      <c r="D129" s="2">
        <f>IFERROR(__xludf.DUMMYFUNCTION("""COMPUTED_VALUE"""),5.92E7)</f>
        <v>59200000</v>
      </c>
      <c r="E129" s="2"/>
      <c r="F129" s="2" t="str">
        <f>IFERROR(__xludf.DUMMYFUNCTION("""COMPUTED_VALUE"""),"DB")</f>
        <v>DB</v>
      </c>
      <c r="G129" s="2">
        <f>IFERROR(__xludf.DUMMYFUNCTION("""COMPUTED_VALUE"""),3.9515796109000003E8)</f>
        <v>395157961.1</v>
      </c>
      <c r="H129" s="2"/>
      <c r="I129" s="2"/>
    </row>
    <row r="130">
      <c r="A130" s="7">
        <f>IFERROR(__xludf.DUMMYFUNCTION("""COMPUTED_VALUE"""),46308.0)</f>
        <v>46308</v>
      </c>
      <c r="B130" s="2" t="str">
        <f>IFERROR(__xludf.DUMMYFUNCTION("""COMPUTED_VALUE"""),"TRSF E-BANKING DB")</f>
        <v>TRSF E-BANKING DB</v>
      </c>
      <c r="C130" s="2" t="str">
        <f>IFERROR(__xludf.DUMMYFUNCTION("""COMPUTED_VALUE"""),"1310/FTSCY/WS95011 28186500.00 Sun Oct 11 2026 14:00:00 GMT+0700 (Western Indonesia Time) ANUGERAH KARTIKA A")</f>
        <v>1310/FTSCY/WS95011 28186500.00 Sun Oct 11 2026 14:00:00 GMT+0700 (Western Indonesia Time) ANUGERAH KARTIKA A</v>
      </c>
      <c r="D130" s="2">
        <f>IFERROR(__xludf.DUMMYFUNCTION("""COMPUTED_VALUE"""),2.81865E7)</f>
        <v>28186500</v>
      </c>
      <c r="E130" s="2"/>
      <c r="F130" s="2" t="str">
        <f>IFERROR(__xludf.DUMMYFUNCTION("""COMPUTED_VALUE"""),"DB")</f>
        <v>DB</v>
      </c>
      <c r="G130" s="2">
        <f>IFERROR(__xludf.DUMMYFUNCTION("""COMPUTED_VALUE"""),3.6697146109000003E8)</f>
        <v>366971461.1</v>
      </c>
      <c r="H130" s="2"/>
      <c r="I130" s="2"/>
    </row>
    <row r="131">
      <c r="A131" s="7">
        <f>IFERROR(__xludf.DUMMYFUNCTION("""COMPUTED_VALUE"""),46308.0)</f>
        <v>46308</v>
      </c>
      <c r="B131" s="2" t="str">
        <f>IFERROR(__xludf.DUMMYFUNCTION("""COMPUTED_VALUE"""),"TRSF E-BANKING DB")</f>
        <v>TRSF E-BANKING DB</v>
      </c>
      <c r="C131" s="2" t="str">
        <f>IFERROR(__xludf.DUMMYFUNCTION("""COMPUTED_VALUE"""),"1310/FTSCY/WS95011 4940000.00 Sun Oct 11 2026 14:00:00 GMT+0700 (Western Indonesia Time) ANDALAN YASA MITRA")</f>
        <v>1310/FTSCY/WS95011 4940000.00 Sun Oct 11 2026 14:00:00 GMT+0700 (Western Indonesia Time) ANDALAN YASA MITRA</v>
      </c>
      <c r="D131" s="2">
        <f>IFERROR(__xludf.DUMMYFUNCTION("""COMPUTED_VALUE"""),4940000.0)</f>
        <v>4940000</v>
      </c>
      <c r="E131" s="2"/>
      <c r="F131" s="2" t="str">
        <f>IFERROR(__xludf.DUMMYFUNCTION("""COMPUTED_VALUE"""),"DB")</f>
        <v>DB</v>
      </c>
      <c r="G131" s="2">
        <f>IFERROR(__xludf.DUMMYFUNCTION("""COMPUTED_VALUE"""),3.6203146109000003E8)</f>
        <v>362031461.1</v>
      </c>
      <c r="H131" s="2"/>
      <c r="I131" s="2"/>
    </row>
    <row r="132">
      <c r="A132" s="7">
        <f>IFERROR(__xludf.DUMMYFUNCTION("""COMPUTED_VALUE"""),46308.0)</f>
        <v>46308</v>
      </c>
      <c r="B132" s="2" t="str">
        <f>IFERROR(__xludf.DUMMYFUNCTION("""COMPUTED_VALUE"""),"TRSF E-BANKING DB")</f>
        <v>TRSF E-BANKING DB</v>
      </c>
      <c r="C132" s="2" t="str">
        <f>IFERROR(__xludf.DUMMYFUNCTION("""COMPUTED_VALUE"""),"1310/FTSCY/WS95011 44460000.00 Pelunasan 11/10 ANDALAN YASA MITRA")</f>
        <v>1310/FTSCY/WS95011 44460000.00 Pelunasan 11/10 ANDALAN YASA MITRA</v>
      </c>
      <c r="D132" s="2">
        <f>IFERROR(__xludf.DUMMYFUNCTION("""COMPUTED_VALUE"""),4.446E7)</f>
        <v>44460000</v>
      </c>
      <c r="E132" s="2"/>
      <c r="F132" s="2" t="str">
        <f>IFERROR(__xludf.DUMMYFUNCTION("""COMPUTED_VALUE"""),"DB")</f>
        <v>DB</v>
      </c>
      <c r="G132" s="2">
        <f>IFERROR(__xludf.DUMMYFUNCTION("""COMPUTED_VALUE"""),3.1757146109000003E8)</f>
        <v>317571461.1</v>
      </c>
      <c r="H132" s="2">
        <f>IFERROR(__xludf.DUMMYFUNCTION("""COMPUTED_VALUE"""),3.1757146109E8)</f>
        <v>317571461.1</v>
      </c>
      <c r="I132" s="2"/>
    </row>
    <row r="133">
      <c r="A133" s="7">
        <f>IFERROR(__xludf.DUMMYFUNCTION("""COMPUTED_VALUE"""),46308.0)</f>
        <v>46308</v>
      </c>
      <c r="B133" s="2" t="str">
        <f>IFERROR(__xludf.DUMMYFUNCTION("""COMPUTED_VALUE"""),"TRSF E-BANKING DB")</f>
        <v>TRSF E-BANKING DB</v>
      </c>
      <c r="C133" s="2" t="str">
        <f>IFERROR(__xludf.DUMMYFUNCTION("""COMPUTED_VALUE"""),"1310/FTSCY/WS95271 68250000.00 11/10 tuban PITIK DIGITAL INDO")</f>
        <v>1310/FTSCY/WS95271 68250000.00 11/10 tuban PITIK DIGITAL INDO</v>
      </c>
      <c r="D133" s="2">
        <f>IFERROR(__xludf.DUMMYFUNCTION("""COMPUTED_VALUE"""),6.825E7)</f>
        <v>68250000</v>
      </c>
      <c r="E133" s="2"/>
      <c r="F133" s="2" t="str">
        <f>IFERROR(__xludf.DUMMYFUNCTION("""COMPUTED_VALUE"""),"DB")</f>
        <v>DB</v>
      </c>
      <c r="G133" s="2">
        <f>IFERROR(__xludf.DUMMYFUNCTION("""COMPUTED_VALUE"""),2.4932146109000003E8)</f>
        <v>249321461.1</v>
      </c>
      <c r="H133" s="2">
        <f>IFERROR(__xludf.DUMMYFUNCTION("""COMPUTED_VALUE"""),2.4932146109E8)</f>
        <v>249321461.1</v>
      </c>
      <c r="I133" s="2"/>
    </row>
    <row r="134">
      <c r="A134" s="7">
        <f>IFERROR(__xludf.DUMMYFUNCTION("""COMPUTED_VALUE"""),46308.0)</f>
        <v>46308</v>
      </c>
      <c r="B134" s="2" t="str">
        <f>IFERROR(__xludf.DUMMYFUNCTION("""COMPUTED_VALUE"""),"TRSF E-BANKING DB")</f>
        <v>TRSF E-BANKING DB</v>
      </c>
      <c r="C134" s="2" t="str">
        <f>IFERROR(__xludf.DUMMYFUNCTION("""COMPUTED_VALUE"""),"1310/FTSCY/WS95031 2200000.00 BELA PRAMUDITA")</f>
        <v>1310/FTSCY/WS95031 2200000.00 BELA PRAMUDITA</v>
      </c>
      <c r="D134" s="2">
        <f>IFERROR(__xludf.DUMMYFUNCTION("""COMPUTED_VALUE"""),2200000.0)</f>
        <v>2200000</v>
      </c>
      <c r="E134" s="2"/>
      <c r="F134" s="2" t="str">
        <f>IFERROR(__xludf.DUMMYFUNCTION("""COMPUTED_VALUE"""),"DB")</f>
        <v>DB</v>
      </c>
      <c r="G134" s="2">
        <f>IFERROR(__xludf.DUMMYFUNCTION("""COMPUTED_VALUE"""),2.4712146109000003E8)</f>
        <v>247121461.1</v>
      </c>
      <c r="H134" s="2"/>
      <c r="I134" s="2"/>
    </row>
    <row r="135">
      <c r="A135" s="7">
        <f>IFERROR(__xludf.DUMMYFUNCTION("""COMPUTED_VALUE"""),46308.0)</f>
        <v>46308</v>
      </c>
      <c r="B135" s="2" t="str">
        <f>IFERROR(__xludf.DUMMYFUNCTION("""COMPUTED_VALUE"""),"TRSF E-BANKING DB")</f>
        <v>TRSF E-BANKING DB</v>
      </c>
      <c r="C135" s="2" t="str">
        <f>IFERROR(__xludf.DUMMYFUNCTION("""COMPUTED_VALUE"""),"1310/FTSCY/WS95031 1000000.00 SUNARTO")</f>
        <v>1310/FTSCY/WS95031 1000000.00 SUNARTO</v>
      </c>
      <c r="D135" s="2">
        <f>IFERROR(__xludf.DUMMYFUNCTION("""COMPUTED_VALUE"""),1000000.0)</f>
        <v>1000000</v>
      </c>
      <c r="E135" s="2"/>
      <c r="F135" s="2" t="str">
        <f>IFERROR(__xludf.DUMMYFUNCTION("""COMPUTED_VALUE"""),"DB")</f>
        <v>DB</v>
      </c>
      <c r="G135" s="2">
        <f>IFERROR(__xludf.DUMMYFUNCTION("""COMPUTED_VALUE"""),2.4612146109000003E8)</f>
        <v>246121461.1</v>
      </c>
      <c r="H135" s="2"/>
      <c r="I135" s="2"/>
    </row>
    <row r="136">
      <c r="A136" s="7">
        <f>IFERROR(__xludf.DUMMYFUNCTION("""COMPUTED_VALUE"""),46309.0)</f>
        <v>46309</v>
      </c>
      <c r="B136" s="2" t="str">
        <f>IFERROR(__xludf.DUMMYFUNCTION("""COMPUTED_VALUE"""),"TARIKAN ATM 14/10")</f>
        <v>TARIKAN ATM 14/10</v>
      </c>
      <c r="C136" s="2" t="str">
        <f>IFERROR(__xludf.DUMMYFUNCTION("""COMPUTED_VALUE"""),"TARIKAN ATM 14/10")</f>
        <v>TARIKAN ATM 14/10</v>
      </c>
      <c r="D136" s="2">
        <f>IFERROR(__xludf.DUMMYFUNCTION("""COMPUTED_VALUE"""),500000.0)</f>
        <v>500000</v>
      </c>
      <c r="E136" s="2"/>
      <c r="F136" s="2"/>
      <c r="G136" s="2">
        <f>IFERROR(__xludf.DUMMYFUNCTION("""COMPUTED_VALUE"""),3.0832146109000003E8)</f>
        <v>308321461.1</v>
      </c>
      <c r="H136" s="2"/>
      <c r="I136" s="2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IFERROR(__xludf.DUMMYFUNCTION("IFERROR(QUERY(OKT_2023!A:I, ""SELECT * WHERE D IS NOT NULL AND UPPER(I) = 'PRIBADI'"", 1), ""Data PRIBADI belum ditemukan"")"),46298.0)</f>
        <v>46298</v>
      </c>
      <c r="B1" s="2" t="str">
        <f>IFERROR(__xludf.DUMMYFUNCTION("""COMPUTED_VALUE"""),"TRSF E-BANKING DB")</f>
        <v>TRSF E-BANKING DB</v>
      </c>
      <c r="C1" s="2" t="str">
        <f>IFERROR(__xludf.DUMMYFUNCTION("""COMPUTED_VALUE"""),"0310/FTSCY/WS95031 1543000.00 SUNARTO 1543000.00 SUNARTO")</f>
        <v>0310/FTSCY/WS95031 1543000.00 SUNARTO 1543000.00 SUNARTO</v>
      </c>
      <c r="D1" s="2">
        <f>IFERROR(__xludf.DUMMYFUNCTION("""COMPUTED_VALUE"""),1543000.0)</f>
        <v>1543000</v>
      </c>
      <c r="E1" s="2"/>
      <c r="F1" s="2" t="str">
        <f>IFERROR(__xludf.DUMMYFUNCTION("""COMPUTED_VALUE"""),"DB")</f>
        <v>DB</v>
      </c>
      <c r="G1" s="2">
        <f>IFERROR(__xludf.DUMMYFUNCTION("""COMPUTED_VALUE"""),2.0092989090000033E7)</f>
        <v>20092989.09</v>
      </c>
      <c r="H1" s="2"/>
      <c r="I1" s="2" t="str">
        <f>IFERROR(__xludf.DUMMYFUNCTION("""COMPUTED_VALUE"""),"PRIBADI")</f>
        <v>PRIBADI</v>
      </c>
      <c r="J1" s="2">
        <f>SUM(D1:D1000) </f>
        <v>8970238048</v>
      </c>
    </row>
    <row r="2">
      <c r="A2" s="7">
        <f>IFERROR(__xludf.DUMMYFUNCTION("""COMPUTED_VALUE"""),46298.0)</f>
        <v>46298</v>
      </c>
      <c r="B2" s="2" t="str">
        <f>IFERROR(__xludf.DUMMYFUNCTION("""COMPUTED_VALUE"""),"TRSF E-BANKING DB")</f>
        <v>TRSF E-BANKING DB</v>
      </c>
      <c r="C2" s="2" t="str">
        <f>IFERROR(__xludf.DUMMYFUNCTION("""COMPUTED_VALUE"""),"0310/FTSCY/WS95271 143162480.00 Sun Nov 01 2026 14:00:00 GMT+0700 (Western Indonesia Time) INTEGRASI TEKNOLOG 143162480.00 Sun Nov 01 2026 14:00:00 GMT+0700 (Western Indonesia Time) INTEGRASI TEKNOLOG")</f>
        <v>0310/FTSCY/WS95271 143162480.00 Sun Nov 01 2026 14:00:00 GMT+0700 (Western Indonesia Time) INTEGRASI TEKNOLOG 143162480.00 Sun Nov 01 2026 14:00:00 GMT+0700 (Western Indonesia Time) INTEGRASI TEKNOLOG</v>
      </c>
      <c r="D2" s="2">
        <f>IFERROR(__xludf.DUMMYFUNCTION("""COMPUTED_VALUE"""),1.4316248E8)</f>
        <v>143162480</v>
      </c>
      <c r="E2" s="2"/>
      <c r="F2" s="2" t="str">
        <f>IFERROR(__xludf.DUMMYFUNCTION("""COMPUTED_VALUE"""),"DB")</f>
        <v>DB</v>
      </c>
      <c r="G2" s="2">
        <f>IFERROR(__xludf.DUMMYFUNCTION("""COMPUTED_VALUE"""),7836109.090000033)</f>
        <v>7836109.09</v>
      </c>
      <c r="H2" s="2"/>
      <c r="I2" s="2" t="str">
        <f>IFERROR(__xludf.DUMMYFUNCTION("""COMPUTED_VALUE"""),"PRIBADI")</f>
        <v>PRIBADI</v>
      </c>
    </row>
    <row r="3">
      <c r="A3" s="7">
        <f>IFERROR(__xludf.DUMMYFUNCTION("""COMPUTED_VALUE"""),46302.0)</f>
        <v>46302</v>
      </c>
      <c r="B3" s="2" t="str">
        <f>IFERROR(__xludf.DUMMYFUNCTION("""COMPUTED_VALUE"""),"TARIKAN ATM 07/10")</f>
        <v>TARIKAN ATM 07/10</v>
      </c>
      <c r="C3" s="2" t="str">
        <f>IFERROR(__xludf.DUMMYFUNCTION("""COMPUTED_VALUE"""),"TARIKAN ATM 07/10")</f>
        <v>TARIKAN ATM 07/10</v>
      </c>
      <c r="D3" s="2">
        <f>IFERROR(__xludf.DUMMYFUNCTION("""COMPUTED_VALUE"""),200000.0)</f>
        <v>200000</v>
      </c>
      <c r="E3" s="2"/>
      <c r="F3" s="2"/>
      <c r="G3" s="2">
        <f>IFERROR(__xludf.DUMMYFUNCTION("""COMPUTED_VALUE"""),1.8951790309000003E8)</f>
        <v>189517903.1</v>
      </c>
      <c r="H3" s="2"/>
      <c r="I3" s="2" t="str">
        <f>IFERROR(__xludf.DUMMYFUNCTION("""COMPUTED_VALUE"""),"PRIBADI")</f>
        <v>PRIBADI</v>
      </c>
    </row>
    <row r="4">
      <c r="A4" s="7">
        <f>IFERROR(__xludf.DUMMYFUNCTION("""COMPUTED_VALUE"""),46306.0)</f>
        <v>46306</v>
      </c>
      <c r="B4" s="2" t="str">
        <f>IFERROR(__xludf.DUMMYFUNCTION("""COMPUTED_VALUE"""),"TRSF E-BANKING DB")</f>
        <v>TRSF E-BANKING DB</v>
      </c>
      <c r="C4" s="2" t="str">
        <f>IFERROR(__xludf.DUMMYFUNCTION("""COMPUTED_VALUE"""),"1110/FTSCY/WS95271 140669900.00 Fri Oct 09 2026 14:00:00 GMT+0700 (Western Indonesia Time) LAJU SATWA WISESA")</f>
        <v>1110/FTSCY/WS95271 140669900.00 Fri Oct 09 2026 14:00:00 GMT+0700 (Western Indonesia Time) LAJU SATWA WISESA</v>
      </c>
      <c r="D4" s="2">
        <f>IFERROR(__xludf.DUMMYFUNCTION("""COMPUTED_VALUE"""),1.406699E8)</f>
        <v>140669900</v>
      </c>
      <c r="E4" s="2"/>
      <c r="F4" s="2" t="str">
        <f>IFERROR(__xludf.DUMMYFUNCTION("""COMPUTED_VALUE"""),"DB")</f>
        <v>DB</v>
      </c>
      <c r="G4" s="2">
        <f>IFERROR(__xludf.DUMMYFUNCTION("""COMPUTED_VALUE"""),1.4107910309000003E8)</f>
        <v>141079103.1</v>
      </c>
      <c r="H4" s="2"/>
      <c r="I4" s="2" t="str">
        <f>IFERROR(__xludf.DUMMYFUNCTION("""COMPUTED_VALUE"""),"PRIBADI")</f>
        <v>PRIBADI</v>
      </c>
    </row>
    <row r="5">
      <c r="A5" s="7">
        <f>IFERROR(__xludf.DUMMYFUNCTION("""COMPUTED_VALUE"""),46306.0)</f>
        <v>46306</v>
      </c>
      <c r="B5" s="2" t="str">
        <f>IFERROR(__xludf.DUMMYFUNCTION("""COMPUTED_VALUE"""),"TRSF E-BANKING DB")</f>
        <v>TRSF E-BANKING DB</v>
      </c>
      <c r="C5" s="2" t="str">
        <f>IFERROR(__xludf.DUMMYFUNCTION("""COMPUTED_VALUE"""),"1110/FTSCY/WS95271 49091250.00 Fri Oct 09 2026 14:00:00 GMT+0700 (Western Indonesia Time) BINTANG TAMA SANTO")</f>
        <v>1110/FTSCY/WS95271 49091250.00 Fri Oct 09 2026 14:00:00 GMT+0700 (Western Indonesia Time) BINTANG TAMA SANTO</v>
      </c>
      <c r="D5" s="2">
        <f>IFERROR(__xludf.DUMMYFUNCTION("""COMPUTED_VALUE"""),4.909125E7)</f>
        <v>49091250</v>
      </c>
      <c r="E5" s="2"/>
      <c r="F5" s="2" t="str">
        <f>IFERROR(__xludf.DUMMYFUNCTION("""COMPUTED_VALUE"""),"DB")</f>
        <v>DB</v>
      </c>
      <c r="G5" s="2">
        <f>IFERROR(__xludf.DUMMYFUNCTION("""COMPUTED_VALUE"""),9.198785309000003E7)</f>
        <v>91987853.09</v>
      </c>
      <c r="H5" s="2"/>
      <c r="I5" s="2" t="str">
        <f>IFERROR(__xludf.DUMMYFUNCTION("""COMPUTED_VALUE"""),"PRIBADI")</f>
        <v>PRIBADI</v>
      </c>
    </row>
    <row r="6">
      <c r="A6" s="7">
        <f>IFERROR(__xludf.DUMMYFUNCTION("""COMPUTED_VALUE"""),46307.0)</f>
        <v>46307</v>
      </c>
      <c r="B6" s="2" t="str">
        <f>IFERROR(__xludf.DUMMYFUNCTION("""COMPUTED_VALUE"""),"TRSF E-BANKING DB")</f>
        <v>TRSF E-BANKING DB</v>
      </c>
      <c r="C6" s="2" t="str">
        <f>IFERROR(__xludf.DUMMYFUNCTION("""COMPUTED_VALUE"""),"1210/FTSCY/WS95011 119769000.00 09/10 t.agung PITIK DIGITAL INDO")</f>
        <v>1210/FTSCY/WS95011 119769000.00 09/10 t.agung PITIK DIGITAL INDO</v>
      </c>
      <c r="D6" s="2">
        <f>IFERROR(__xludf.DUMMYFUNCTION("""COMPUTED_VALUE"""),1.19769E8)</f>
        <v>119769000</v>
      </c>
      <c r="E6" s="2"/>
      <c r="F6" s="2" t="str">
        <f>IFERROR(__xludf.DUMMYFUNCTION("""COMPUTED_VALUE"""),"DB")</f>
        <v>DB</v>
      </c>
      <c r="G6" s="2">
        <f>IFERROR(__xludf.DUMMYFUNCTION("""COMPUTED_VALUE"""),3.4100893309000003E8)</f>
        <v>341008933.1</v>
      </c>
      <c r="H6" s="2">
        <f>IFERROR(__xludf.DUMMYFUNCTION("""COMPUTED_VALUE"""),3.4100893309E8)</f>
        <v>341008933.1</v>
      </c>
      <c r="I6" s="2" t="str">
        <f>IFERROR(__xludf.DUMMYFUNCTION("""COMPUTED_VALUE"""),"PRIBADI")</f>
        <v>PRIBADI</v>
      </c>
    </row>
    <row r="7">
      <c r="A7" s="7">
        <f>IFERROR(__xludf.DUMMYFUNCTION("""COMPUTED_VALUE"""),46307.0)</f>
        <v>46307</v>
      </c>
      <c r="B7" s="2" t="str">
        <f>IFERROR(__xludf.DUMMYFUNCTION("""COMPUTED_VALUE"""),"TRSF E-BANKING DB")</f>
        <v>TRSF E-BANKING DB</v>
      </c>
      <c r="C7" s="2" t="str">
        <f>IFERROR(__xludf.DUMMYFUNCTION("""COMPUTED_VALUE"""),"1210/FTSCY/WS95011 198995180.00 Fri Oct 09 2026 14:00:00 GMT+0700 (Western Indonesia Time) BROILER MAKMUR TAN")</f>
        <v>1210/FTSCY/WS95011 198995180.00 Fri Oct 09 2026 14:00:00 GMT+0700 (Western Indonesia Time) BROILER MAKMUR TAN</v>
      </c>
      <c r="D7" s="2">
        <f>IFERROR(__xludf.DUMMYFUNCTION("""COMPUTED_VALUE"""),1.9899518E8)</f>
        <v>198995180</v>
      </c>
      <c r="E7" s="2"/>
      <c r="F7" s="2" t="str">
        <f>IFERROR(__xludf.DUMMYFUNCTION("""COMPUTED_VALUE"""),"DB")</f>
        <v>DB</v>
      </c>
      <c r="G7" s="2">
        <f>IFERROR(__xludf.DUMMYFUNCTION("""COMPUTED_VALUE"""),1.4201375309000003E8)</f>
        <v>142013753.1</v>
      </c>
      <c r="H7" s="2">
        <f>IFERROR(__xludf.DUMMYFUNCTION("""COMPUTED_VALUE"""),1.4201375309E8)</f>
        <v>142013753.1</v>
      </c>
      <c r="I7" s="2" t="str">
        <f>IFERROR(__xludf.DUMMYFUNCTION("""COMPUTED_VALUE"""),"PRIBADI")</f>
        <v>PRIBADI</v>
      </c>
    </row>
    <row r="8">
      <c r="A8" s="7">
        <f>IFERROR(__xludf.DUMMYFUNCTION("""COMPUTED_VALUE"""),46307.0)</f>
        <v>46307</v>
      </c>
      <c r="B8" s="2" t="str">
        <f>IFERROR(__xludf.DUMMYFUNCTION("""COMPUTED_VALUE"""),"TRSF E-BANKING DB")</f>
        <v>TRSF E-BANKING DB</v>
      </c>
      <c r="C8" s="2" t="str">
        <f>IFERROR(__xludf.DUMMYFUNCTION("""COMPUTED_VALUE"""),"1210/FTSCY/WS95011 60610000.00 Fri Oct 09 2026 14:00:00 GMT+0700 (Western Indonesia Time) ANUGERAH KARTIKA A")</f>
        <v>1210/FTSCY/WS95011 60610000.00 Fri Oct 09 2026 14:00:00 GMT+0700 (Western Indonesia Time) ANUGERAH KARTIKA A</v>
      </c>
      <c r="D8" s="2">
        <f>IFERROR(__xludf.DUMMYFUNCTION("""COMPUTED_VALUE"""),6.061E7)</f>
        <v>60610000</v>
      </c>
      <c r="E8" s="2"/>
      <c r="F8" s="2" t="str">
        <f>IFERROR(__xludf.DUMMYFUNCTION("""COMPUTED_VALUE"""),"DB")</f>
        <v>DB</v>
      </c>
      <c r="G8" s="2">
        <f>IFERROR(__xludf.DUMMYFUNCTION("""COMPUTED_VALUE"""),8.140375309000003E7)</f>
        <v>81403753.09</v>
      </c>
      <c r="H8" s="2"/>
      <c r="I8" s="2" t="str">
        <f>IFERROR(__xludf.DUMMYFUNCTION("""COMPUTED_VALUE"""),"PRIBADI")</f>
        <v>PRIBADI</v>
      </c>
    </row>
    <row r="9">
      <c r="A9" s="7">
        <f>IFERROR(__xludf.DUMMYFUNCTION("""COMPUTED_VALUE"""),46307.0)</f>
        <v>46307</v>
      </c>
      <c r="B9" s="2" t="str">
        <f>IFERROR(__xludf.DUMMYFUNCTION("""COMPUTED_VALUE"""),"TRSF E-BANKING DB")</f>
        <v>TRSF E-BANKING DB</v>
      </c>
      <c r="C9" s="2" t="str">
        <f>IFERROR(__xludf.DUMMYFUNCTION("""COMPUTED_VALUE"""),"1210/FTSCY/WS95031 4103370.00 MUJIANTO")</f>
        <v>1210/FTSCY/WS95031 4103370.00 MUJIANTO</v>
      </c>
      <c r="D9" s="2">
        <f>IFERROR(__xludf.DUMMYFUNCTION("""COMPUTED_VALUE"""),4103370.0)</f>
        <v>4103370</v>
      </c>
      <c r="E9" s="2"/>
      <c r="F9" s="2" t="str">
        <f>IFERROR(__xludf.DUMMYFUNCTION("""COMPUTED_VALUE"""),"DB")</f>
        <v>DB</v>
      </c>
      <c r="G9" s="2">
        <f>IFERROR(__xludf.DUMMYFUNCTION("""COMPUTED_VALUE"""),95033.09000003338)</f>
        <v>95033.09</v>
      </c>
      <c r="H9" s="2"/>
      <c r="I9" s="2" t="str">
        <f>IFERROR(__xludf.DUMMYFUNCTION("""COMPUTED_VALUE"""),"PRIBADI")</f>
        <v>PRIBADI</v>
      </c>
    </row>
    <row r="10">
      <c r="A10" s="7">
        <f>IFERROR(__xludf.DUMMYFUNCTION("""COMPUTED_VALUE"""),46307.0)</f>
        <v>46307</v>
      </c>
      <c r="B10" s="2" t="str">
        <f>IFERROR(__xludf.DUMMYFUNCTION("""COMPUTED_VALUE"""),"TRSF E-BANKING DB")</f>
        <v>TRSF E-BANKING DB</v>
      </c>
      <c r="C10" s="2" t="str">
        <f>IFERROR(__xludf.DUMMYFUNCTION("""COMPUTED_VALUE"""),"1210/FTSCY/WS95011 49344600.00 Fri Oct 09 2026 14:00:00 GMT+0700 (Western Indonesia Time) PITIK DIGITAL INDO")</f>
        <v>1210/FTSCY/WS95011 49344600.00 Fri Oct 09 2026 14:00:00 GMT+0700 (Western Indonesia Time) PITIK DIGITAL INDO</v>
      </c>
      <c r="D10" s="2">
        <f>IFERROR(__xludf.DUMMYFUNCTION("""COMPUTED_VALUE"""),4.93446E7)</f>
        <v>49344600</v>
      </c>
      <c r="E10" s="2"/>
      <c r="F10" s="2" t="str">
        <f>IFERROR(__xludf.DUMMYFUNCTION("""COMPUTED_VALUE"""),"DB")</f>
        <v>DB</v>
      </c>
      <c r="G10" s="2">
        <f>IFERROR(__xludf.DUMMYFUNCTION("""COMPUTED_VALUE"""),4.2546300309000003E8)</f>
        <v>425463003.1</v>
      </c>
      <c r="H10" s="2"/>
      <c r="I10" s="2" t="str">
        <f>IFERROR(__xludf.DUMMYFUNCTION("""COMPUTED_VALUE"""),"PRIBADI")</f>
        <v>PRIBADI</v>
      </c>
    </row>
    <row r="11">
      <c r="A11" s="7">
        <f>IFERROR(__xludf.DUMMYFUNCTION("""COMPUTED_VALUE"""),46307.0)</f>
        <v>46307</v>
      </c>
      <c r="B11" s="2" t="str">
        <f>IFERROR(__xludf.DUMMYFUNCTION("""COMPUTED_VALUE"""),"TRSF E-BANKING DB")</f>
        <v>TRSF E-BANKING DB</v>
      </c>
      <c r="C11" s="2" t="str">
        <f>IFERROR(__xludf.DUMMYFUNCTION("""COMPUTED_VALUE"""),"1210/FTSCY/WS95271 212400000.00 pelunasan PITIK DIGITAL INDO")</f>
        <v>1210/FTSCY/WS95271 212400000.00 pelunasan PITIK DIGITAL INDO</v>
      </c>
      <c r="D11" s="2">
        <f>IFERROR(__xludf.DUMMYFUNCTION("""COMPUTED_VALUE"""),2.124E8)</f>
        <v>212400000</v>
      </c>
      <c r="E11" s="2"/>
      <c r="F11" s="2" t="str">
        <f>IFERROR(__xludf.DUMMYFUNCTION("""COMPUTED_VALUE"""),"DB")</f>
        <v>DB</v>
      </c>
      <c r="G11" s="2">
        <f>IFERROR(__xludf.DUMMYFUNCTION("""COMPUTED_VALUE"""),2.1306300309000003E8)</f>
        <v>213063003.1</v>
      </c>
      <c r="H11" s="2"/>
      <c r="I11" s="2" t="str">
        <f>IFERROR(__xludf.DUMMYFUNCTION("""COMPUTED_VALUE"""),"PRIBADI")</f>
        <v>PRIBADI</v>
      </c>
    </row>
    <row r="12">
      <c r="A12" s="7">
        <f>IFERROR(__xludf.DUMMYFUNCTION("""COMPUTED_VALUE"""),46307.0)</f>
        <v>46307</v>
      </c>
      <c r="B12" s="2" t="str">
        <f>IFERROR(__xludf.DUMMYFUNCTION("""COMPUTED_VALUE"""),"TRSF E-BANKING DB")</f>
        <v>TRSF E-BANKING DB</v>
      </c>
      <c r="C12" s="2" t="str">
        <f>IFERROR(__xludf.DUMMYFUNCTION("""COMPUTED_VALUE"""),"1210/FTSCY/WS95271 87600000.00 Sat Oct 10 2026 14:00:00 GMT+0700 (Western Indonesia Time) SUPER UNGGAS JAYA")</f>
        <v>1210/FTSCY/WS95271 87600000.00 Sat Oct 10 2026 14:00:00 GMT+0700 (Western Indonesia Time) SUPER UNGGAS JAYA</v>
      </c>
      <c r="D12" s="2">
        <f>IFERROR(__xludf.DUMMYFUNCTION("""COMPUTED_VALUE"""),8.76E7)</f>
        <v>87600000</v>
      </c>
      <c r="E12" s="2"/>
      <c r="F12" s="2" t="str">
        <f>IFERROR(__xludf.DUMMYFUNCTION("""COMPUTED_VALUE"""),"DB")</f>
        <v>DB</v>
      </c>
      <c r="G12" s="2">
        <f>IFERROR(__xludf.DUMMYFUNCTION("""COMPUTED_VALUE"""),1.2546300309000003E8)</f>
        <v>125463003.1</v>
      </c>
      <c r="H12" s="2"/>
      <c r="I12" s="2" t="str">
        <f>IFERROR(__xludf.DUMMYFUNCTION("""COMPUTED_VALUE"""),"PRIBADI")</f>
        <v>PRIBADI</v>
      </c>
    </row>
    <row r="13">
      <c r="A13" s="7">
        <f>IFERROR(__xludf.DUMMYFUNCTION("""COMPUTED_VALUE"""),46307.0)</f>
        <v>46307</v>
      </c>
      <c r="B13" s="2" t="str">
        <f>IFERROR(__xludf.DUMMYFUNCTION("""COMPUTED_VALUE"""),"TRSF E-BANKING DB")</f>
        <v>TRSF E-BANKING DB</v>
      </c>
      <c r="C13" s="2" t="str">
        <f>IFERROR(__xludf.DUMMYFUNCTION("""COMPUTED_VALUE"""),"1210/FTSCY/WS95031 17259000.00 pelunasan SUPER UNGGAS JAYA")</f>
        <v>1210/FTSCY/WS95031 17259000.00 pelunasan SUPER UNGGAS JAYA</v>
      </c>
      <c r="D13" s="2">
        <f>IFERROR(__xludf.DUMMYFUNCTION("""COMPUTED_VALUE"""),1.7259E7)</f>
        <v>17259000</v>
      </c>
      <c r="E13" s="2"/>
      <c r="F13" s="2" t="str">
        <f>IFERROR(__xludf.DUMMYFUNCTION("""COMPUTED_VALUE"""),"DB")</f>
        <v>DB</v>
      </c>
      <c r="G13" s="2">
        <f>IFERROR(__xludf.DUMMYFUNCTION("""COMPUTED_VALUE"""),1.0820400309000003E8)</f>
        <v>108204003.1</v>
      </c>
      <c r="H13" s="2">
        <f>IFERROR(__xludf.DUMMYFUNCTION("""COMPUTED_VALUE"""),1.0820400309E8)</f>
        <v>108204003.1</v>
      </c>
      <c r="I13" s="2" t="str">
        <f>IFERROR(__xludf.DUMMYFUNCTION("""COMPUTED_VALUE"""),"PRIBADI")</f>
        <v>PRIBADI</v>
      </c>
    </row>
    <row r="14">
      <c r="A14" s="7">
        <f>IFERROR(__xludf.DUMMYFUNCTION("""COMPUTED_VALUE"""),46308.0)</f>
        <v>46308</v>
      </c>
      <c r="B14" s="2" t="str">
        <f>IFERROR(__xludf.DUMMYFUNCTION("""COMPUTED_VALUE"""),"TRSF E-BANKING DB TANGGAL :12/10")</f>
        <v>TRSF E-BANKING DB TANGGAL :12/10</v>
      </c>
      <c r="C14" s="2" t="str">
        <f>IFERROR(__xludf.DUMMYFUNCTION("""COMPUTED_VALUE"""),"1210/FTSCY/WS95031 SUNARTO")</f>
        <v>1210/FTSCY/WS95031 SUNARTO</v>
      </c>
      <c r="D14" s="2">
        <f>IFERROR(__xludf.DUMMYFUNCTION("""COMPUTED_VALUE"""),1400000.0)</f>
        <v>1400000</v>
      </c>
      <c r="E14" s="2"/>
      <c r="F14" s="2" t="str">
        <f>IFERROR(__xludf.DUMMYFUNCTION("""COMPUTED_VALUE"""),"DB")</f>
        <v>DB</v>
      </c>
      <c r="G14" s="2">
        <f>IFERROR(__xludf.DUMMYFUNCTION("""COMPUTED_VALUE"""),4.9029580309000003E8)</f>
        <v>490295803.1</v>
      </c>
      <c r="H14" s="2"/>
      <c r="I14" s="2" t="str">
        <f>IFERROR(__xludf.DUMMYFUNCTION("""COMPUTED_VALUE"""),"PRIBADI")</f>
        <v>PRIBADI</v>
      </c>
    </row>
    <row r="15">
      <c r="A15" s="7">
        <f>IFERROR(__xludf.DUMMYFUNCTION("""COMPUTED_VALUE"""),46308.0)</f>
        <v>46308</v>
      </c>
      <c r="B15" s="2" t="str">
        <f>IFERROR(__xludf.DUMMYFUNCTION("""COMPUTED_VALUE"""),"TRSF E-BANKING DB")</f>
        <v>TRSF E-BANKING DB</v>
      </c>
      <c r="C15" s="2" t="str">
        <f>IFERROR(__xludf.DUMMYFUNCTION("""COMPUTED_VALUE"""),"1310/FTSCY/WS95271 55847800.00 Sun Oct 11 2026 14:00:00 GMT+0700 (Western Indonesia Time) TUMBUH OPTIMAL PRI")</f>
        <v>1310/FTSCY/WS95271 55847800.00 Sun Oct 11 2026 14:00:00 GMT+0700 (Western Indonesia Time) TUMBUH OPTIMAL PRI</v>
      </c>
      <c r="D15" s="2">
        <f>IFERROR(__xludf.DUMMYFUNCTION("""COMPUTED_VALUE"""),5.58478E7)</f>
        <v>55847800</v>
      </c>
      <c r="E15" s="2"/>
      <c r="F15" s="2" t="str">
        <f>IFERROR(__xludf.DUMMYFUNCTION("""COMPUTED_VALUE"""),"DB")</f>
        <v>DB</v>
      </c>
      <c r="G15" s="2">
        <f>IFERROR(__xludf.DUMMYFUNCTION("""COMPUTED_VALUE"""),8.1037948109E8)</f>
        <v>810379481.1</v>
      </c>
      <c r="H15" s="2"/>
      <c r="I15" s="2" t="str">
        <f>IFERROR(__xludf.DUMMYFUNCTION("""COMPUTED_VALUE"""),"PRIBADI")</f>
        <v>PRIBADI</v>
      </c>
    </row>
    <row r="16">
      <c r="A16" s="7">
        <f>IFERROR(__xludf.DUMMYFUNCTION("""COMPUTED_VALUE"""),46313.0)</f>
        <v>46313</v>
      </c>
      <c r="B16" s="2" t="str">
        <f>IFERROR(__xludf.DUMMYFUNCTION("""COMPUTED_VALUE"""),"TRSF E-BANKING DB")</f>
        <v>TRSF E-BANKING DB</v>
      </c>
      <c r="C16" s="2" t="str">
        <f>IFERROR(__xludf.DUMMYFUNCTION("""COMPUTED_VALUE"""),"1810/FTSCY/WS95011 198791220.00 Thu Oct 15 2026 14:00:00 GMT+0700 (Western Indonesia Time) ANDALAN YASA MITRA")</f>
        <v>1810/FTSCY/WS95011 198791220.00 Thu Oct 15 2026 14:00:00 GMT+0700 (Western Indonesia Time) ANDALAN YASA MITRA</v>
      </c>
      <c r="D16" s="2">
        <f>IFERROR(__xludf.DUMMYFUNCTION("""COMPUTED_VALUE"""),1.9879122E8)</f>
        <v>198791220</v>
      </c>
      <c r="E16" s="2"/>
      <c r="F16" s="2" t="str">
        <f>IFERROR(__xludf.DUMMYFUNCTION("""COMPUTED_VALUE"""),"DB")</f>
        <v>DB</v>
      </c>
      <c r="G16" s="2">
        <f>IFERROR(__xludf.DUMMYFUNCTION("""COMPUTED_VALUE"""),5.2227946109000003E8)</f>
        <v>522279461.1</v>
      </c>
      <c r="H16" s="2"/>
      <c r="I16" s="2" t="str">
        <f>IFERROR(__xludf.DUMMYFUNCTION("""COMPUTED_VALUE"""),"PRIBADI")</f>
        <v>PRIBADI</v>
      </c>
    </row>
    <row r="17">
      <c r="A17" s="7">
        <f>IFERROR(__xludf.DUMMYFUNCTION("""COMPUTED_VALUE"""),46313.0)</f>
        <v>46313</v>
      </c>
      <c r="B17" s="2" t="str">
        <f>IFERROR(__xludf.DUMMYFUNCTION("""COMPUTED_VALUE"""),"TRSF E-BANKING DB")</f>
        <v>TRSF E-BANKING DB</v>
      </c>
      <c r="C17" s="2" t="str">
        <f>IFERROR(__xludf.DUMMYFUNCTION("""COMPUTED_VALUE"""),"1810/FTSCY/WS95011 110934000.00 Thu Oct 15 2026 14:00:00 GMT+0700 (Western Indonesia Time) ANUGERAH KARTIKA A")</f>
        <v>1810/FTSCY/WS95011 110934000.00 Thu Oct 15 2026 14:00:00 GMT+0700 (Western Indonesia Time) ANUGERAH KARTIKA A</v>
      </c>
      <c r="D17" s="2">
        <f>IFERROR(__xludf.DUMMYFUNCTION("""COMPUTED_VALUE"""),1.10934E8)</f>
        <v>110934000</v>
      </c>
      <c r="E17" s="2"/>
      <c r="F17" s="2" t="str">
        <f>IFERROR(__xludf.DUMMYFUNCTION("""COMPUTED_VALUE"""),"DB")</f>
        <v>DB</v>
      </c>
      <c r="G17" s="2">
        <f>IFERROR(__xludf.DUMMYFUNCTION("""COMPUTED_VALUE"""),4.1134546109000003E8)</f>
        <v>411345461.1</v>
      </c>
      <c r="H17" s="2">
        <f>IFERROR(__xludf.DUMMYFUNCTION("""COMPUTED_VALUE"""),4.1134546109E8)</f>
        <v>411345461.1</v>
      </c>
      <c r="I17" s="2" t="str">
        <f>IFERROR(__xludf.DUMMYFUNCTION("""COMPUTED_VALUE"""),"PRIBADI")</f>
        <v>PRIBADI</v>
      </c>
    </row>
    <row r="18">
      <c r="A18" s="7">
        <f>IFERROR(__xludf.DUMMYFUNCTION("""COMPUTED_VALUE"""),46313.0)</f>
        <v>46313</v>
      </c>
      <c r="B18" s="2" t="str">
        <f>IFERROR(__xludf.DUMMYFUNCTION("""COMPUTED_VALUE"""),"TRSF E-BANKING DB")</f>
        <v>TRSF E-BANKING DB</v>
      </c>
      <c r="C18" s="2" t="str">
        <f>IFERROR(__xludf.DUMMYFUNCTION("""COMPUTED_VALUE"""),"1810/FTSCY/WS95011 60864440.00 Fri Oct 16 2026 14:00:00 GMT+0700 (Western Indonesia Time) PITIK DIGITAL INDO")</f>
        <v>1810/FTSCY/WS95011 60864440.00 Fri Oct 16 2026 14:00:00 GMT+0700 (Western Indonesia Time) PITIK DIGITAL INDO</v>
      </c>
      <c r="D18" s="2">
        <f>IFERROR(__xludf.DUMMYFUNCTION("""COMPUTED_VALUE"""),6.086444E7)</f>
        <v>60864440</v>
      </c>
      <c r="E18" s="2"/>
      <c r="F18" s="2" t="str">
        <f>IFERROR(__xludf.DUMMYFUNCTION("""COMPUTED_VALUE"""),"DB")</f>
        <v>DB</v>
      </c>
      <c r="G18" s="2">
        <f>IFERROR(__xludf.DUMMYFUNCTION("""COMPUTED_VALUE"""),3.5048102109000003E8)</f>
        <v>350481021.1</v>
      </c>
      <c r="H18" s="2">
        <f>IFERROR(__xludf.DUMMYFUNCTION("""COMPUTED_VALUE"""),3.5048102109E8)</f>
        <v>350481021.1</v>
      </c>
      <c r="I18" s="2" t="str">
        <f>IFERROR(__xludf.DUMMYFUNCTION("""COMPUTED_VALUE"""),"PRIBADI")</f>
        <v>PRIBADI</v>
      </c>
    </row>
    <row r="19">
      <c r="A19" s="7">
        <f>IFERROR(__xludf.DUMMYFUNCTION("""COMPUTED_VALUE"""),46313.0)</f>
        <v>46313</v>
      </c>
      <c r="B19" s="2" t="str">
        <f>IFERROR(__xludf.DUMMYFUNCTION("""COMPUTED_VALUE"""),"TRSF E-BANKING DB")</f>
        <v>TRSF E-BANKING DB</v>
      </c>
      <c r="C19" s="2" t="str">
        <f>IFERROR(__xludf.DUMMYFUNCTION("""COMPUTED_VALUE"""),"1810/FTSCY/WS95011 56161200.00 Fri Oct 16 2026 14:00:00 GMT+0700 (Western Indonesia Time) TUMBUH OPTIMAL PRI")</f>
        <v>1810/FTSCY/WS95011 56161200.00 Fri Oct 16 2026 14:00:00 GMT+0700 (Western Indonesia Time) TUMBUH OPTIMAL PRI</v>
      </c>
      <c r="D19" s="2">
        <f>IFERROR(__xludf.DUMMYFUNCTION("""COMPUTED_VALUE"""),5.61612E7)</f>
        <v>56161200</v>
      </c>
      <c r="E19" s="2"/>
      <c r="F19" s="2" t="str">
        <f>IFERROR(__xludf.DUMMYFUNCTION("""COMPUTED_VALUE"""),"DB")</f>
        <v>DB</v>
      </c>
      <c r="G19" s="2">
        <f>IFERROR(__xludf.DUMMYFUNCTION("""COMPUTED_VALUE"""),2.9431982109000003E8)</f>
        <v>294319821.1</v>
      </c>
      <c r="H19" s="2"/>
      <c r="I19" s="2" t="str">
        <f>IFERROR(__xludf.DUMMYFUNCTION("""COMPUTED_VALUE"""),"PRIBADI")</f>
        <v>PRIBADI</v>
      </c>
    </row>
    <row r="20">
      <c r="A20" s="7">
        <f>IFERROR(__xludf.DUMMYFUNCTION("""COMPUTED_VALUE"""),46313.0)</f>
        <v>46313</v>
      </c>
      <c r="B20" s="2" t="str">
        <f>IFERROR(__xludf.DUMMYFUNCTION("""COMPUTED_VALUE"""),"TRSF E-BANKING DB")</f>
        <v>TRSF E-BANKING DB</v>
      </c>
      <c r="C20" s="2" t="str">
        <f>IFERROR(__xludf.DUMMYFUNCTION("""COMPUTED_VALUE"""),"1810/FTSCY/WS95011 72966910.00 Krg 44 jt ANUGERAH KARTIKA A")</f>
        <v>1810/FTSCY/WS95011 72966910.00 Krg 44 jt ANUGERAH KARTIKA A</v>
      </c>
      <c r="D20" s="2">
        <f>IFERROR(__xludf.DUMMYFUNCTION("""COMPUTED_VALUE"""),7.296691E7)</f>
        <v>72966910</v>
      </c>
      <c r="E20" s="2"/>
      <c r="F20" s="2" t="str">
        <f>IFERROR(__xludf.DUMMYFUNCTION("""COMPUTED_VALUE"""),"DB")</f>
        <v>DB</v>
      </c>
      <c r="G20" s="2">
        <f>IFERROR(__xludf.DUMMYFUNCTION("""COMPUTED_VALUE"""),2.2135291109000003E8)</f>
        <v>221352911.1</v>
      </c>
      <c r="H20" s="2"/>
      <c r="I20" s="2" t="str">
        <f>IFERROR(__xludf.DUMMYFUNCTION("""COMPUTED_VALUE"""),"PRIBADI")</f>
        <v>PRIBADI</v>
      </c>
    </row>
    <row r="21">
      <c r="A21" s="7">
        <f>IFERROR(__xludf.DUMMYFUNCTION("""COMPUTED_VALUE"""),46313.0)</f>
        <v>46313</v>
      </c>
      <c r="B21" s="2" t="str">
        <f>IFERROR(__xludf.DUMMYFUNCTION("""COMPUTED_VALUE"""),"TRSF E-BANKING DB")</f>
        <v>TRSF E-BANKING DB</v>
      </c>
      <c r="C21" s="2" t="str">
        <f>IFERROR(__xludf.DUMMYFUNCTION("""COMPUTED_VALUE"""),"1810/FTSCY/WS95271 44000000.00 pelunasan ANUGERAH KARTIKA A")</f>
        <v>1810/FTSCY/WS95271 44000000.00 pelunasan ANUGERAH KARTIKA A</v>
      </c>
      <c r="D21" s="2">
        <f>IFERROR(__xludf.DUMMYFUNCTION("""COMPUTED_VALUE"""),4.4E7)</f>
        <v>44000000</v>
      </c>
      <c r="E21" s="2"/>
      <c r="F21" s="2" t="str">
        <f>IFERROR(__xludf.DUMMYFUNCTION("""COMPUTED_VALUE"""),"DB")</f>
        <v>DB</v>
      </c>
      <c r="G21" s="2">
        <f>IFERROR(__xludf.DUMMYFUNCTION("""COMPUTED_VALUE"""),1.7735291109000003E8)</f>
        <v>177352911.1</v>
      </c>
      <c r="H21" s="2"/>
      <c r="I21" s="2" t="str">
        <f>IFERROR(__xludf.DUMMYFUNCTION("""COMPUTED_VALUE"""),"PRIBADI")</f>
        <v>PRIBADI</v>
      </c>
    </row>
    <row r="22">
      <c r="A22" s="7">
        <f>IFERROR(__xludf.DUMMYFUNCTION("""COMPUTED_VALUE"""),46313.0)</f>
        <v>46313</v>
      </c>
      <c r="B22" s="2" t="str">
        <f>IFERROR(__xludf.DUMMYFUNCTION("""COMPUTED_VALUE"""),"TRSF E-BANKING DB")</f>
        <v>TRSF E-BANKING DB</v>
      </c>
      <c r="C22" s="2" t="str">
        <f>IFERROR(__xludf.DUMMYFUNCTION("""COMPUTED_VALUE"""),"1810/FTSCY/WS95271 57600000.00 Fri Oct 16 2026 14:00:00 GMT+0700 (Western Indonesia Time) ANUGERAH KARTIKA A")</f>
        <v>1810/FTSCY/WS95271 57600000.00 Fri Oct 16 2026 14:00:00 GMT+0700 (Western Indonesia Time) ANUGERAH KARTIKA A</v>
      </c>
      <c r="D22" s="2">
        <f>IFERROR(__xludf.DUMMYFUNCTION("""COMPUTED_VALUE"""),5.76E7)</f>
        <v>57600000</v>
      </c>
      <c r="E22" s="2"/>
      <c r="F22" s="2" t="str">
        <f>IFERROR(__xludf.DUMMYFUNCTION("""COMPUTED_VALUE"""),"DB")</f>
        <v>DB</v>
      </c>
      <c r="G22" s="2">
        <f>IFERROR(__xludf.DUMMYFUNCTION("""COMPUTED_VALUE"""),1.1975291109000003E8)</f>
        <v>119752911.1</v>
      </c>
      <c r="H22" s="2"/>
      <c r="I22" s="2" t="str">
        <f>IFERROR(__xludf.DUMMYFUNCTION("""COMPUTED_VALUE"""),"PRIBADI")</f>
        <v>PRIBADI</v>
      </c>
    </row>
    <row r="23">
      <c r="A23" s="7">
        <f>IFERROR(__xludf.DUMMYFUNCTION("""COMPUTED_VALUE"""),46313.0)</f>
        <v>46313</v>
      </c>
      <c r="B23" s="2" t="str">
        <f>IFERROR(__xludf.DUMMYFUNCTION("""COMPUTED_VALUE"""),"TRSF E-BANKING DB")</f>
        <v>TRSF E-BANKING DB</v>
      </c>
      <c r="C23" s="2" t="str">
        <f>IFERROR(__xludf.DUMMYFUNCTION("""COMPUTED_VALUE"""),"1810/FTSCY/WS95271 100086600.00 Fri Oct 16 2026 14:00:00 GMT+0700 (Western Indonesia Time) BROILER MAKMUR TAN")</f>
        <v>1810/FTSCY/WS95271 100086600.00 Fri Oct 16 2026 14:00:00 GMT+0700 (Western Indonesia Time) BROILER MAKMUR TAN</v>
      </c>
      <c r="D23" s="2">
        <f>IFERROR(__xludf.DUMMYFUNCTION("""COMPUTED_VALUE"""),1.000866E8)</f>
        <v>100086600</v>
      </c>
      <c r="E23" s="2"/>
      <c r="F23" s="2" t="str">
        <f>IFERROR(__xludf.DUMMYFUNCTION("""COMPUTED_VALUE"""),"DB")</f>
        <v>DB</v>
      </c>
      <c r="G23" s="2">
        <f>IFERROR(__xludf.DUMMYFUNCTION("""COMPUTED_VALUE"""),1.9666311090000033E7)</f>
        <v>19666311.09</v>
      </c>
      <c r="H23" s="2"/>
      <c r="I23" s="2" t="str">
        <f>IFERROR(__xludf.DUMMYFUNCTION("""COMPUTED_VALUE"""),"PRIBADI")</f>
        <v>PRIBADI</v>
      </c>
    </row>
    <row r="24">
      <c r="A24" s="7">
        <f>IFERROR(__xludf.DUMMYFUNCTION("""COMPUTED_VALUE"""),46313.0)</f>
        <v>46313</v>
      </c>
      <c r="B24" s="2" t="str">
        <f>IFERROR(__xludf.DUMMYFUNCTION("""COMPUTED_VALUE"""),"TRSF E-BANKING DB")</f>
        <v>TRSF E-BANKING DB</v>
      </c>
      <c r="C24" s="2" t="str">
        <f>IFERROR(__xludf.DUMMYFUNCTION("""COMPUTED_VALUE"""),"1810/FTSCY/WS95271 1950000.00 FAJAR ANDREANZAH")</f>
        <v>1810/FTSCY/WS95271 1950000.00 FAJAR ANDREANZAH</v>
      </c>
      <c r="D24" s="2">
        <f>IFERROR(__xludf.DUMMYFUNCTION("""COMPUTED_VALUE"""),1950000.0)</f>
        <v>1950000</v>
      </c>
      <c r="E24" s="2"/>
      <c r="F24" s="2" t="str">
        <f>IFERROR(__xludf.DUMMYFUNCTION("""COMPUTED_VALUE"""),"DB")</f>
        <v>DB</v>
      </c>
      <c r="G24" s="2">
        <f>IFERROR(__xludf.DUMMYFUNCTION("""COMPUTED_VALUE"""),7047321.090000033)</f>
        <v>7047321.09</v>
      </c>
      <c r="H24" s="2"/>
      <c r="I24" s="2" t="str">
        <f>IFERROR(__xludf.DUMMYFUNCTION("""COMPUTED_VALUE"""),"PRIBADI")</f>
        <v>PRIBADI</v>
      </c>
    </row>
    <row r="25">
      <c r="A25" s="7">
        <f>IFERROR(__xludf.DUMMYFUNCTION("""COMPUTED_VALUE"""),46313.0)</f>
        <v>46313</v>
      </c>
      <c r="B25" s="2" t="str">
        <f>IFERROR(__xludf.DUMMYFUNCTION("""COMPUTED_VALUE"""),"TRSF E-BANKING DB")</f>
        <v>TRSF E-BANKING DB</v>
      </c>
      <c r="C25" s="2" t="str">
        <f>IFERROR(__xludf.DUMMYFUNCTION("""COMPUTED_VALUE"""),"1810/FTSCY/WS95271 4700000.00 EKO SETIYAWAN")</f>
        <v>1810/FTSCY/WS95271 4700000.00 EKO SETIYAWAN</v>
      </c>
      <c r="D25" s="2">
        <f>IFERROR(__xludf.DUMMYFUNCTION("""COMPUTED_VALUE"""),4700000.0)</f>
        <v>4700000</v>
      </c>
      <c r="E25" s="2"/>
      <c r="F25" s="2" t="str">
        <f>IFERROR(__xludf.DUMMYFUNCTION("""COMPUTED_VALUE"""),"DB")</f>
        <v>DB</v>
      </c>
      <c r="G25" s="2">
        <f>IFERROR(__xludf.DUMMYFUNCTION("""COMPUTED_VALUE"""),210231.09000003338)</f>
        <v>210231.09</v>
      </c>
      <c r="H25" s="2"/>
      <c r="I25" s="2" t="str">
        <f>IFERROR(__xludf.DUMMYFUNCTION("""COMPUTED_VALUE"""),"PRIBADI")</f>
        <v>PRIBADI</v>
      </c>
    </row>
    <row r="26">
      <c r="A26" s="7">
        <f>IFERROR(__xludf.DUMMYFUNCTION("""COMPUTED_VALUE"""),46313.0)</f>
        <v>46313</v>
      </c>
      <c r="B26" s="2" t="str">
        <f>IFERROR(__xludf.DUMMYFUNCTION("""COMPUTED_VALUE"""),"TRSF E-BANKING DB")</f>
        <v>TRSF E-BANKING DB</v>
      </c>
      <c r="C26" s="2" t="str">
        <f>IFERROR(__xludf.DUMMYFUNCTION("""COMPUTED_VALUE"""),"1810/FTSCY/WS95271 8000000.00 pelunasan GANESHA SATRIA NUS")</f>
        <v>1810/FTSCY/WS95271 8000000.00 pelunasan GANESHA SATRIA NUS</v>
      </c>
      <c r="D26" s="2">
        <f>IFERROR(__xludf.DUMMYFUNCTION("""COMPUTED_VALUE"""),8000000.0)</f>
        <v>8000000</v>
      </c>
      <c r="E26" s="2"/>
      <c r="F26" s="2" t="str">
        <f>IFERROR(__xludf.DUMMYFUNCTION("""COMPUTED_VALUE"""),"DB")</f>
        <v>DB</v>
      </c>
      <c r="G26" s="2">
        <f>IFERROR(__xludf.DUMMYFUNCTION("""COMPUTED_VALUE"""),1.1122668109000003E8)</f>
        <v>111226681.1</v>
      </c>
      <c r="H26" s="2">
        <f>IFERROR(__xludf.DUMMYFUNCTION("""COMPUTED_VALUE"""),1.1122668109E8)</f>
        <v>111226681.1</v>
      </c>
      <c r="I26" s="2" t="str">
        <f>IFERROR(__xludf.DUMMYFUNCTION("""COMPUTED_VALUE"""),"PRIBADI")</f>
        <v>PRIBADI</v>
      </c>
    </row>
    <row r="27">
      <c r="A27" s="7">
        <f>IFERROR(__xludf.DUMMYFUNCTION("""COMPUTED_VALUE"""),46313.0)</f>
        <v>46313</v>
      </c>
      <c r="B27" s="2" t="str">
        <f>IFERROR(__xludf.DUMMYFUNCTION("""COMPUTED_VALUE"""),"TRSF E-BANKING DB")</f>
        <v>TRSF E-BANKING DB</v>
      </c>
      <c r="C27" s="2" t="str">
        <f>IFERROR(__xludf.DUMMYFUNCTION("""COMPUTED_VALUE"""),"1810/FTSCY/WS95031 66592800.00 LAWU ABADI NUSA PT")</f>
        <v>1810/FTSCY/WS95031 66592800.00 LAWU ABADI NUSA PT</v>
      </c>
      <c r="D27" s="2">
        <f>IFERROR(__xludf.DUMMYFUNCTION("""COMPUTED_VALUE"""),6.65928E7)</f>
        <v>66592800</v>
      </c>
      <c r="E27" s="2"/>
      <c r="F27" s="2" t="str">
        <f>IFERROR(__xludf.DUMMYFUNCTION("""COMPUTED_VALUE"""),"DB")</f>
        <v>DB</v>
      </c>
      <c r="G27" s="2">
        <f>IFERROR(__xludf.DUMMYFUNCTION("""COMPUTED_VALUE"""),9.066538109000003E7)</f>
        <v>90665381.09</v>
      </c>
      <c r="H27" s="2"/>
      <c r="I27" s="2" t="str">
        <f>IFERROR(__xludf.DUMMYFUNCTION("""COMPUTED_VALUE"""),"PRIBADI")</f>
        <v>PRIBADI</v>
      </c>
    </row>
    <row r="28">
      <c r="A28" s="7">
        <f>IFERROR(__xludf.DUMMYFUNCTION("""COMPUTED_VALUE"""),46313.0)</f>
        <v>46313</v>
      </c>
      <c r="B28" s="2" t="str">
        <f>IFERROR(__xludf.DUMMYFUNCTION("""COMPUTED_VALUE"""),"TRSF E-BANKING DB")</f>
        <v>TRSF E-BANKING DB</v>
      </c>
      <c r="C28" s="2" t="str">
        <f>IFERROR(__xludf.DUMMYFUNCTION("""COMPUTED_VALUE"""),"1810/FTSCY/WS95031 6449050.00 pelunasan mlg SURYA INTI TERNAK")</f>
        <v>1810/FTSCY/WS95031 6449050.00 pelunasan mlg SURYA INTI TERNAK</v>
      </c>
      <c r="D28" s="2">
        <f>IFERROR(__xludf.DUMMYFUNCTION("""COMPUTED_VALUE"""),6449050.0)</f>
        <v>6449050</v>
      </c>
      <c r="E28" s="2"/>
      <c r="F28" s="2" t="str">
        <f>IFERROR(__xludf.DUMMYFUNCTION("""COMPUTED_VALUE"""),"DB")</f>
        <v>DB</v>
      </c>
      <c r="G28" s="2">
        <f>IFERROR(__xludf.DUMMYFUNCTION("""COMPUTED_VALUE"""),8.421633109000003E7)</f>
        <v>84216331.09</v>
      </c>
      <c r="H28" s="2"/>
      <c r="I28" s="2" t="str">
        <f>IFERROR(__xludf.DUMMYFUNCTION("""COMPUTED_VALUE"""),"PRIBADI")</f>
        <v>PRIBADI</v>
      </c>
    </row>
    <row r="29">
      <c r="A29" s="7">
        <f>IFERROR(__xludf.DUMMYFUNCTION("""COMPUTED_VALUE"""),46313.0)</f>
        <v>46313</v>
      </c>
      <c r="B29" s="2" t="str">
        <f>IFERROR(__xludf.DUMMYFUNCTION("""COMPUTED_VALUE"""),"TRSF E-BANKING DB")</f>
        <v>TRSF E-BANKING DB</v>
      </c>
      <c r="C29" s="2" t="str">
        <f>IFERROR(__xludf.DUMMYFUNCTION("""COMPUTED_VALUE"""),"1810/FTSCY/WS95271 47406500.00 Sun Oct 18 2026 14:00:00 GMT+0700 (Western Indonesia Time) BERLIAN UNGGUL JAY")</f>
        <v>1810/FTSCY/WS95271 47406500.00 Sun Oct 18 2026 14:00:00 GMT+0700 (Western Indonesia Time) BERLIAN UNGGUL JAY</v>
      </c>
      <c r="D29" s="2">
        <f>IFERROR(__xludf.DUMMYFUNCTION("""COMPUTED_VALUE"""),4.74065E7)</f>
        <v>47406500</v>
      </c>
      <c r="E29" s="2"/>
      <c r="F29" s="2" t="str">
        <f>IFERROR(__xludf.DUMMYFUNCTION("""COMPUTED_VALUE"""),"DB")</f>
        <v>DB</v>
      </c>
      <c r="G29" s="2">
        <f>IFERROR(__xludf.DUMMYFUNCTION("""COMPUTED_VALUE"""),3.680983109000003E7)</f>
        <v>36809831.09</v>
      </c>
      <c r="H29" s="2"/>
      <c r="I29" s="2" t="str">
        <f>IFERROR(__xludf.DUMMYFUNCTION("""COMPUTED_VALUE"""),"PRIBADI")</f>
        <v>PRIBADI</v>
      </c>
    </row>
    <row r="30">
      <c r="A30" s="7">
        <f>IFERROR(__xludf.DUMMYFUNCTION("""COMPUTED_VALUE"""),46313.0)</f>
        <v>46313</v>
      </c>
      <c r="B30" s="2" t="str">
        <f>IFERROR(__xludf.DUMMYFUNCTION("""COMPUTED_VALUE"""),"TRSF E-BANKING DB")</f>
        <v>TRSF E-BANKING DB</v>
      </c>
      <c r="C30" s="2" t="str">
        <f>IFERROR(__xludf.DUMMYFUNCTION("""COMPUTED_VALUE"""),"1810/FTFVA/WS95031 55569/PT PRIMA FAJ mlg - 40190")</f>
        <v>1810/FTFVA/WS95031 55569/PT PRIMA FAJ mlg - 40190</v>
      </c>
      <c r="D30" s="2">
        <f>IFERROR(__xludf.DUMMYFUNCTION("""COMPUTED_VALUE"""),5.46612E7)</f>
        <v>54661200</v>
      </c>
      <c r="E30" s="2"/>
      <c r="F30" s="2" t="str">
        <f>IFERROR(__xludf.DUMMYFUNCTION("""COMPUTED_VALUE"""),"DB")</f>
        <v>DB</v>
      </c>
      <c r="G30" s="2">
        <f>IFERROR(__xludf.DUMMYFUNCTION("""COMPUTED_VALUE"""),4.754623109000003E7)</f>
        <v>47546231.09</v>
      </c>
      <c r="H30" s="2"/>
      <c r="I30" s="2" t="str">
        <f>IFERROR(__xludf.DUMMYFUNCTION("""COMPUTED_VALUE"""),"PRIBADI")</f>
        <v>PRIBADI</v>
      </c>
    </row>
    <row r="31">
      <c r="A31" s="7">
        <f>IFERROR(__xludf.DUMMYFUNCTION("""COMPUTED_VALUE"""),46313.0)</f>
        <v>46313</v>
      </c>
      <c r="B31" s="2" t="str">
        <f>IFERROR(__xludf.DUMMYFUNCTION("""COMPUTED_VALUE"""),"TRSF E-BANKING DB")</f>
        <v>TRSF E-BANKING DB</v>
      </c>
      <c r="C31" s="2" t="str">
        <f>IFERROR(__xludf.DUMMYFUNCTION("""COMPUTED_VALUE"""),"1810/FTSCY/WS95271 22100000.00 pelunasan BINTANG TAMA SANTO")</f>
        <v>1810/FTSCY/WS95271 22100000.00 pelunasan BINTANG TAMA SANTO</v>
      </c>
      <c r="D31" s="2">
        <f>IFERROR(__xludf.DUMMYFUNCTION("""COMPUTED_VALUE"""),2.21E7)</f>
        <v>22100000</v>
      </c>
      <c r="E31" s="2"/>
      <c r="F31" s="2" t="str">
        <f>IFERROR(__xludf.DUMMYFUNCTION("""COMPUTED_VALUE"""),"DB")</f>
        <v>DB</v>
      </c>
      <c r="G31" s="2">
        <f>IFERROR(__xludf.DUMMYFUNCTION("""COMPUTED_VALUE"""),1.6133345109000003E8)</f>
        <v>161333451.1</v>
      </c>
      <c r="H31" s="2"/>
      <c r="I31" s="2" t="str">
        <f>IFERROR(__xludf.DUMMYFUNCTION("""COMPUTED_VALUE"""),"PRIBADI")</f>
        <v>PRIBADI</v>
      </c>
    </row>
    <row r="32">
      <c r="A32" s="7">
        <f>IFERROR(__xludf.DUMMYFUNCTION("""COMPUTED_VALUE"""),46313.0)</f>
        <v>46313</v>
      </c>
      <c r="B32" s="2" t="str">
        <f>IFERROR(__xludf.DUMMYFUNCTION("""COMPUTED_VALUE"""),"TRSF E-BANKING DB")</f>
        <v>TRSF E-BANKING DB</v>
      </c>
      <c r="C32" s="2" t="str">
        <f>IFERROR(__xludf.DUMMYFUNCTION("""COMPUTED_VALUE"""),"1810/FTSCY/WS95031 20000000.00 pelunasan BINTANG TAMA SANTO")</f>
        <v>1810/FTSCY/WS95031 20000000.00 pelunasan BINTANG TAMA SANTO</v>
      </c>
      <c r="D32" s="2">
        <f>IFERROR(__xludf.DUMMYFUNCTION("""COMPUTED_VALUE"""),2.0E7)</f>
        <v>20000000</v>
      </c>
      <c r="E32" s="2"/>
      <c r="F32" s="2" t="str">
        <f>IFERROR(__xludf.DUMMYFUNCTION("""COMPUTED_VALUE"""),"DB")</f>
        <v>DB</v>
      </c>
      <c r="G32" s="2">
        <f>IFERROR(__xludf.DUMMYFUNCTION("""COMPUTED_VALUE"""),1.4133345109000003E8)</f>
        <v>141333451.1</v>
      </c>
      <c r="H32" s="2"/>
      <c r="I32" s="2" t="str">
        <f>IFERROR(__xludf.DUMMYFUNCTION("""COMPUTED_VALUE"""),"PRIBADI")</f>
        <v>PRIBADI</v>
      </c>
    </row>
    <row r="33">
      <c r="A33" s="7">
        <f>IFERROR(__xludf.DUMMYFUNCTION("""COMPUTED_VALUE"""),46313.0)</f>
        <v>46313</v>
      </c>
      <c r="B33" s="2" t="str">
        <f>IFERROR(__xludf.DUMMYFUNCTION("""COMPUTED_VALUE"""),"BYR VIA E-BANKING")</f>
        <v>BYR VIA E-BANKING</v>
      </c>
      <c r="C33" s="2" t="str">
        <f>IFERROR(__xludf.DUMMYFUNCTION("""COMPUTED_VALUE"""),"18/10  WSID9503100 0865 PLN PREPAID 32104859353 MUHAMMAD HAIRUL MA")</f>
        <v>18/10  WSID9503100 0865 PLN PREPAID 32104859353 MUHAMMAD HAIRUL MA</v>
      </c>
      <c r="D33" s="2">
        <f>IFERROR(__xludf.DUMMYFUNCTION("""COMPUTED_VALUE"""),202500.0)</f>
        <v>202500</v>
      </c>
      <c r="E33" s="2"/>
      <c r="F33" s="2"/>
      <c r="G33" s="2">
        <f>IFERROR(__xludf.DUMMYFUNCTION("""COMPUTED_VALUE"""),1.4113095109000003E8)</f>
        <v>141130951.1</v>
      </c>
      <c r="H33" s="2"/>
      <c r="I33" s="2" t="str">
        <f>IFERROR(__xludf.DUMMYFUNCTION("""COMPUTED_VALUE"""),"PRIBADI")</f>
        <v>PRIBADI</v>
      </c>
    </row>
    <row r="34">
      <c r="A34" s="7">
        <f>IFERROR(__xludf.DUMMYFUNCTION("""COMPUTED_VALUE"""),46313.0)</f>
        <v>46313</v>
      </c>
      <c r="B34" s="2" t="str">
        <f>IFERROR(__xludf.DUMMYFUNCTION("""COMPUTED_VALUE"""),"TRSF E-BANKING DB")</f>
        <v>TRSF E-BANKING DB</v>
      </c>
      <c r="C34" s="2" t="str">
        <f>IFERROR(__xludf.DUMMYFUNCTION("""COMPUTED_VALUE"""),"1810/FTSCY/WS95031 2110000.00 SUNARTO")</f>
        <v>1810/FTSCY/WS95031 2110000.00 SUNARTO</v>
      </c>
      <c r="D34" s="2">
        <f>IFERROR(__xludf.DUMMYFUNCTION("""COMPUTED_VALUE"""),2110000.0)</f>
        <v>2110000</v>
      </c>
      <c r="E34" s="2"/>
      <c r="F34" s="2" t="str">
        <f>IFERROR(__xludf.DUMMYFUNCTION("""COMPUTED_VALUE"""),"DB")</f>
        <v>DB</v>
      </c>
      <c r="G34" s="2">
        <f>IFERROR(__xludf.DUMMYFUNCTION("""COMPUTED_VALUE"""),4.3047068109000003E8)</f>
        <v>430470681.1</v>
      </c>
      <c r="H34" s="2"/>
      <c r="I34" s="2" t="str">
        <f>IFERROR(__xludf.DUMMYFUNCTION("""COMPUTED_VALUE"""),"PRIBADI")</f>
        <v>PRIBADI</v>
      </c>
    </row>
    <row r="35">
      <c r="A35" s="7">
        <f>IFERROR(__xludf.DUMMYFUNCTION("""COMPUTED_VALUE"""),46313.0)</f>
        <v>46313</v>
      </c>
      <c r="B35" s="2" t="str">
        <f>IFERROR(__xludf.DUMMYFUNCTION("""COMPUTED_VALUE"""),"TRSF E-BANKING DB")</f>
        <v>TRSF E-BANKING DB</v>
      </c>
      <c r="C35" s="2" t="str">
        <f>IFERROR(__xludf.DUMMYFUNCTION("""COMPUTED_VALUE"""),"1810/FTSCY/WS95031 4000000.00 EKO SETIYAWAN")</f>
        <v>1810/FTSCY/WS95031 4000000.00 EKO SETIYAWAN</v>
      </c>
      <c r="D35" s="2">
        <f>IFERROR(__xludf.DUMMYFUNCTION("""COMPUTED_VALUE"""),4000000.0)</f>
        <v>4000000</v>
      </c>
      <c r="E35" s="2"/>
      <c r="F35" s="2" t="str">
        <f>IFERROR(__xludf.DUMMYFUNCTION("""COMPUTED_VALUE"""),"DB")</f>
        <v>DB</v>
      </c>
      <c r="G35" s="2">
        <f>IFERROR(__xludf.DUMMYFUNCTION("""COMPUTED_VALUE"""),4.2647068109000003E8)</f>
        <v>426470681.1</v>
      </c>
      <c r="H35" s="2"/>
      <c r="I35" s="2" t="str">
        <f>IFERROR(__xludf.DUMMYFUNCTION("""COMPUTED_VALUE"""),"PRIBADI")</f>
        <v>PRIBADI</v>
      </c>
    </row>
    <row r="36">
      <c r="A36" s="7">
        <f>IFERROR(__xludf.DUMMYFUNCTION("""COMPUTED_VALUE"""),46313.0)</f>
        <v>46313</v>
      </c>
      <c r="B36" s="2" t="str">
        <f>IFERROR(__xludf.DUMMYFUNCTION("""COMPUTED_VALUE"""),"TRSF E-BANKING DB")</f>
        <v>TRSF E-BANKING DB</v>
      </c>
      <c r="C36" s="2" t="str">
        <f>IFERROR(__xludf.DUMMYFUNCTION("""COMPUTED_VALUE"""),"1810/FTSCY/WS95271 1000000.00 EKO SETIYAWAN")</f>
        <v>1810/FTSCY/WS95271 1000000.00 EKO SETIYAWAN</v>
      </c>
      <c r="D36" s="2">
        <f>IFERROR(__xludf.DUMMYFUNCTION("""COMPUTED_VALUE"""),1000000.0)</f>
        <v>1000000</v>
      </c>
      <c r="E36" s="2"/>
      <c r="F36" s="2" t="str">
        <f>IFERROR(__xludf.DUMMYFUNCTION("""COMPUTED_VALUE"""),"DB")</f>
        <v>DB</v>
      </c>
      <c r="G36" s="2">
        <f>IFERROR(__xludf.DUMMYFUNCTION("""COMPUTED_VALUE"""),4.2547068109000003E8)</f>
        <v>425470681.1</v>
      </c>
      <c r="H36" s="2"/>
      <c r="I36" s="2" t="str">
        <f>IFERROR(__xludf.DUMMYFUNCTION("""COMPUTED_VALUE"""),"PRIBADI")</f>
        <v>PRIBADI</v>
      </c>
    </row>
    <row r="37">
      <c r="A37" s="7">
        <f>IFERROR(__xludf.DUMMYFUNCTION("""COMPUTED_VALUE"""),46313.0)</f>
        <v>46313</v>
      </c>
      <c r="B37" s="2" t="str">
        <f>IFERROR(__xludf.DUMMYFUNCTION("""COMPUTED_VALUE"""),"DB DEBIT DOMESTIK")</f>
        <v>DB DEBIT DOMESTIK</v>
      </c>
      <c r="C37" s="2" t="str">
        <f>IFERROR(__xludf.DUMMYFUNCTION("""COMPUTED_VALUE"""),"TRN DEBIT DOM 008 DR. RAMZI SP. A")</f>
        <v>TRN DEBIT DOM 008 DR. RAMZI SP. A</v>
      </c>
      <c r="D37" s="2">
        <f>IFERROR(__xludf.DUMMYFUNCTION("""COMPUTED_VALUE"""),105000.0)</f>
        <v>105000</v>
      </c>
      <c r="E37" s="2"/>
      <c r="F37" s="2" t="str">
        <f>IFERROR(__xludf.DUMMYFUNCTION("""COMPUTED_VALUE"""),"DB")</f>
        <v>DB</v>
      </c>
      <c r="G37" s="2">
        <f>IFERROR(__xludf.DUMMYFUNCTION("""COMPUTED_VALUE"""),4.2536568109000003E8)</f>
        <v>425365681.1</v>
      </c>
      <c r="H37" s="2"/>
      <c r="I37" s="2" t="str">
        <f>IFERROR(__xludf.DUMMYFUNCTION("""COMPUTED_VALUE"""),"PRIBADI")</f>
        <v>PRIBADI</v>
      </c>
    </row>
    <row r="38">
      <c r="A38" s="7">
        <f>IFERROR(__xludf.DUMMYFUNCTION("""COMPUTED_VALUE"""),46313.0)</f>
        <v>46313</v>
      </c>
      <c r="B38" s="2" t="str">
        <f>IFERROR(__xludf.DUMMYFUNCTION("""COMPUTED_VALUE"""),"KARTU DEBIT")</f>
        <v>KARTU DEBIT</v>
      </c>
      <c r="C38" s="2" t="str">
        <f>IFERROR(__xludf.DUMMYFUNCTION("""COMPUTED_VALUE"""),"APOTEK KF 241 6019009510239343")</f>
        <v>APOTEK KF 241 6019009510239343</v>
      </c>
      <c r="D38" s="2">
        <f>IFERROR(__xludf.DUMMYFUNCTION("""COMPUTED_VALUE"""),425954.0)</f>
        <v>425954</v>
      </c>
      <c r="E38" s="2"/>
      <c r="F38" s="2"/>
      <c r="G38" s="2">
        <f>IFERROR(__xludf.DUMMYFUNCTION("""COMPUTED_VALUE"""),4.2493972709000003E8)</f>
        <v>424939727.1</v>
      </c>
      <c r="H38" s="2">
        <f>IFERROR(__xludf.DUMMYFUNCTION("""COMPUTED_VALUE"""),4.2493972709E8)</f>
        <v>424939727.1</v>
      </c>
      <c r="I38" s="2" t="str">
        <f>IFERROR(__xludf.DUMMYFUNCTION("""COMPUTED_VALUE"""),"PRIBADI")</f>
        <v>PRIBADI</v>
      </c>
    </row>
    <row r="39">
      <c r="A39" s="7">
        <f>IFERROR(__xludf.DUMMYFUNCTION("""COMPUTED_VALUE"""),46314.0)</f>
        <v>46314</v>
      </c>
      <c r="B39" s="2" t="str">
        <f>IFERROR(__xludf.DUMMYFUNCTION("""COMPUTED_VALUE"""),"TRSF E-BANKING DB")</f>
        <v>TRSF E-BANKING DB</v>
      </c>
      <c r="C39" s="2" t="str">
        <f>IFERROR(__xludf.DUMMYFUNCTION("""COMPUTED_VALUE"""),"1910/FTSCY/WS95271 114283750.00 Fri Oct 16 2026 14:00:00 GMT+0700 (Western Indonesia Time) BINTANG TAMA SANTO")</f>
        <v>1910/FTSCY/WS95271 114283750.00 Fri Oct 16 2026 14:00:00 GMT+0700 (Western Indonesia Time) BINTANG TAMA SANTO</v>
      </c>
      <c r="D39" s="2">
        <f>IFERROR(__xludf.DUMMYFUNCTION("""COMPUTED_VALUE"""),1.1428375E8)</f>
        <v>114283750</v>
      </c>
      <c r="E39" s="2"/>
      <c r="F39" s="2" t="str">
        <f>IFERROR(__xludf.DUMMYFUNCTION("""COMPUTED_VALUE"""),"DB")</f>
        <v>DB</v>
      </c>
      <c r="G39" s="2">
        <f>IFERROR(__xludf.DUMMYFUNCTION("""COMPUTED_VALUE"""),3.3960955709000003E8)</f>
        <v>339609557.1</v>
      </c>
      <c r="H39" s="2"/>
      <c r="I39" s="2" t="str">
        <f>IFERROR(__xludf.DUMMYFUNCTION("""COMPUTED_VALUE"""),"PRIBADI")</f>
        <v>PRIBADI</v>
      </c>
    </row>
    <row r="40">
      <c r="A40" s="7">
        <f>IFERROR(__xludf.DUMMYFUNCTION("""COMPUTED_VALUE"""),46314.0)</f>
        <v>46314</v>
      </c>
      <c r="B40" s="2" t="str">
        <f>IFERROR(__xludf.DUMMYFUNCTION("""COMPUTED_VALUE"""),"TRSF E-BANKING DB")</f>
        <v>TRSF E-BANKING DB</v>
      </c>
      <c r="C40" s="2" t="str">
        <f>IFERROR(__xludf.DUMMYFUNCTION("""COMPUTED_VALUE"""),"1910/FTSCY/WS95271 66773000.00 Sun Oct 18 2026 14:00:00 GMT+0700 (Western Indonesia Time) DINA LUKMIANINGRUM")</f>
        <v>1910/FTSCY/WS95271 66773000.00 Sun Oct 18 2026 14:00:00 GMT+0700 (Western Indonesia Time) DINA LUKMIANINGRUM</v>
      </c>
      <c r="D40" s="2">
        <f>IFERROR(__xludf.DUMMYFUNCTION("""COMPUTED_VALUE"""),6.6773E7)</f>
        <v>66773000</v>
      </c>
      <c r="E40" s="2"/>
      <c r="F40" s="2" t="str">
        <f>IFERROR(__xludf.DUMMYFUNCTION("""COMPUTED_VALUE"""),"DB")</f>
        <v>DB</v>
      </c>
      <c r="G40" s="2">
        <f>IFERROR(__xludf.DUMMYFUNCTION("""COMPUTED_VALUE"""),2.7283655709000003E8)</f>
        <v>272836557.1</v>
      </c>
      <c r="H40" s="2"/>
      <c r="I40" s="2" t="str">
        <f>IFERROR(__xludf.DUMMYFUNCTION("""COMPUTED_VALUE"""),"PRIBADI")</f>
        <v>PRIBADI</v>
      </c>
    </row>
    <row r="41">
      <c r="A41" s="7">
        <f>IFERROR(__xludf.DUMMYFUNCTION("""COMPUTED_VALUE"""),46314.0)</f>
        <v>46314</v>
      </c>
      <c r="B41" s="2" t="str">
        <f>IFERROR(__xludf.DUMMYFUNCTION("""COMPUTED_VALUE"""),"TRSF E-BANKING DB")</f>
        <v>TRSF E-BANKING DB</v>
      </c>
      <c r="C41" s="2" t="str">
        <f>IFERROR(__xludf.DUMMYFUNCTION("""COMPUTED_VALUE"""),"1910/FTSCY/WS95271 54000000.00 Sun Oct 18 2026 14:00:00 GMT+0700 (Western Indonesia Time) ANUGERAH KARTIKA A")</f>
        <v>1910/FTSCY/WS95271 54000000.00 Sun Oct 18 2026 14:00:00 GMT+0700 (Western Indonesia Time) ANUGERAH KARTIKA A</v>
      </c>
      <c r="D41" s="2">
        <f>IFERROR(__xludf.DUMMYFUNCTION("""COMPUTED_VALUE"""),5.4E7)</f>
        <v>54000000</v>
      </c>
      <c r="E41" s="2"/>
      <c r="F41" s="2" t="str">
        <f>IFERROR(__xludf.DUMMYFUNCTION("""COMPUTED_VALUE"""),"DB")</f>
        <v>DB</v>
      </c>
      <c r="G41" s="2">
        <f>IFERROR(__xludf.DUMMYFUNCTION("""COMPUTED_VALUE"""),2.1883655709000003E8)</f>
        <v>218836557.1</v>
      </c>
      <c r="H41" s="2"/>
      <c r="I41" s="2" t="str">
        <f>IFERROR(__xludf.DUMMYFUNCTION("""COMPUTED_VALUE"""),"PRIBADI")</f>
        <v>PRIBADI</v>
      </c>
    </row>
    <row r="42">
      <c r="A42" s="7">
        <f>IFERROR(__xludf.DUMMYFUNCTION("""COMPUTED_VALUE"""),46314.0)</f>
        <v>46314</v>
      </c>
      <c r="B42" s="2" t="str">
        <f>IFERROR(__xludf.DUMMYFUNCTION("""COMPUTED_VALUE"""),"TRSF E-BANKING DB")</f>
        <v>TRSF E-BANKING DB</v>
      </c>
      <c r="C42" s="2" t="str">
        <f>IFERROR(__xludf.DUMMYFUNCTION("""COMPUTED_VALUE"""),"1910/FTSCY/WS95271 52832100.00 Sat Oct 17 2026 14:00:00 GMT+0700 (Western Indonesia Time) ANUGERAH KARTIKA A")</f>
        <v>1910/FTSCY/WS95271 52832100.00 Sat Oct 17 2026 14:00:00 GMT+0700 (Western Indonesia Time) ANUGERAH KARTIKA A</v>
      </c>
      <c r="D42" s="2">
        <f>IFERROR(__xludf.DUMMYFUNCTION("""COMPUTED_VALUE"""),5.28321E7)</f>
        <v>52832100</v>
      </c>
      <c r="E42" s="2"/>
      <c r="F42" s="2" t="str">
        <f>IFERROR(__xludf.DUMMYFUNCTION("""COMPUTED_VALUE"""),"DB")</f>
        <v>DB</v>
      </c>
      <c r="G42" s="2">
        <f>IFERROR(__xludf.DUMMYFUNCTION("""COMPUTED_VALUE"""),1.6600445709000003E8)</f>
        <v>166004457.1</v>
      </c>
      <c r="H42" s="2"/>
      <c r="I42" s="2" t="str">
        <f>IFERROR(__xludf.DUMMYFUNCTION("""COMPUTED_VALUE"""),"PRIBADI")</f>
        <v>PRIBADI</v>
      </c>
    </row>
    <row r="43">
      <c r="A43" s="7">
        <f>IFERROR(__xludf.DUMMYFUNCTION("""COMPUTED_VALUE"""),46314.0)</f>
        <v>46314</v>
      </c>
      <c r="B43" s="2" t="str">
        <f>IFERROR(__xludf.DUMMYFUNCTION("""COMPUTED_VALUE"""),"TRSF E-BANKING DB")</f>
        <v>TRSF E-BANKING DB</v>
      </c>
      <c r="C43" s="2" t="str">
        <f>IFERROR(__xludf.DUMMYFUNCTION("""COMPUTED_VALUE"""),"1910/FTSCY/WS95031 100000000.00 Fri Oct 16 2026 14:00:00 GMT+0700 (Western Indonesia Time) SUPER UNGGAS JAYA")</f>
        <v>1910/FTSCY/WS95031 100000000.00 Fri Oct 16 2026 14:00:00 GMT+0700 (Western Indonesia Time) SUPER UNGGAS JAYA</v>
      </c>
      <c r="D43" s="2">
        <f>IFERROR(__xludf.DUMMYFUNCTION("""COMPUTED_VALUE"""),1.0E8)</f>
        <v>100000000</v>
      </c>
      <c r="E43" s="2"/>
      <c r="F43" s="2" t="str">
        <f>IFERROR(__xludf.DUMMYFUNCTION("""COMPUTED_VALUE"""),"DB")</f>
        <v>DB</v>
      </c>
      <c r="G43" s="2">
        <f>IFERROR(__xludf.DUMMYFUNCTION("""COMPUTED_VALUE"""),6.600445709000003E7)</f>
        <v>66004457.09</v>
      </c>
      <c r="H43" s="2"/>
      <c r="I43" s="2" t="str">
        <f>IFERROR(__xludf.DUMMYFUNCTION("""COMPUTED_VALUE"""),"PRIBADI")</f>
        <v>PRIBADI</v>
      </c>
    </row>
    <row r="44">
      <c r="A44" s="7">
        <f>IFERROR(__xludf.DUMMYFUNCTION("""COMPUTED_VALUE"""),46314.0)</f>
        <v>46314</v>
      </c>
      <c r="B44" s="2" t="str">
        <f>IFERROR(__xludf.DUMMYFUNCTION("""COMPUTED_VALUE"""),"TARIKAN ATM 19/10")</f>
        <v>TARIKAN ATM 19/10</v>
      </c>
      <c r="C44" s="2" t="str">
        <f>IFERROR(__xludf.DUMMYFUNCTION("""COMPUTED_VALUE"""),"TARIKAN ATM 19/10")</f>
        <v>TARIKAN ATM 19/10</v>
      </c>
      <c r="D44" s="2">
        <f>IFERROR(__xludf.DUMMYFUNCTION("""COMPUTED_VALUE"""),300000.0)</f>
        <v>300000</v>
      </c>
      <c r="E44" s="2"/>
      <c r="F44" s="2"/>
      <c r="G44" s="2">
        <f>IFERROR(__xludf.DUMMYFUNCTION("""COMPUTED_VALUE"""),2.7318500709000003E8)</f>
        <v>273185007.1</v>
      </c>
      <c r="H44" s="2">
        <f>IFERROR(__xludf.DUMMYFUNCTION("""COMPUTED_VALUE"""),2.7318500709E8)</f>
        <v>273185007.1</v>
      </c>
      <c r="I44" s="2" t="str">
        <f>IFERROR(__xludf.DUMMYFUNCTION("""COMPUTED_VALUE"""),"PRIBADI")</f>
        <v>PRIBADI</v>
      </c>
    </row>
    <row r="45">
      <c r="A45" s="7">
        <f>IFERROR(__xludf.DUMMYFUNCTION("""COMPUTED_VALUE"""),46314.0)</f>
        <v>46314</v>
      </c>
      <c r="B45" s="2" t="str">
        <f>IFERROR(__xludf.DUMMYFUNCTION("""COMPUTED_VALUE"""),"TRSF E-BANKING DB")</f>
        <v>TRSF E-BANKING DB</v>
      </c>
      <c r="C45" s="2" t="str">
        <f>IFERROR(__xludf.DUMMYFUNCTION("""COMPUTED_VALUE"""),"1910/FTFVA/WS95031 55569/PT PRIMA FAJ mlg - 40190")</f>
        <v>1910/FTFVA/WS95031 55569/PT PRIMA FAJ mlg - 40190</v>
      </c>
      <c r="D45" s="2">
        <f>IFERROR(__xludf.DUMMYFUNCTION("""COMPUTED_VALUE"""),1.055758E8)</f>
        <v>105575800</v>
      </c>
      <c r="E45" s="2"/>
      <c r="F45" s="2" t="str">
        <f>IFERROR(__xludf.DUMMYFUNCTION("""COMPUTED_VALUE"""),"DB")</f>
        <v>DB</v>
      </c>
      <c r="G45" s="2">
        <f>IFERROR(__xludf.DUMMYFUNCTION("""COMPUTED_VALUE"""),3.4202152709000003E8)</f>
        <v>342021527.1</v>
      </c>
      <c r="H45" s="2"/>
      <c r="I45" s="2" t="str">
        <f>IFERROR(__xludf.DUMMYFUNCTION("""COMPUTED_VALUE"""),"PRIBADI")</f>
        <v>PRIBADI</v>
      </c>
    </row>
    <row r="46">
      <c r="A46" s="7">
        <f>IFERROR(__xludf.DUMMYFUNCTION("""COMPUTED_VALUE"""),46314.0)</f>
        <v>46314</v>
      </c>
      <c r="B46" s="2" t="str">
        <f>IFERROR(__xludf.DUMMYFUNCTION("""COMPUTED_VALUE"""),"TRSF E-BANKING DB")</f>
        <v>TRSF E-BANKING DB</v>
      </c>
      <c r="C46" s="2" t="str">
        <f>IFERROR(__xludf.DUMMYFUNCTION("""COMPUTED_VALUE"""),"1910/FTSCY/WS95271 200000.00 AHMAD MAMNUN")</f>
        <v>1910/FTSCY/WS95271 200000.00 AHMAD MAMNUN</v>
      </c>
      <c r="D46" s="2">
        <f>IFERROR(__xludf.DUMMYFUNCTION("""COMPUTED_VALUE"""),200000.0)</f>
        <v>200000</v>
      </c>
      <c r="E46" s="2"/>
      <c r="F46" s="2" t="str">
        <f>IFERROR(__xludf.DUMMYFUNCTION("""COMPUTED_VALUE"""),"DB")</f>
        <v>DB</v>
      </c>
      <c r="G46" s="2">
        <f>IFERROR(__xludf.DUMMYFUNCTION("""COMPUTED_VALUE"""),3.4182152709000003E8)</f>
        <v>341821527.1</v>
      </c>
      <c r="H46" s="2"/>
      <c r="I46" s="2" t="str">
        <f>IFERROR(__xludf.DUMMYFUNCTION("""COMPUTED_VALUE"""),"PRIBADI")</f>
        <v>PRIBADI</v>
      </c>
    </row>
    <row r="47">
      <c r="A47" s="7">
        <f>IFERROR(__xludf.DUMMYFUNCTION("""COMPUTED_VALUE"""),46314.0)</f>
        <v>46314</v>
      </c>
      <c r="B47" s="2" t="str">
        <f>IFERROR(__xludf.DUMMYFUNCTION("""COMPUTED_VALUE"""),"TRSF E-BANKING DB")</f>
        <v>TRSF E-BANKING DB</v>
      </c>
      <c r="C47" s="2" t="str">
        <f>IFERROR(__xludf.DUMMYFUNCTION("""COMPUTED_VALUE"""),"1910/FTSCY/WS95271 10000000.00 EKO SETIYAWAN")</f>
        <v>1910/FTSCY/WS95271 10000000.00 EKO SETIYAWAN</v>
      </c>
      <c r="D47" s="2">
        <f>IFERROR(__xludf.DUMMYFUNCTION("""COMPUTED_VALUE"""),1.0E7)</f>
        <v>10000000</v>
      </c>
      <c r="E47" s="2"/>
      <c r="F47" s="2" t="str">
        <f>IFERROR(__xludf.DUMMYFUNCTION("""COMPUTED_VALUE"""),"DB")</f>
        <v>DB</v>
      </c>
      <c r="G47" s="2">
        <f>IFERROR(__xludf.DUMMYFUNCTION("""COMPUTED_VALUE"""),3.3182152709000003E8)</f>
        <v>331821527.1</v>
      </c>
      <c r="H47" s="2"/>
      <c r="I47" s="2" t="str">
        <f>IFERROR(__xludf.DUMMYFUNCTION("""COMPUTED_VALUE"""),"PRIBADI")</f>
        <v>PRIBADI</v>
      </c>
    </row>
    <row r="48">
      <c r="A48" s="7">
        <f>IFERROR(__xludf.DUMMYFUNCTION("""COMPUTED_VALUE"""),46314.0)</f>
        <v>46314</v>
      </c>
      <c r="B48" s="2" t="str">
        <f>IFERROR(__xludf.DUMMYFUNCTION("""COMPUTED_VALUE"""),"BI-FAST DB")</f>
        <v>BI-FAST DB</v>
      </c>
      <c r="C48" s="2" t="str">
        <f>IFERROR(__xludf.DUMMYFUNCTION("""COMPUTED_VALUE"""),"BIF TRANSFER KE 2 HALIK MyBCA")</f>
        <v>BIF TRANSFER KE 2 HALIK MyBCA</v>
      </c>
      <c r="D48" s="2">
        <f>IFERROR(__xludf.DUMMYFUNCTION("""COMPUTED_VALUE"""),1527000.0)</f>
        <v>1527000</v>
      </c>
      <c r="E48" s="2"/>
      <c r="F48" s="2" t="str">
        <f>IFERROR(__xludf.DUMMYFUNCTION("""COMPUTED_VALUE"""),"DB")</f>
        <v>DB</v>
      </c>
      <c r="G48" s="2">
        <f>IFERROR(__xludf.DUMMYFUNCTION("""COMPUTED_VALUE"""),3.3029452709000003E8)</f>
        <v>330294527.1</v>
      </c>
      <c r="H48" s="2"/>
      <c r="I48" s="2" t="str">
        <f>IFERROR(__xludf.DUMMYFUNCTION("""COMPUTED_VALUE"""),"PRIBADI")</f>
        <v>PRIBADI</v>
      </c>
    </row>
    <row r="49">
      <c r="A49" s="7">
        <f>IFERROR(__xludf.DUMMYFUNCTION("""COMPUTED_VALUE"""),46314.0)</f>
        <v>46314</v>
      </c>
      <c r="B49" s="2" t="str">
        <f>IFERROR(__xludf.DUMMYFUNCTION("""COMPUTED_VALUE"""),"BI-FAST DB")</f>
        <v>BI-FAST DB</v>
      </c>
      <c r="C49" s="2" t="str">
        <f>IFERROR(__xludf.DUMMYFUNCTION("""COMPUTED_VALUE"""),"BIF BIAYA TXN KE 2 HALIK MyBCA")</f>
        <v>BIF BIAYA TXN KE 2 HALIK MyBCA</v>
      </c>
      <c r="D49" s="2">
        <f>IFERROR(__xludf.DUMMYFUNCTION("""COMPUTED_VALUE"""),2500.0)</f>
        <v>2500</v>
      </c>
      <c r="E49" s="2"/>
      <c r="F49" s="2" t="str">
        <f>IFERROR(__xludf.DUMMYFUNCTION("""COMPUTED_VALUE"""),"DB")</f>
        <v>DB</v>
      </c>
      <c r="G49" s="2">
        <f>IFERROR(__xludf.DUMMYFUNCTION("""COMPUTED_VALUE"""),3.3029202709000003E8)</f>
        <v>330292027.1</v>
      </c>
      <c r="H49" s="2">
        <f>IFERROR(__xludf.DUMMYFUNCTION("""COMPUTED_VALUE"""),3.3029202709E8)</f>
        <v>330292027.1</v>
      </c>
      <c r="I49" s="2" t="str">
        <f>IFERROR(__xludf.DUMMYFUNCTION("""COMPUTED_VALUE"""),"PRIBADI")</f>
        <v>PRIBADI</v>
      </c>
    </row>
    <row r="50">
      <c r="A50" s="7">
        <f>IFERROR(__xludf.DUMMYFUNCTION("""COMPUTED_VALUE"""),46315.0)</f>
        <v>46315</v>
      </c>
      <c r="B50" s="2" t="str">
        <f>IFERROR(__xludf.DUMMYFUNCTION("""COMPUTED_VALUE"""),"TRSF E-BANKING DB")</f>
        <v>TRSF E-BANKING DB</v>
      </c>
      <c r="C50" s="2" t="str">
        <f>IFERROR(__xludf.DUMMYFUNCTION("""COMPUTED_VALUE"""),"2010/FTSCY/WS95271 1300000.00 SUNARTO")</f>
        <v>2010/FTSCY/WS95271 1300000.00 SUNARTO</v>
      </c>
      <c r="D50" s="2">
        <f>IFERROR(__xludf.DUMMYFUNCTION("""COMPUTED_VALUE"""),1300000.0)</f>
        <v>1300000</v>
      </c>
      <c r="E50" s="2"/>
      <c r="F50" s="2" t="str">
        <f>IFERROR(__xludf.DUMMYFUNCTION("""COMPUTED_VALUE"""),"DB")</f>
        <v>DB</v>
      </c>
      <c r="G50" s="2">
        <f>IFERROR(__xludf.DUMMYFUNCTION("""COMPUTED_VALUE"""),3.4793886709000003E8)</f>
        <v>347938867.1</v>
      </c>
      <c r="H50" s="2"/>
      <c r="I50" s="2" t="str">
        <f>IFERROR(__xludf.DUMMYFUNCTION("""COMPUTED_VALUE"""),"PRIBADI")</f>
        <v>PRIBADI</v>
      </c>
    </row>
    <row r="51">
      <c r="A51" s="7">
        <f>IFERROR(__xludf.DUMMYFUNCTION("""COMPUTED_VALUE"""),46315.0)</f>
        <v>46315</v>
      </c>
      <c r="B51" s="2" t="str">
        <f>IFERROR(__xludf.DUMMYFUNCTION("""COMPUTED_VALUE"""),"TRSF E-BANKING DB")</f>
        <v>TRSF E-BANKING DB</v>
      </c>
      <c r="C51" s="2" t="str">
        <f>IFERROR(__xludf.DUMMYFUNCTION("""COMPUTED_VALUE"""),"2010/FTSCY/WS95271 55346450.00 Sat Oct 17 2026 14:00:00 GMT+0700 (Western Indonesia Time) ANDALAN YASA MITRA")</f>
        <v>2010/FTSCY/WS95271 55346450.00 Sat Oct 17 2026 14:00:00 GMT+0700 (Western Indonesia Time) ANDALAN YASA MITRA</v>
      </c>
      <c r="D51" s="2">
        <f>IFERROR(__xludf.DUMMYFUNCTION("""COMPUTED_VALUE"""),5.534645E7)</f>
        <v>55346450</v>
      </c>
      <c r="E51" s="2"/>
      <c r="F51" s="2" t="str">
        <f>IFERROR(__xludf.DUMMYFUNCTION("""COMPUTED_VALUE"""),"DB")</f>
        <v>DB</v>
      </c>
      <c r="G51" s="2">
        <f>IFERROR(__xludf.DUMMYFUNCTION("""COMPUTED_VALUE"""),2.9259241709000003E8)</f>
        <v>292592417.1</v>
      </c>
      <c r="H51" s="2"/>
      <c r="I51" s="2" t="str">
        <f>IFERROR(__xludf.DUMMYFUNCTION("""COMPUTED_VALUE"""),"PRIBADI")</f>
        <v>PRIBADI</v>
      </c>
    </row>
    <row r="52">
      <c r="A52" s="7">
        <f>IFERROR(__xludf.DUMMYFUNCTION("""COMPUTED_VALUE"""),46315.0)</f>
        <v>46315</v>
      </c>
      <c r="B52" s="2" t="str">
        <f>IFERROR(__xludf.DUMMYFUNCTION("""COMPUTED_VALUE"""),"TRSF E-BANKING DB")</f>
        <v>TRSF E-BANKING DB</v>
      </c>
      <c r="C52" s="2" t="str">
        <f>IFERROR(__xludf.DUMMYFUNCTION("""COMPUTED_VALUE"""),"2010/FTSCY/WS95271 54680400.00 Mon Oct 19 2026 14:00:00 GMT+0700 (Western Indonesia Time) LAWU ABADI NUSA PT")</f>
        <v>2010/FTSCY/WS95271 54680400.00 Mon Oct 19 2026 14:00:00 GMT+0700 (Western Indonesia Time) LAWU ABADI NUSA PT</v>
      </c>
      <c r="D52" s="2">
        <f>IFERROR(__xludf.DUMMYFUNCTION("""COMPUTED_VALUE"""),5.46804E7)</f>
        <v>54680400</v>
      </c>
      <c r="E52" s="2"/>
      <c r="F52" s="2" t="str">
        <f>IFERROR(__xludf.DUMMYFUNCTION("""COMPUTED_VALUE"""),"DB")</f>
        <v>DB</v>
      </c>
      <c r="G52" s="2">
        <f>IFERROR(__xludf.DUMMYFUNCTION("""COMPUTED_VALUE"""),2.3791201709000003E8)</f>
        <v>237912017.1</v>
      </c>
      <c r="H52" s="2"/>
      <c r="I52" s="2" t="str">
        <f>IFERROR(__xludf.DUMMYFUNCTION("""COMPUTED_VALUE"""),"PRIBADI")</f>
        <v>PRIBADI</v>
      </c>
    </row>
    <row r="53">
      <c r="A53" s="7">
        <f>IFERROR(__xludf.DUMMYFUNCTION("""COMPUTED_VALUE"""),46315.0)</f>
        <v>46315</v>
      </c>
      <c r="B53" s="2" t="str">
        <f>IFERROR(__xludf.DUMMYFUNCTION("""COMPUTED_VALUE"""),"TRSF E-BANKING DB")</f>
        <v>TRSF E-BANKING DB</v>
      </c>
      <c r="C53" s="2" t="str">
        <f>IFERROR(__xludf.DUMMYFUNCTION("""COMPUTED_VALUE"""),"2010/FTSCY/WS95271 37807800.00 Sat Oct 17 2026 14:00:00 GMT+0700 (Western Indonesia Time) BINTANG TAMA SANTO")</f>
        <v>2010/FTSCY/WS95271 37807800.00 Sat Oct 17 2026 14:00:00 GMT+0700 (Western Indonesia Time) BINTANG TAMA SANTO</v>
      </c>
      <c r="D53" s="2">
        <f>IFERROR(__xludf.DUMMYFUNCTION("""COMPUTED_VALUE"""),3.78078E7)</f>
        <v>37807800</v>
      </c>
      <c r="E53" s="2"/>
      <c r="F53" s="2" t="str">
        <f>IFERROR(__xludf.DUMMYFUNCTION("""COMPUTED_VALUE"""),"DB")</f>
        <v>DB</v>
      </c>
      <c r="G53" s="2">
        <f>IFERROR(__xludf.DUMMYFUNCTION("""COMPUTED_VALUE"""),2.0010421709000003E8)</f>
        <v>200104217.1</v>
      </c>
      <c r="H53" s="2"/>
      <c r="I53" s="2" t="str">
        <f>IFERROR(__xludf.DUMMYFUNCTION("""COMPUTED_VALUE"""),"PRIBADI")</f>
        <v>PRIBADI</v>
      </c>
    </row>
    <row r="54">
      <c r="A54" s="7">
        <f>IFERROR(__xludf.DUMMYFUNCTION("""COMPUTED_VALUE"""),46315.0)</f>
        <v>46315</v>
      </c>
      <c r="B54" s="2" t="str">
        <f>IFERROR(__xludf.DUMMYFUNCTION("""COMPUTED_VALUE"""),"TRSF E-BANKING DB")</f>
        <v>TRSF E-BANKING DB</v>
      </c>
      <c r="C54" s="2" t="str">
        <f>IFERROR(__xludf.DUMMYFUNCTION("""COMPUTED_VALUE"""),"2010/FTSCY/WS95271 54530840.00 Mon Oct 19 2026 14:00:00 GMT+0700 (Western Indonesia Time) BERLIAN UNGGUL JAY")</f>
        <v>2010/FTSCY/WS95271 54530840.00 Mon Oct 19 2026 14:00:00 GMT+0700 (Western Indonesia Time) BERLIAN UNGGUL JAY</v>
      </c>
      <c r="D54" s="2">
        <f>IFERROR(__xludf.DUMMYFUNCTION("""COMPUTED_VALUE"""),5.453084E7)</f>
        <v>54530840</v>
      </c>
      <c r="E54" s="2"/>
      <c r="F54" s="2" t="str">
        <f>IFERROR(__xludf.DUMMYFUNCTION("""COMPUTED_VALUE"""),"DB")</f>
        <v>DB</v>
      </c>
      <c r="G54" s="2">
        <f>IFERROR(__xludf.DUMMYFUNCTION("""COMPUTED_VALUE"""),1.4557337709000003E8)</f>
        <v>145573377.1</v>
      </c>
      <c r="H54" s="2">
        <f>IFERROR(__xludf.DUMMYFUNCTION("""COMPUTED_VALUE"""),1.4557337709E8)</f>
        <v>145573377.1</v>
      </c>
      <c r="I54" s="2" t="str">
        <f>IFERROR(__xludf.DUMMYFUNCTION("""COMPUTED_VALUE"""),"PRIBADI")</f>
        <v>PRIBADI</v>
      </c>
    </row>
    <row r="55">
      <c r="A55" s="7">
        <f>IFERROR(__xludf.DUMMYFUNCTION("""COMPUTED_VALUE"""),46315.0)</f>
        <v>46315</v>
      </c>
      <c r="B55" s="2" t="str">
        <f>IFERROR(__xludf.DUMMYFUNCTION("""COMPUTED_VALUE"""),"TRSF E-BANKING DB")</f>
        <v>TRSF E-BANKING DB</v>
      </c>
      <c r="C55" s="2" t="str">
        <f>IFERROR(__xludf.DUMMYFUNCTION("""COMPUTED_VALUE"""),"2010/FTSCY/WS95271 900000.00 HALIM IBRAHIM")</f>
        <v>2010/FTSCY/WS95271 900000.00 HALIM IBRAHIM</v>
      </c>
      <c r="D55" s="2">
        <f>IFERROR(__xludf.DUMMYFUNCTION("""COMPUTED_VALUE"""),900000.0)</f>
        <v>900000</v>
      </c>
      <c r="E55" s="2"/>
      <c r="F55" s="2" t="str">
        <f>IFERROR(__xludf.DUMMYFUNCTION("""COMPUTED_VALUE"""),"DB")</f>
        <v>DB</v>
      </c>
      <c r="G55" s="2">
        <f>IFERROR(__xludf.DUMMYFUNCTION("""COMPUTED_VALUE"""),1.4467337709000003E8)</f>
        <v>144673377.1</v>
      </c>
      <c r="H55" s="2">
        <f>IFERROR(__xludf.DUMMYFUNCTION("""COMPUTED_VALUE"""),1.4467337709E8)</f>
        <v>144673377.1</v>
      </c>
      <c r="I55" s="2" t="str">
        <f>IFERROR(__xludf.DUMMYFUNCTION("""COMPUTED_VALUE"""),"PRIBADI")</f>
        <v>PRIBADI</v>
      </c>
    </row>
    <row r="56">
      <c r="A56" s="7">
        <f>IFERROR(__xludf.DUMMYFUNCTION("""COMPUTED_VALUE"""),46315.0)</f>
        <v>46315</v>
      </c>
      <c r="B56" s="2" t="str">
        <f>IFERROR(__xludf.DUMMYFUNCTION("""COMPUTED_VALUE"""),"TRSF E-BANKING DB")</f>
        <v>TRSF E-BANKING DB</v>
      </c>
      <c r="C56" s="2" t="str">
        <f>IFERROR(__xludf.DUMMYFUNCTION("""COMPUTED_VALUE"""),"2010/FTSCY/WS95271 660720.00 ANDE DOSO ANGGORO")</f>
        <v>2010/FTSCY/WS95271 660720.00 ANDE DOSO ANGGORO</v>
      </c>
      <c r="D56" s="2">
        <f>IFERROR(__xludf.DUMMYFUNCTION("""COMPUTED_VALUE"""),660720.0)</f>
        <v>660720</v>
      </c>
      <c r="E56" s="2"/>
      <c r="F56" s="2" t="str">
        <f>IFERROR(__xludf.DUMMYFUNCTION("""COMPUTED_VALUE"""),"DB")</f>
        <v>DB</v>
      </c>
      <c r="G56" s="2">
        <f>IFERROR(__xludf.DUMMYFUNCTION("""COMPUTED_VALUE"""),1.4401265709000003E8)</f>
        <v>144012657.1</v>
      </c>
      <c r="H56" s="2"/>
      <c r="I56" s="2" t="str">
        <f>IFERROR(__xludf.DUMMYFUNCTION("""COMPUTED_VALUE"""),"PRIBADI")</f>
        <v>PRIBADI</v>
      </c>
    </row>
    <row r="57">
      <c r="A57" s="7">
        <f>IFERROR(__xludf.DUMMYFUNCTION("""COMPUTED_VALUE"""),46315.0)</f>
        <v>46315</v>
      </c>
      <c r="B57" s="2" t="str">
        <f>IFERROR(__xludf.DUMMYFUNCTION("""COMPUTED_VALUE"""),"TRSF E-BANKING DB")</f>
        <v>TRSF E-BANKING DB</v>
      </c>
      <c r="C57" s="2" t="str">
        <f>IFERROR(__xludf.DUMMYFUNCTION("""COMPUTED_VALUE"""),"2010/FTSCY/WS95271 89569200.00 17/10 krg 30 jt TABASSAM AZ ZUFAR")</f>
        <v>2010/FTSCY/WS95271 89569200.00 17/10 krg 30 jt TABASSAM AZ ZUFAR</v>
      </c>
      <c r="D57" s="2">
        <f>IFERROR(__xludf.DUMMYFUNCTION("""COMPUTED_VALUE"""),8.95692E7)</f>
        <v>89569200</v>
      </c>
      <c r="E57" s="2"/>
      <c r="F57" s="2" t="str">
        <f>IFERROR(__xludf.DUMMYFUNCTION("""COMPUTED_VALUE"""),"DB")</f>
        <v>DB</v>
      </c>
      <c r="G57" s="2">
        <f>IFERROR(__xludf.DUMMYFUNCTION("""COMPUTED_VALUE"""),5.444345709000003E7)</f>
        <v>54443457.09</v>
      </c>
      <c r="H57" s="2"/>
      <c r="I57" s="2" t="str">
        <f>IFERROR(__xludf.DUMMYFUNCTION("""COMPUTED_VALUE"""),"PRIBADI")</f>
        <v>PRIBADI</v>
      </c>
    </row>
    <row r="58">
      <c r="A58" s="7">
        <f>IFERROR(__xludf.DUMMYFUNCTION("""COMPUTED_VALUE"""),46315.0)</f>
        <v>46315</v>
      </c>
      <c r="B58" s="2" t="str">
        <f>IFERROR(__xludf.DUMMYFUNCTION("""COMPUTED_VALUE"""),"TRSF E-BANKING DB")</f>
        <v>TRSF E-BANKING DB</v>
      </c>
      <c r="C58" s="2" t="str">
        <f>IFERROR(__xludf.DUMMYFUNCTION("""COMPUTED_VALUE"""),"2010/FTSCY/WS95031 30000000.00 lunas TABASSAM AZ ZUFAR")</f>
        <v>2010/FTSCY/WS95031 30000000.00 lunas TABASSAM AZ ZUFAR</v>
      </c>
      <c r="D58" s="2">
        <f>IFERROR(__xludf.DUMMYFUNCTION("""COMPUTED_VALUE"""),3.0E7)</f>
        <v>30000000</v>
      </c>
      <c r="E58" s="2"/>
      <c r="F58" s="2" t="str">
        <f>IFERROR(__xludf.DUMMYFUNCTION("""COMPUTED_VALUE"""),"DB")</f>
        <v>DB</v>
      </c>
      <c r="G58" s="2">
        <f>IFERROR(__xludf.DUMMYFUNCTION("""COMPUTED_VALUE"""),2.4443457090000033E7)</f>
        <v>24443457.09</v>
      </c>
      <c r="H58" s="2"/>
      <c r="I58" s="2" t="str">
        <f>IFERROR(__xludf.DUMMYFUNCTION("""COMPUTED_VALUE"""),"PRIBADI")</f>
        <v>PRIBADI</v>
      </c>
    </row>
    <row r="59">
      <c r="A59" s="7">
        <f>IFERROR(__xludf.DUMMYFUNCTION("""COMPUTED_VALUE"""),46315.0)</f>
        <v>46315</v>
      </c>
      <c r="B59" s="2" t="str">
        <f>IFERROR(__xludf.DUMMYFUNCTION("""COMPUTED_VALUE"""),"TRSF E-BANKING DB")</f>
        <v>TRSF E-BANKING DB</v>
      </c>
      <c r="C59" s="2" t="str">
        <f>IFERROR(__xludf.DUMMYFUNCTION("""COMPUTED_VALUE"""),"2010/FTSCY/WS95031 15922184.00 NURUL AINI")</f>
        <v>2010/FTSCY/WS95031 15922184.00 NURUL AINI</v>
      </c>
      <c r="D59" s="2">
        <f>IFERROR(__xludf.DUMMYFUNCTION("""COMPUTED_VALUE"""),1.5922184E7)</f>
        <v>15922184</v>
      </c>
      <c r="E59" s="2"/>
      <c r="F59" s="2" t="str">
        <f>IFERROR(__xludf.DUMMYFUNCTION("""COMPUTED_VALUE"""),"DB")</f>
        <v>DB</v>
      </c>
      <c r="G59" s="2">
        <f>IFERROR(__xludf.DUMMYFUNCTION("""COMPUTED_VALUE"""),8521273.090000033)</f>
        <v>8521273.09</v>
      </c>
      <c r="H59" s="2"/>
      <c r="I59" s="2" t="str">
        <f>IFERROR(__xludf.DUMMYFUNCTION("""COMPUTED_VALUE"""),"PRIBADI")</f>
        <v>PRIBADI</v>
      </c>
    </row>
    <row r="60">
      <c r="A60" s="7">
        <f>IFERROR(__xludf.DUMMYFUNCTION("""COMPUTED_VALUE"""),46315.0)</f>
        <v>46315</v>
      </c>
      <c r="B60" s="2" t="str">
        <f>IFERROR(__xludf.DUMMYFUNCTION("""COMPUTED_VALUE"""),"TRSF E-BANKING DB")</f>
        <v>TRSF E-BANKING DB</v>
      </c>
      <c r="C60" s="2" t="str">
        <f>IFERROR(__xludf.DUMMYFUNCTION("""COMPUTED_VALUE"""),"2010/FTSCY/WS95011 72200000.00 Sun Oct 18 2026 14:00:00 GMT+0700 (Western Indonesia Time) LAJU SATWA WISESA")</f>
        <v>2010/FTSCY/WS95011 72200000.00 Sun Oct 18 2026 14:00:00 GMT+0700 (Western Indonesia Time) LAJU SATWA WISESA</v>
      </c>
      <c r="D60" s="2">
        <f>IFERROR(__xludf.DUMMYFUNCTION("""COMPUTED_VALUE"""),7.22E7)</f>
        <v>72200000</v>
      </c>
      <c r="E60" s="2"/>
      <c r="F60" s="2" t="str">
        <f>IFERROR(__xludf.DUMMYFUNCTION("""COMPUTED_VALUE"""),"DB")</f>
        <v>DB</v>
      </c>
      <c r="G60" s="2">
        <f>IFERROR(__xludf.DUMMYFUNCTION("""COMPUTED_VALUE"""),1.1906728309000003E8)</f>
        <v>119067283.1</v>
      </c>
      <c r="H60" s="2"/>
      <c r="I60" s="2" t="str">
        <f>IFERROR(__xludf.DUMMYFUNCTION("""COMPUTED_VALUE"""),"PRIBADI")</f>
        <v>PRIBADI</v>
      </c>
    </row>
    <row r="61">
      <c r="A61" s="7">
        <f>IFERROR(__xludf.DUMMYFUNCTION("""COMPUTED_VALUE"""),46315.0)</f>
        <v>46315</v>
      </c>
      <c r="B61" s="2" t="str">
        <f>IFERROR(__xludf.DUMMYFUNCTION("""COMPUTED_VALUE"""),"TRSF E-BANKING DB")</f>
        <v>TRSF E-BANKING DB</v>
      </c>
      <c r="C61" s="2" t="str">
        <f>IFERROR(__xludf.DUMMYFUNCTION("""COMPUTED_VALUE"""),"2010/FTSCY/WS95011 66279600.00 Sun Oct 18 2026 14:00:00 GMT+0700 (Western Indonesia Time) GANESHA SATRIA NUS")</f>
        <v>2010/FTSCY/WS95011 66279600.00 Sun Oct 18 2026 14:00:00 GMT+0700 (Western Indonesia Time) GANESHA SATRIA NUS</v>
      </c>
      <c r="D61" s="2">
        <f>IFERROR(__xludf.DUMMYFUNCTION("""COMPUTED_VALUE"""),6.62796E7)</f>
        <v>66279600</v>
      </c>
      <c r="E61" s="2"/>
      <c r="F61" s="2" t="str">
        <f>IFERROR(__xludf.DUMMYFUNCTION("""COMPUTED_VALUE"""),"DB")</f>
        <v>DB</v>
      </c>
      <c r="G61" s="2">
        <f>IFERROR(__xludf.DUMMYFUNCTION("""COMPUTED_VALUE"""),5.278768309000003E7)</f>
        <v>52787683.09</v>
      </c>
      <c r="H61" s="2"/>
      <c r="I61" s="2" t="str">
        <f>IFERROR(__xludf.DUMMYFUNCTION("""COMPUTED_VALUE"""),"PRIBADI")</f>
        <v>PRIBADI</v>
      </c>
    </row>
    <row r="62">
      <c r="A62" s="7">
        <f>IFERROR(__xludf.DUMMYFUNCTION("""COMPUTED_VALUE"""),46315.0)</f>
        <v>46315</v>
      </c>
      <c r="B62" s="2" t="str">
        <f>IFERROR(__xludf.DUMMYFUNCTION("""COMPUTED_VALUE"""),"TRSF E-BANKING DB")</f>
        <v>TRSF E-BANKING DB</v>
      </c>
      <c r="C62" s="2" t="str">
        <f>IFERROR(__xludf.DUMMYFUNCTION("""COMPUTED_VALUE"""),"2010/FTSCY/WS95011 53953400.00 Sun Oct 18 2026 14:00:00 GMT+0700 (Western Indonesia Time) ANDALAN YASA MITRA")</f>
        <v>2010/FTSCY/WS95011 53953400.00 Sun Oct 18 2026 14:00:00 GMT+0700 (Western Indonesia Time) ANDALAN YASA MITRA</v>
      </c>
      <c r="D62" s="2">
        <f>IFERROR(__xludf.DUMMYFUNCTION("""COMPUTED_VALUE"""),5.39534E7)</f>
        <v>53953400</v>
      </c>
      <c r="E62" s="2"/>
      <c r="F62" s="2" t="str">
        <f>IFERROR(__xludf.DUMMYFUNCTION("""COMPUTED_VALUE"""),"DB")</f>
        <v>DB</v>
      </c>
      <c r="G62" s="2">
        <f>IFERROR(__xludf.DUMMYFUNCTION("""COMPUTED_VALUE"""),84283.09000003338)</f>
        <v>84283.09</v>
      </c>
      <c r="H62" s="2"/>
      <c r="I62" s="2" t="str">
        <f>IFERROR(__xludf.DUMMYFUNCTION("""COMPUTED_VALUE"""),"PRIBADI")</f>
        <v>PRIBADI</v>
      </c>
    </row>
    <row r="63">
      <c r="A63" s="7">
        <f>IFERROR(__xludf.DUMMYFUNCTION("""COMPUTED_VALUE"""),46315.0)</f>
        <v>46315</v>
      </c>
      <c r="B63" s="2" t="str">
        <f>IFERROR(__xludf.DUMMYFUNCTION("""COMPUTED_VALUE"""),"BIAYA ADM")</f>
        <v>BIAYA ADM</v>
      </c>
      <c r="C63" s="2" t="str">
        <f>IFERROR(__xludf.DUMMYFUNCTION("""COMPUTED_VALUE"""),"BIAYA ADM")</f>
        <v>BIAYA ADM</v>
      </c>
      <c r="D63" s="2">
        <f>IFERROR(__xludf.DUMMYFUNCTION("""COMPUTED_VALUE"""),19000.0)</f>
        <v>19000</v>
      </c>
      <c r="E63" s="2"/>
      <c r="F63" s="2"/>
      <c r="G63" s="2">
        <f>IFERROR(__xludf.DUMMYFUNCTION("""COMPUTED_VALUE"""),65283.09000003338)</f>
        <v>65283.09</v>
      </c>
      <c r="H63" s="2">
        <f>IFERROR(__xludf.DUMMYFUNCTION("""COMPUTED_VALUE"""),65283.09)</f>
        <v>65283.09</v>
      </c>
      <c r="I63" s="2" t="str">
        <f>IFERROR(__xludf.DUMMYFUNCTION("""COMPUTED_VALUE"""),"PRIBADI")</f>
        <v>PRIBADI</v>
      </c>
    </row>
    <row r="64">
      <c r="A64" s="7">
        <f>IFERROR(__xludf.DUMMYFUNCTION("""COMPUTED_VALUE"""),46316.0)</f>
        <v>46316</v>
      </c>
      <c r="B64" s="2" t="str">
        <f>IFERROR(__xludf.DUMMYFUNCTION("""COMPUTED_VALUE"""),"TRSF E-BANKING DB")</f>
        <v>TRSF E-BANKING DB</v>
      </c>
      <c r="C64" s="2" t="str">
        <f>IFERROR(__xludf.DUMMYFUNCTION("""COMPUTED_VALUE"""),"2110/FTSCY/WS95271 118945400.00 Sun Oct 18 2026 14:00:00 GMT+0700 (Western Indonesia Time) BROILER MAKMUR TAN")</f>
        <v>2110/FTSCY/WS95271 118945400.00 Sun Oct 18 2026 14:00:00 GMT+0700 (Western Indonesia Time) BROILER MAKMUR TAN</v>
      </c>
      <c r="D64" s="2">
        <f>IFERROR(__xludf.DUMMYFUNCTION("""COMPUTED_VALUE"""),1.189454E8)</f>
        <v>118945400</v>
      </c>
      <c r="E64" s="2"/>
      <c r="F64" s="2" t="str">
        <f>IFERROR(__xludf.DUMMYFUNCTION("""COMPUTED_VALUE"""),"DB")</f>
        <v>DB</v>
      </c>
      <c r="G64" s="2">
        <f>IFERROR(__xludf.DUMMYFUNCTION("""COMPUTED_VALUE"""),1.0111988309000003E8)</f>
        <v>101119883.1</v>
      </c>
      <c r="H64" s="2"/>
      <c r="I64" s="2" t="str">
        <f>IFERROR(__xludf.DUMMYFUNCTION("""COMPUTED_VALUE"""),"PRIBADI")</f>
        <v>PRIBADI</v>
      </c>
    </row>
    <row r="65">
      <c r="A65" s="7">
        <f>IFERROR(__xludf.DUMMYFUNCTION("""COMPUTED_VALUE"""),46316.0)</f>
        <v>46316</v>
      </c>
      <c r="B65" s="2" t="str">
        <f>IFERROR(__xludf.DUMMYFUNCTION("""COMPUTED_VALUE"""),"TRSF E-BANKING DB")</f>
        <v>TRSF E-BANKING DB</v>
      </c>
      <c r="C65" s="2" t="str">
        <f>IFERROR(__xludf.DUMMYFUNCTION("""COMPUTED_VALUE"""),"2110/FTSCY/WS95271 2300000.00 bon tot. 2.7 jt SUNARTO")</f>
        <v>2110/FTSCY/WS95271 2300000.00 bon tot. 2.7 jt SUNARTO</v>
      </c>
      <c r="D65" s="2">
        <f>IFERROR(__xludf.DUMMYFUNCTION("""COMPUTED_VALUE"""),2300000.0)</f>
        <v>2300000</v>
      </c>
      <c r="E65" s="2"/>
      <c r="F65" s="2" t="str">
        <f>IFERROR(__xludf.DUMMYFUNCTION("""COMPUTED_VALUE"""),"DB")</f>
        <v>DB</v>
      </c>
      <c r="G65" s="2">
        <f>IFERROR(__xludf.DUMMYFUNCTION("""COMPUTED_VALUE"""),1.1266988309000003E8)</f>
        <v>112669883.1</v>
      </c>
      <c r="H65" s="2"/>
      <c r="I65" s="2" t="str">
        <f>IFERROR(__xludf.DUMMYFUNCTION("""COMPUTED_VALUE"""),"PRIBADI")</f>
        <v>PRIBADI</v>
      </c>
    </row>
    <row r="66">
      <c r="A66" s="7">
        <f>IFERROR(__xludf.DUMMYFUNCTION("""COMPUTED_VALUE"""),46316.0)</f>
        <v>46316</v>
      </c>
      <c r="B66" s="2" t="str">
        <f>IFERROR(__xludf.DUMMYFUNCTION("""COMPUTED_VALUE"""),"TRSF E-BANKING DB")</f>
        <v>TRSF E-BANKING DB</v>
      </c>
      <c r="C66" s="2" t="str">
        <f>IFERROR(__xludf.DUMMYFUNCTION("""COMPUTED_VALUE"""),"2110/FTSCY/WS95271 51433700.00 Mon Oct 19 2026 14:00:00 GMT+0700 (Western Indonesia Time) BRANTAS ABADI SENT")</f>
        <v>2110/FTSCY/WS95271 51433700.00 Mon Oct 19 2026 14:00:00 GMT+0700 (Western Indonesia Time) BRANTAS ABADI SENT</v>
      </c>
      <c r="D66" s="2">
        <f>IFERROR(__xludf.DUMMYFUNCTION("""COMPUTED_VALUE"""),5.14337E7)</f>
        <v>51433700</v>
      </c>
      <c r="E66" s="2"/>
      <c r="F66" s="2" t="str">
        <f>IFERROR(__xludf.DUMMYFUNCTION("""COMPUTED_VALUE"""),"DB")</f>
        <v>DB</v>
      </c>
      <c r="G66" s="2">
        <f>IFERROR(__xludf.DUMMYFUNCTION("""COMPUTED_VALUE"""),6.123618309000003E7)</f>
        <v>61236183.09</v>
      </c>
      <c r="H66" s="2"/>
      <c r="I66" s="2" t="str">
        <f>IFERROR(__xludf.DUMMYFUNCTION("""COMPUTED_VALUE"""),"PRIBADI")</f>
        <v>PRIBADI</v>
      </c>
    </row>
    <row r="67">
      <c r="A67" s="7">
        <f>IFERROR(__xludf.DUMMYFUNCTION("""COMPUTED_VALUE"""),46316.0)</f>
        <v>46316</v>
      </c>
      <c r="B67" s="2" t="str">
        <f>IFERROR(__xludf.DUMMYFUNCTION("""COMPUTED_VALUE"""),"TRSF E-BANKING DB")</f>
        <v>TRSF E-BANKING DB</v>
      </c>
      <c r="C67" s="2" t="str">
        <f>IFERROR(__xludf.DUMMYFUNCTION("""COMPUTED_VALUE"""),"2110/FTSCY/WS95271 57883500.00 Mon Oct 19 2026 14:00:00 GMT+0700 (Western Indonesia Time) GANESHA SATRIA NUS")</f>
        <v>2110/FTSCY/WS95271 57883500.00 Mon Oct 19 2026 14:00:00 GMT+0700 (Western Indonesia Time) GANESHA SATRIA NUS</v>
      </c>
      <c r="D67" s="2">
        <f>IFERROR(__xludf.DUMMYFUNCTION("""COMPUTED_VALUE"""),5.78835E7)</f>
        <v>57883500</v>
      </c>
      <c r="E67" s="2"/>
      <c r="F67" s="2" t="str">
        <f>IFERROR(__xludf.DUMMYFUNCTION("""COMPUTED_VALUE"""),"DB")</f>
        <v>DB</v>
      </c>
      <c r="G67" s="2">
        <f>IFERROR(__xludf.DUMMYFUNCTION("""COMPUTED_VALUE"""),3352683.0900000334)</f>
        <v>3352683.09</v>
      </c>
      <c r="H67" s="2"/>
      <c r="I67" s="2" t="str">
        <f>IFERROR(__xludf.DUMMYFUNCTION("""COMPUTED_VALUE"""),"PRIBADI")</f>
        <v>PRIBADI</v>
      </c>
    </row>
    <row r="68">
      <c r="A68" s="7">
        <f>IFERROR(__xludf.DUMMYFUNCTION("""COMPUTED_VALUE"""),46316.0)</f>
        <v>46316</v>
      </c>
      <c r="B68" s="2" t="str">
        <f>IFERROR(__xludf.DUMMYFUNCTION("""COMPUTED_VALUE"""),"TRSF E-BANKING DB")</f>
        <v>TRSF E-BANKING DB</v>
      </c>
      <c r="C68" s="2" t="str">
        <f>IFERROR(__xludf.DUMMYFUNCTION("""COMPUTED_VALUE"""),"2110/FTSCY/WS95271 63489500.00 19/10 krg 66 jt INTEGRASI TEKNOLOG")</f>
        <v>2110/FTSCY/WS95271 63489500.00 19/10 krg 66 jt INTEGRASI TEKNOLOG</v>
      </c>
      <c r="D68" s="2">
        <f>IFERROR(__xludf.DUMMYFUNCTION("""COMPUTED_VALUE"""),6.34895E7)</f>
        <v>63489500</v>
      </c>
      <c r="E68" s="2"/>
      <c r="F68" s="2" t="str">
        <f>IFERROR(__xludf.DUMMYFUNCTION("""COMPUTED_VALUE"""),"DB")</f>
        <v>DB</v>
      </c>
      <c r="G68" s="2">
        <f>IFERROR(__xludf.DUMMYFUNCTION("""COMPUTED_VALUE"""),947083.0900000334)</f>
        <v>947083.09</v>
      </c>
      <c r="H68" s="2"/>
      <c r="I68" s="2" t="str">
        <f>IFERROR(__xludf.DUMMYFUNCTION("""COMPUTED_VALUE"""),"PRIBADI")</f>
        <v>PRIBADI</v>
      </c>
    </row>
    <row r="69">
      <c r="A69" s="7">
        <f>IFERROR(__xludf.DUMMYFUNCTION("""COMPUTED_VALUE"""),46316.0)</f>
        <v>46316</v>
      </c>
      <c r="B69" s="2" t="str">
        <f>IFERROR(__xludf.DUMMYFUNCTION("""COMPUTED_VALUE"""),"TRSF E-BANKING DB")</f>
        <v>TRSF E-BANKING DB</v>
      </c>
      <c r="C69" s="2" t="str">
        <f>IFERROR(__xludf.DUMMYFUNCTION("""COMPUTED_VALUE"""),"2110/FTSCY/WS95031 63178500.00 Wed Oct 21 2026 14:00:00 GMT+0700 (Western Indonesia Time) LAWU ABADI NUSA PT")</f>
        <v>2110/FTSCY/WS95031 63178500.00 Wed Oct 21 2026 14:00:00 GMT+0700 (Western Indonesia Time) LAWU ABADI NUSA PT</v>
      </c>
      <c r="D69" s="2">
        <f>IFERROR(__xludf.DUMMYFUNCTION("""COMPUTED_VALUE"""),6.31785E7)</f>
        <v>63178500</v>
      </c>
      <c r="E69" s="2"/>
      <c r="F69" s="2" t="str">
        <f>IFERROR(__xludf.DUMMYFUNCTION("""COMPUTED_VALUE"""),"DB")</f>
        <v>DB</v>
      </c>
      <c r="G69" s="2">
        <f>IFERROR(__xludf.DUMMYFUNCTION("""COMPUTED_VALUE"""),6.501286309000003E7)</f>
        <v>65012863.09</v>
      </c>
      <c r="H69" s="2"/>
      <c r="I69" s="2" t="str">
        <f>IFERROR(__xludf.DUMMYFUNCTION("""COMPUTED_VALUE"""),"PRIBADI")</f>
        <v>PRIBADI</v>
      </c>
    </row>
    <row r="70">
      <c r="A70" s="7">
        <f>IFERROR(__xludf.DUMMYFUNCTION("""COMPUTED_VALUE"""),46316.0)</f>
        <v>46316</v>
      </c>
      <c r="B70" s="2" t="str">
        <f>IFERROR(__xludf.DUMMYFUNCTION("""COMPUTED_VALUE"""),"TRSF E-BANKING DB")</f>
        <v>TRSF E-BANKING DB</v>
      </c>
      <c r="C70" s="2" t="str">
        <f>IFERROR(__xludf.DUMMYFUNCTION("""COMPUTED_VALUE"""),"2110/FTSCY/WS95031 25000000.00 EKO SETIYAWAN")</f>
        <v>2110/FTSCY/WS95031 25000000.00 EKO SETIYAWAN</v>
      </c>
      <c r="D70" s="2">
        <f>IFERROR(__xludf.DUMMYFUNCTION("""COMPUTED_VALUE"""),2.5E7)</f>
        <v>25000000</v>
      </c>
      <c r="E70" s="2"/>
      <c r="F70" s="2" t="str">
        <f>IFERROR(__xludf.DUMMYFUNCTION("""COMPUTED_VALUE"""),"DB")</f>
        <v>DB</v>
      </c>
      <c r="G70" s="2">
        <f>IFERROR(__xludf.DUMMYFUNCTION("""COMPUTED_VALUE"""),4.001286309000003E7)</f>
        <v>40012863.09</v>
      </c>
      <c r="H70" s="2"/>
      <c r="I70" s="2" t="str">
        <f>IFERROR(__xludf.DUMMYFUNCTION("""COMPUTED_VALUE"""),"PRIBADI")</f>
        <v>PRIBADI</v>
      </c>
    </row>
    <row r="71">
      <c r="A71" s="7">
        <f>IFERROR(__xludf.DUMMYFUNCTION("""COMPUTED_VALUE"""),46316.0)</f>
        <v>46316</v>
      </c>
      <c r="B71" s="2" t="str">
        <f>IFERROR(__xludf.DUMMYFUNCTION("""COMPUTED_VALUE"""),"TRSF E-BANKING DB")</f>
        <v>TRSF E-BANKING DB</v>
      </c>
      <c r="C71" s="2" t="str">
        <f>IFERROR(__xludf.DUMMYFUNCTION("""COMPUTED_VALUE"""),"2110/FTSCY/WS95031 5900000.00 BELA PRAMUDITA")</f>
        <v>2110/FTSCY/WS95031 5900000.00 BELA PRAMUDITA</v>
      </c>
      <c r="D71" s="2">
        <f>IFERROR(__xludf.DUMMYFUNCTION("""COMPUTED_VALUE"""),5900000.0)</f>
        <v>5900000</v>
      </c>
      <c r="E71" s="2"/>
      <c r="F71" s="2" t="str">
        <f>IFERROR(__xludf.DUMMYFUNCTION("""COMPUTED_VALUE"""),"DB")</f>
        <v>DB</v>
      </c>
      <c r="G71" s="2">
        <f>IFERROR(__xludf.DUMMYFUNCTION("""COMPUTED_VALUE"""),1.5411286309000003E8)</f>
        <v>154112863.1</v>
      </c>
      <c r="H71" s="2">
        <f>IFERROR(__xludf.DUMMYFUNCTION("""COMPUTED_VALUE"""),1.5411286309E8)</f>
        <v>154112863.1</v>
      </c>
      <c r="I71" s="2" t="str">
        <f>IFERROR(__xludf.DUMMYFUNCTION("""COMPUTED_VALUE"""),"PRIBADI")</f>
        <v>PRIBADI</v>
      </c>
    </row>
    <row r="72">
      <c r="A72" s="7">
        <f>IFERROR(__xludf.DUMMYFUNCTION("""COMPUTED_VALUE"""),46316.0)</f>
        <v>46316</v>
      </c>
      <c r="B72" s="2" t="str">
        <f>IFERROR(__xludf.DUMMYFUNCTION("""COMPUTED_VALUE"""),"TRSF E-BANKING DB")</f>
        <v>TRSF E-BANKING DB</v>
      </c>
      <c r="C72" s="2" t="str">
        <f>IFERROR(__xludf.DUMMYFUNCTION("""COMPUTED_VALUE"""),"2110/FTSCY/WS95011 53825100.00 Mon Oct 19 2026 14:00:00 GMT+0700 (Western Indonesia Time) ANDALAN YASA MITRA")</f>
        <v>2110/FTSCY/WS95011 53825100.00 Mon Oct 19 2026 14:00:00 GMT+0700 (Western Indonesia Time) ANDALAN YASA MITRA</v>
      </c>
      <c r="D72" s="2">
        <f>IFERROR(__xludf.DUMMYFUNCTION("""COMPUTED_VALUE"""),5.38251E7)</f>
        <v>53825100</v>
      </c>
      <c r="E72" s="2"/>
      <c r="F72" s="2" t="str">
        <f>IFERROR(__xludf.DUMMYFUNCTION("""COMPUTED_VALUE"""),"DB")</f>
        <v>DB</v>
      </c>
      <c r="G72" s="2">
        <f>IFERROR(__xludf.DUMMYFUNCTION("""COMPUTED_VALUE"""),1.6704871309000003E8)</f>
        <v>167048713.1</v>
      </c>
      <c r="H72" s="2"/>
      <c r="I72" s="2" t="str">
        <f>IFERROR(__xludf.DUMMYFUNCTION("""COMPUTED_VALUE"""),"PRIBADI")</f>
        <v>PRIBADI</v>
      </c>
    </row>
    <row r="73">
      <c r="A73" s="7">
        <f>IFERROR(__xludf.DUMMYFUNCTION("""COMPUTED_VALUE"""),46317.0)</f>
        <v>46317</v>
      </c>
      <c r="B73" s="2" t="str">
        <f>IFERROR(__xludf.DUMMYFUNCTION("""COMPUTED_VALUE"""),"TRSF E-BANKING DB")</f>
        <v>TRSF E-BANKING DB</v>
      </c>
      <c r="C73" s="2" t="str">
        <f>IFERROR(__xludf.DUMMYFUNCTION("""COMPUTED_VALUE"""),"2210/FTSCY/WS95271 3200000.00 BELA PRAMUDITA")</f>
        <v>2210/FTSCY/WS95271 3200000.00 BELA PRAMUDITA</v>
      </c>
      <c r="D73" s="2">
        <f>IFERROR(__xludf.DUMMYFUNCTION("""COMPUTED_VALUE"""),3200000.0)</f>
        <v>3200000</v>
      </c>
      <c r="E73" s="2"/>
      <c r="F73" s="2" t="str">
        <f>IFERROR(__xludf.DUMMYFUNCTION("""COMPUTED_VALUE"""),"DB")</f>
        <v>DB</v>
      </c>
      <c r="G73" s="2">
        <f>IFERROR(__xludf.DUMMYFUNCTION("""COMPUTED_VALUE"""),2.7415629309000003E8)</f>
        <v>274156293.1</v>
      </c>
      <c r="H73" s="2"/>
      <c r="I73" s="2" t="str">
        <f>IFERROR(__xludf.DUMMYFUNCTION("""COMPUTED_VALUE"""),"PRIBADI")</f>
        <v>PRIBADI</v>
      </c>
    </row>
    <row r="74">
      <c r="A74" s="7">
        <f>IFERROR(__xludf.DUMMYFUNCTION("""COMPUTED_VALUE"""),46317.0)</f>
        <v>46317</v>
      </c>
      <c r="B74" s="2" t="str">
        <f>IFERROR(__xludf.DUMMYFUNCTION("""COMPUTED_VALUE"""),"TRSF E-BANKING DB")</f>
        <v>TRSF E-BANKING DB</v>
      </c>
      <c r="C74" s="2" t="str">
        <f>IFERROR(__xludf.DUMMYFUNCTION("""COMPUTED_VALUE"""),"2210/FTSCY/WS95271 63038200.00 Mon Oct 19 2026 14:00:00 GMT+0700 (Western Indonesia Time) ANDALAN YASA MITRA")</f>
        <v>2210/FTSCY/WS95271 63038200.00 Mon Oct 19 2026 14:00:00 GMT+0700 (Western Indonesia Time) ANDALAN YASA MITRA</v>
      </c>
      <c r="D74" s="2">
        <f>IFERROR(__xludf.DUMMYFUNCTION("""COMPUTED_VALUE"""),6.30382E7)</f>
        <v>63038200</v>
      </c>
      <c r="E74" s="2"/>
      <c r="F74" s="2" t="str">
        <f>IFERROR(__xludf.DUMMYFUNCTION("""COMPUTED_VALUE"""),"DB")</f>
        <v>DB</v>
      </c>
      <c r="G74" s="2">
        <f>IFERROR(__xludf.DUMMYFUNCTION("""COMPUTED_VALUE"""),2.7611809309000003E8)</f>
        <v>276118093.1</v>
      </c>
      <c r="H74" s="2"/>
      <c r="I74" s="2" t="str">
        <f>IFERROR(__xludf.DUMMYFUNCTION("""COMPUTED_VALUE"""),"PRIBADI")</f>
        <v>PRIBADI</v>
      </c>
    </row>
    <row r="75">
      <c r="A75" s="7">
        <f>IFERROR(__xludf.DUMMYFUNCTION("""COMPUTED_VALUE"""),46317.0)</f>
        <v>46317</v>
      </c>
      <c r="B75" s="2" t="str">
        <f>IFERROR(__xludf.DUMMYFUNCTION("""COMPUTED_VALUE"""),"TRSF E-BANKING DB")</f>
        <v>TRSF E-BANKING DB</v>
      </c>
      <c r="C75" s="2" t="str">
        <f>IFERROR(__xludf.DUMMYFUNCTION("""COMPUTED_VALUE"""),"2210/FTSCY/WS95271 109809000.00 Tue Oct 20 2026 14:00:00 GMT+0700 (Western Indonesia Time) BINTANG TAMA SANTO")</f>
        <v>2210/FTSCY/WS95271 109809000.00 Tue Oct 20 2026 14:00:00 GMT+0700 (Western Indonesia Time) BINTANG TAMA SANTO</v>
      </c>
      <c r="D75" s="2">
        <f>IFERROR(__xludf.DUMMYFUNCTION("""COMPUTED_VALUE"""),1.09809E8)</f>
        <v>109809000</v>
      </c>
      <c r="E75" s="2"/>
      <c r="F75" s="2" t="str">
        <f>IFERROR(__xludf.DUMMYFUNCTION("""COMPUTED_VALUE"""),"DB")</f>
        <v>DB</v>
      </c>
      <c r="G75" s="2">
        <f>IFERROR(__xludf.DUMMYFUNCTION("""COMPUTED_VALUE"""),1.6630909309000003E8)</f>
        <v>166309093.1</v>
      </c>
      <c r="H75" s="2"/>
      <c r="I75" s="2" t="str">
        <f>IFERROR(__xludf.DUMMYFUNCTION("""COMPUTED_VALUE"""),"PRIBADI")</f>
        <v>PRIBADI</v>
      </c>
    </row>
    <row r="76">
      <c r="A76" s="7">
        <f>IFERROR(__xludf.DUMMYFUNCTION("""COMPUTED_VALUE"""),46317.0)</f>
        <v>46317</v>
      </c>
      <c r="B76" s="2" t="str">
        <f>IFERROR(__xludf.DUMMYFUNCTION("""COMPUTED_VALUE"""),"TRSF E-BANKING DB")</f>
        <v>TRSF E-BANKING DB</v>
      </c>
      <c r="C76" s="2" t="str">
        <f>IFERROR(__xludf.DUMMYFUNCTION("""COMPUTED_VALUE"""),"2210/FTSCY/WS95271 6115960.00 krg 100jt EKO SETIYAWAN")</f>
        <v>2210/FTSCY/WS95271 6115960.00 krg 100jt EKO SETIYAWAN</v>
      </c>
      <c r="D76" s="2">
        <f>IFERROR(__xludf.DUMMYFUNCTION("""COMPUTED_VALUE"""),6115960.0)</f>
        <v>6115960</v>
      </c>
      <c r="E76" s="2"/>
      <c r="F76" s="2" t="str">
        <f>IFERROR(__xludf.DUMMYFUNCTION("""COMPUTED_VALUE"""),"DB")</f>
        <v>DB</v>
      </c>
      <c r="G76" s="2">
        <f>IFERROR(__xludf.DUMMYFUNCTION("""COMPUTED_VALUE"""),1.6019313309000003E8)</f>
        <v>160193133.1</v>
      </c>
      <c r="H76" s="2"/>
      <c r="I76" s="2" t="str">
        <f>IFERROR(__xludf.DUMMYFUNCTION("""COMPUTED_VALUE"""),"PRIBADI")</f>
        <v>PRIBADI</v>
      </c>
    </row>
    <row r="77">
      <c r="A77" s="7">
        <f>IFERROR(__xludf.DUMMYFUNCTION("""COMPUTED_VALUE"""),46317.0)</f>
        <v>46317</v>
      </c>
      <c r="B77" s="2" t="str">
        <f>IFERROR(__xludf.DUMMYFUNCTION("""COMPUTED_VALUE"""),"TRSF E-BANKING DB")</f>
        <v>TRSF E-BANKING DB</v>
      </c>
      <c r="C77" s="2" t="str">
        <f>IFERROR(__xludf.DUMMYFUNCTION("""COMPUTED_VALUE"""),"2210/FTSCY/WS95271 2700000.00 HERMAWAN")</f>
        <v>2210/FTSCY/WS95271 2700000.00 HERMAWAN</v>
      </c>
      <c r="D77" s="2">
        <f>IFERROR(__xludf.DUMMYFUNCTION("""COMPUTED_VALUE"""),2700000.0)</f>
        <v>2700000</v>
      </c>
      <c r="E77" s="2"/>
      <c r="F77" s="2" t="str">
        <f>IFERROR(__xludf.DUMMYFUNCTION("""COMPUTED_VALUE"""),"DB")</f>
        <v>DB</v>
      </c>
      <c r="G77" s="2">
        <f>IFERROR(__xludf.DUMMYFUNCTION("""COMPUTED_VALUE"""),1.5749313309000003E8)</f>
        <v>157493133.1</v>
      </c>
      <c r="H77" s="2">
        <f>IFERROR(__xludf.DUMMYFUNCTION("""COMPUTED_VALUE"""),1.5749313309E8)</f>
        <v>157493133.1</v>
      </c>
      <c r="I77" s="2" t="str">
        <f>IFERROR(__xludf.DUMMYFUNCTION("""COMPUTED_VALUE"""),"PRIBADI")</f>
        <v>PRIBADI</v>
      </c>
    </row>
    <row r="78">
      <c r="A78" s="7">
        <f>IFERROR(__xludf.DUMMYFUNCTION("""COMPUTED_VALUE"""),46317.0)</f>
        <v>46317</v>
      </c>
      <c r="B78" s="2" t="str">
        <f>IFERROR(__xludf.DUMMYFUNCTION("""COMPUTED_VALUE"""),"TARIKAN ATM 22/10")</f>
        <v>TARIKAN ATM 22/10</v>
      </c>
      <c r="C78" s="2" t="str">
        <f>IFERROR(__xludf.DUMMYFUNCTION("""COMPUTED_VALUE"""),"TARIKAN ATM 22/10")</f>
        <v>TARIKAN ATM 22/10</v>
      </c>
      <c r="D78" s="2">
        <f>IFERROR(__xludf.DUMMYFUNCTION("""COMPUTED_VALUE"""),300000.0)</f>
        <v>300000</v>
      </c>
      <c r="E78" s="2"/>
      <c r="F78" s="2"/>
      <c r="G78" s="2">
        <f>IFERROR(__xludf.DUMMYFUNCTION("""COMPUTED_VALUE"""),1.5719313309000003E8)</f>
        <v>157193133.1</v>
      </c>
      <c r="H78" s="2">
        <f>IFERROR(__xludf.DUMMYFUNCTION("""COMPUTED_VALUE"""),1.5719313309E8)</f>
        <v>157193133.1</v>
      </c>
      <c r="I78" s="2" t="str">
        <f>IFERROR(__xludf.DUMMYFUNCTION("""COMPUTED_VALUE"""),"PRIBADI")</f>
        <v>PRIBADI</v>
      </c>
    </row>
    <row r="79">
      <c r="A79" s="7">
        <f>IFERROR(__xludf.DUMMYFUNCTION("""COMPUTED_VALUE"""),46317.0)</f>
        <v>46317</v>
      </c>
      <c r="B79" s="2" t="str">
        <f>IFERROR(__xludf.DUMMYFUNCTION("""COMPUTED_VALUE"""),"TRSF E-BANKING DB")</f>
        <v>TRSF E-BANKING DB</v>
      </c>
      <c r="C79" s="2" t="str">
        <f>IFERROR(__xludf.DUMMYFUNCTION("""COMPUTED_VALUE"""),"2210/FTSCY/WS95271 9790300.00 krg 10 jt MUJIANTO")</f>
        <v>2210/FTSCY/WS95271 9790300.00 krg 10 jt MUJIANTO</v>
      </c>
      <c r="D79" s="2">
        <f>IFERROR(__xludf.DUMMYFUNCTION("""COMPUTED_VALUE"""),9790300.0)</f>
        <v>9790300</v>
      </c>
      <c r="E79" s="2"/>
      <c r="F79" s="2" t="str">
        <f>IFERROR(__xludf.DUMMYFUNCTION("""COMPUTED_VALUE"""),"DB")</f>
        <v>DB</v>
      </c>
      <c r="G79" s="2">
        <f>IFERROR(__xludf.DUMMYFUNCTION("""COMPUTED_VALUE"""),1.4740283309000003E8)</f>
        <v>147402833.1</v>
      </c>
      <c r="H79" s="2"/>
      <c r="I79" s="2" t="str">
        <f>IFERROR(__xludf.DUMMYFUNCTION("""COMPUTED_VALUE"""),"PRIBADI")</f>
        <v>PRIBADI</v>
      </c>
    </row>
    <row r="80">
      <c r="A80" s="7">
        <f>IFERROR(__xludf.DUMMYFUNCTION("""COMPUTED_VALUE"""),46317.0)</f>
        <v>46317</v>
      </c>
      <c r="B80" s="2" t="str">
        <f>IFERROR(__xludf.DUMMYFUNCTION("""COMPUTED_VALUE"""),"TRSF E-BANKING DB")</f>
        <v>TRSF E-BANKING DB</v>
      </c>
      <c r="C80" s="2" t="str">
        <f>IFERROR(__xludf.DUMMYFUNCTION("""COMPUTED_VALUE"""),"2210/FTSCY/WS95271 5313030.00 krg 5 jt FAJAR ANDREANZAH")</f>
        <v>2210/FTSCY/WS95271 5313030.00 krg 5 jt FAJAR ANDREANZAH</v>
      </c>
      <c r="D80" s="2">
        <f>IFERROR(__xludf.DUMMYFUNCTION("""COMPUTED_VALUE"""),5313030.0)</f>
        <v>5313030</v>
      </c>
      <c r="E80" s="2"/>
      <c r="F80" s="2" t="str">
        <f>IFERROR(__xludf.DUMMYFUNCTION("""COMPUTED_VALUE"""),"DB")</f>
        <v>DB</v>
      </c>
      <c r="G80" s="2">
        <f>IFERROR(__xludf.DUMMYFUNCTION("""COMPUTED_VALUE"""),1.4208980309000003E8)</f>
        <v>142089803.1</v>
      </c>
      <c r="H80" s="2"/>
      <c r="I80" s="2" t="str">
        <f>IFERROR(__xludf.DUMMYFUNCTION("""COMPUTED_VALUE"""),"PRIBADI")</f>
        <v>PRIBADI</v>
      </c>
    </row>
    <row r="81">
      <c r="A81" s="7">
        <f>IFERROR(__xludf.DUMMYFUNCTION("""COMPUTED_VALUE"""),46317.0)</f>
        <v>46317</v>
      </c>
      <c r="B81" s="2" t="str">
        <f>IFERROR(__xludf.DUMMYFUNCTION("""COMPUTED_VALUE"""),"TRSF E-BANKING DB")</f>
        <v>TRSF E-BANKING DB</v>
      </c>
      <c r="C81" s="2" t="str">
        <f>IFERROR(__xludf.DUMMYFUNCTION("""COMPUTED_VALUE"""),"2210/FTSCY/WS95271 68640680.00 Tue Oct 20 2026 14:00:00 GMT+0700 (Western Indonesia Time) ANDALAN YASA MITRA")</f>
        <v>2210/FTSCY/WS95271 68640680.00 Tue Oct 20 2026 14:00:00 GMT+0700 (Western Indonesia Time) ANDALAN YASA MITRA</v>
      </c>
      <c r="D81" s="2">
        <f>IFERROR(__xludf.DUMMYFUNCTION("""COMPUTED_VALUE"""),6.864068E7)</f>
        <v>68640680</v>
      </c>
      <c r="E81" s="2"/>
      <c r="F81" s="2" t="str">
        <f>IFERROR(__xludf.DUMMYFUNCTION("""COMPUTED_VALUE"""),"DB")</f>
        <v>DB</v>
      </c>
      <c r="G81" s="2">
        <f>IFERROR(__xludf.DUMMYFUNCTION("""COMPUTED_VALUE"""),7.344912309000003E7)</f>
        <v>73449123.09</v>
      </c>
      <c r="H81" s="2"/>
      <c r="I81" s="2" t="str">
        <f>IFERROR(__xludf.DUMMYFUNCTION("""COMPUTED_VALUE"""),"PRIBADI")</f>
        <v>PRIBADI</v>
      </c>
    </row>
    <row r="82">
      <c r="A82" s="7">
        <f>IFERROR(__xludf.DUMMYFUNCTION("""COMPUTED_VALUE"""),46317.0)</f>
        <v>46317</v>
      </c>
      <c r="B82" s="2" t="str">
        <f>IFERROR(__xludf.DUMMYFUNCTION("""COMPUTED_VALUE"""),"TRSF E-BANKING DB")</f>
        <v>TRSF E-BANKING DB</v>
      </c>
      <c r="C82" s="2" t="str">
        <f>IFERROR(__xludf.DUMMYFUNCTION("""COMPUTED_VALUE"""),"2210/FTSCY/WS95031 65033050.00 19.20 TABASSAM AL HATTAK")</f>
        <v>2210/FTSCY/WS95031 65033050.00 19.20 TABASSAM AL HATTAK</v>
      </c>
      <c r="D82" s="2">
        <f>IFERROR(__xludf.DUMMYFUNCTION("""COMPUTED_VALUE"""),6.503305E7)</f>
        <v>65033050</v>
      </c>
      <c r="E82" s="2"/>
      <c r="F82" s="2" t="str">
        <f>IFERROR(__xludf.DUMMYFUNCTION("""COMPUTED_VALUE"""),"DB")</f>
        <v>DB</v>
      </c>
      <c r="G82" s="2">
        <f>IFERROR(__xludf.DUMMYFUNCTION("""COMPUTED_VALUE"""),8416073.090000033)</f>
        <v>8416073.09</v>
      </c>
      <c r="H82" s="2">
        <f>IFERROR(__xludf.DUMMYFUNCTION("""COMPUTED_VALUE"""),8416073.09)</f>
        <v>8416073.09</v>
      </c>
      <c r="I82" s="2" t="str">
        <f>IFERROR(__xludf.DUMMYFUNCTION("""COMPUTED_VALUE"""),"PRIBADI")</f>
        <v>PRIBADI</v>
      </c>
    </row>
    <row r="83">
      <c r="A83" s="7">
        <f>IFERROR(__xludf.DUMMYFUNCTION("""COMPUTED_VALUE"""),46318.0)</f>
        <v>46318</v>
      </c>
      <c r="B83" s="2" t="str">
        <f>IFERROR(__xludf.DUMMYFUNCTION("""COMPUTED_VALUE"""),"TRSF E-BANKING DB")</f>
        <v>TRSF E-BANKING DB</v>
      </c>
      <c r="C83" s="2" t="str">
        <f>IFERROR(__xludf.DUMMYFUNCTION("""COMPUTED_VALUE"""),"2310/FTSCY/WS95271 59364800.00 Tue Oct 20 2026 14:00:00 GMT+0700 (Western Indonesia Time) BROILER MAKMUR TAN")</f>
        <v>2310/FTSCY/WS95271 59364800.00 Tue Oct 20 2026 14:00:00 GMT+0700 (Western Indonesia Time) BROILER MAKMUR TAN</v>
      </c>
      <c r="D83" s="2">
        <f>IFERROR(__xludf.DUMMYFUNCTION("""COMPUTED_VALUE"""),5.93648E7)</f>
        <v>59364800</v>
      </c>
      <c r="E83" s="2"/>
      <c r="F83" s="2" t="str">
        <f>IFERROR(__xludf.DUMMYFUNCTION("""COMPUTED_VALUE"""),"DB")</f>
        <v>DB</v>
      </c>
      <c r="G83" s="2">
        <f>IFERROR(__xludf.DUMMYFUNCTION("""COMPUTED_VALUE"""),51273.09000003338)</f>
        <v>51273.09</v>
      </c>
      <c r="H83" s="2"/>
      <c r="I83" s="2" t="str">
        <f>IFERROR(__xludf.DUMMYFUNCTION("""COMPUTED_VALUE"""),"PRIBADI")</f>
        <v>PRIBADI</v>
      </c>
    </row>
    <row r="84">
      <c r="A84" s="7">
        <f>IFERROR(__xludf.DUMMYFUNCTION("""COMPUTED_VALUE"""),46318.0)</f>
        <v>46318</v>
      </c>
      <c r="B84" s="2" t="str">
        <f>IFERROR(__xludf.DUMMYFUNCTION("""COMPUTED_VALUE"""),"TRSF E-BANKING DB")</f>
        <v>TRSF E-BANKING DB</v>
      </c>
      <c r="C84" s="2" t="str">
        <f>IFERROR(__xludf.DUMMYFUNCTION("""COMPUTED_VALUE"""),"2310/FTSCY/WS95011 246250000.00 Pelunasan Tue Oct 20 2026 14:00:00 GMT+0700 (Western Indonesia Time) BROILER MAKMUR TAN")</f>
        <v>2310/FTSCY/WS95011 246250000.00 Pelunasan Tue Oct 20 2026 14:00:00 GMT+0700 (Western Indonesia Time) BROILER MAKMUR TAN</v>
      </c>
      <c r="D84" s="2">
        <f>IFERROR(__xludf.DUMMYFUNCTION("""COMPUTED_VALUE"""),2.4625E8)</f>
        <v>246250000</v>
      </c>
      <c r="E84" s="2"/>
      <c r="F84" s="2" t="str">
        <f>IFERROR(__xludf.DUMMYFUNCTION("""COMPUTED_VALUE"""),"DB")</f>
        <v>DB</v>
      </c>
      <c r="G84" s="2">
        <f>IFERROR(__xludf.DUMMYFUNCTION("""COMPUTED_VALUE"""),5.0401238709000003E8)</f>
        <v>504012387.1</v>
      </c>
      <c r="H84" s="2">
        <f>IFERROR(__xludf.DUMMYFUNCTION("""COMPUTED_VALUE"""),5.0401238709E8)</f>
        <v>504012387.1</v>
      </c>
      <c r="I84" s="2" t="str">
        <f>IFERROR(__xludf.DUMMYFUNCTION("""COMPUTED_VALUE"""),"PRIBADI")</f>
        <v>PRIBADI</v>
      </c>
    </row>
    <row r="85">
      <c r="A85" s="7">
        <f>IFERROR(__xludf.DUMMYFUNCTION("""COMPUTED_VALUE"""),46318.0)</f>
        <v>46318</v>
      </c>
      <c r="B85" s="2" t="str">
        <f>IFERROR(__xludf.DUMMYFUNCTION("""COMPUTED_VALUE"""),"TRSF E-BANKING DB")</f>
        <v>TRSF E-BANKING DB</v>
      </c>
      <c r="C85" s="2" t="str">
        <f>IFERROR(__xludf.DUMMYFUNCTION("""COMPUTED_VALUE"""),"2310/FTSCY/WS95011 104671400.00 Tue Oct 20 2026 14:00:00 GMT+0700 (Western Indonesia Time) SUPER UNGGAS JAYA")</f>
        <v>2310/FTSCY/WS95011 104671400.00 Tue Oct 20 2026 14:00:00 GMT+0700 (Western Indonesia Time) SUPER UNGGAS JAYA</v>
      </c>
      <c r="D85" s="2">
        <f>IFERROR(__xludf.DUMMYFUNCTION("""COMPUTED_VALUE"""),1.046714E8)</f>
        <v>104671400</v>
      </c>
      <c r="E85" s="2"/>
      <c r="F85" s="2" t="str">
        <f>IFERROR(__xludf.DUMMYFUNCTION("""COMPUTED_VALUE"""),"DB")</f>
        <v>DB</v>
      </c>
      <c r="G85" s="2">
        <f>IFERROR(__xludf.DUMMYFUNCTION("""COMPUTED_VALUE"""),3.9934098709000003E8)</f>
        <v>399340987.1</v>
      </c>
      <c r="H85" s="2"/>
      <c r="I85" s="2" t="str">
        <f>IFERROR(__xludf.DUMMYFUNCTION("""COMPUTED_VALUE"""),"PRIBADI")</f>
        <v>PRIBADI</v>
      </c>
    </row>
    <row r="86">
      <c r="A86" s="7">
        <f>IFERROR(__xludf.DUMMYFUNCTION("""COMPUTED_VALUE"""),46318.0)</f>
        <v>46318</v>
      </c>
      <c r="B86" s="2" t="str">
        <f>IFERROR(__xludf.DUMMYFUNCTION("""COMPUTED_VALUE"""),"TRSF E-BANKING DB")</f>
        <v>TRSF E-BANKING DB</v>
      </c>
      <c r="C86" s="2" t="str">
        <f>IFERROR(__xludf.DUMMYFUNCTION("""COMPUTED_VALUE"""),"2310/FTSCY/WS95011 62387500.00 Thu Oct 22 2026 14:00:00 GMT+0700 (Western Indonesia Time) TUMBUH OPTIMAL PRI")</f>
        <v>2310/FTSCY/WS95011 62387500.00 Thu Oct 22 2026 14:00:00 GMT+0700 (Western Indonesia Time) TUMBUH OPTIMAL PRI</v>
      </c>
      <c r="D86" s="2">
        <f>IFERROR(__xludf.DUMMYFUNCTION("""COMPUTED_VALUE"""),6.23875E7)</f>
        <v>62387500</v>
      </c>
      <c r="E86" s="2"/>
      <c r="F86" s="2" t="str">
        <f>IFERROR(__xludf.DUMMYFUNCTION("""COMPUTED_VALUE"""),"DB")</f>
        <v>DB</v>
      </c>
      <c r="G86" s="2">
        <f>IFERROR(__xludf.DUMMYFUNCTION("""COMPUTED_VALUE"""),3.3695348709000003E8)</f>
        <v>336953487.1</v>
      </c>
      <c r="H86" s="2"/>
      <c r="I86" s="2" t="str">
        <f>IFERROR(__xludf.DUMMYFUNCTION("""COMPUTED_VALUE"""),"PRIBADI")</f>
        <v>PRIBADI</v>
      </c>
    </row>
    <row r="87">
      <c r="A87" s="7">
        <f>IFERROR(__xludf.DUMMYFUNCTION("""COMPUTED_VALUE"""),46318.0)</f>
        <v>46318</v>
      </c>
      <c r="B87" s="2" t="str">
        <f>IFERROR(__xludf.DUMMYFUNCTION("""COMPUTED_VALUE"""),"TRSF E-BANKING DB")</f>
        <v>TRSF E-BANKING DB</v>
      </c>
      <c r="C87" s="2" t="str">
        <f>IFERROR(__xludf.DUMMYFUNCTION("""COMPUTED_VALUE"""),"2310/FTSCY/WS95271 161686800.00 Thu Oct 22 2026 14:00:00 GMT+0700 (Western Indonesia Time) ADNAN")</f>
        <v>2310/FTSCY/WS95271 161686800.00 Thu Oct 22 2026 14:00:00 GMT+0700 (Western Indonesia Time) ADNAN</v>
      </c>
      <c r="D87" s="2">
        <f>IFERROR(__xludf.DUMMYFUNCTION("""COMPUTED_VALUE"""),1.616868E8)</f>
        <v>161686800</v>
      </c>
      <c r="E87" s="2"/>
      <c r="F87" s="2" t="str">
        <f>IFERROR(__xludf.DUMMYFUNCTION("""COMPUTED_VALUE"""),"DB")</f>
        <v>DB</v>
      </c>
      <c r="G87" s="2">
        <f>IFERROR(__xludf.DUMMYFUNCTION("""COMPUTED_VALUE"""),2.0326668709000003E8)</f>
        <v>203266687.1</v>
      </c>
      <c r="H87" s="2"/>
      <c r="I87" s="2" t="str">
        <f>IFERROR(__xludf.DUMMYFUNCTION("""COMPUTED_VALUE"""),"PRIBADI")</f>
        <v>PRIBADI</v>
      </c>
    </row>
    <row r="88">
      <c r="A88" s="7">
        <f>IFERROR(__xludf.DUMMYFUNCTION("""COMPUTED_VALUE"""),46318.0)</f>
        <v>46318</v>
      </c>
      <c r="B88" s="2" t="str">
        <f>IFERROR(__xludf.DUMMYFUNCTION("""COMPUTED_VALUE"""),"TRSF E-BANKING DB")</f>
        <v>TRSF E-BANKING DB</v>
      </c>
      <c r="C88" s="2" t="str">
        <f>IFERROR(__xludf.DUMMYFUNCTION("""COMPUTED_VALUE"""),"2310/FTSCY/WS95271 72649600.00 20 dan 22/10 t.agu ng PITIK DIGITAL INDO")</f>
        <v>2310/FTSCY/WS95271 72649600.00 20 dan 22/10 t.agu ng PITIK DIGITAL INDO</v>
      </c>
      <c r="D88" s="2">
        <f>IFERROR(__xludf.DUMMYFUNCTION("""COMPUTED_VALUE"""),7.26496E7)</f>
        <v>72649600</v>
      </c>
      <c r="E88" s="2"/>
      <c r="F88" s="2" t="str">
        <f>IFERROR(__xludf.DUMMYFUNCTION("""COMPUTED_VALUE"""),"DB")</f>
        <v>DB</v>
      </c>
      <c r="G88" s="2">
        <f>IFERROR(__xludf.DUMMYFUNCTION("""COMPUTED_VALUE"""),1.3061708709000003E8)</f>
        <v>130617087.1</v>
      </c>
      <c r="H88" s="2"/>
      <c r="I88" s="2" t="str">
        <f>IFERROR(__xludf.DUMMYFUNCTION("""COMPUTED_VALUE"""),"PRIBADI")</f>
        <v>PRIBADI</v>
      </c>
    </row>
    <row r="89">
      <c r="A89" s="7">
        <f>IFERROR(__xludf.DUMMYFUNCTION("""COMPUTED_VALUE"""),46318.0)</f>
        <v>46318</v>
      </c>
      <c r="B89" s="2" t="str">
        <f>IFERROR(__xludf.DUMMYFUNCTION("""COMPUTED_VALUE"""),"TRSF E-BANKING DB")</f>
        <v>TRSF E-BANKING DB</v>
      </c>
      <c r="C89" s="2" t="str">
        <f>IFERROR(__xludf.DUMMYFUNCTION("""COMPUTED_VALUE"""),"2310/FTSCY/WS95031 20000000.00 pelunasan t.agung PITIK DIGITAL INDO")</f>
        <v>2310/FTSCY/WS95031 20000000.00 pelunasan t.agung PITIK DIGITAL INDO</v>
      </c>
      <c r="D89" s="2">
        <f>IFERROR(__xludf.DUMMYFUNCTION("""COMPUTED_VALUE"""),2.0E7)</f>
        <v>20000000</v>
      </c>
      <c r="E89" s="2"/>
      <c r="F89" s="2" t="str">
        <f>IFERROR(__xludf.DUMMYFUNCTION("""COMPUTED_VALUE"""),"DB")</f>
        <v>DB</v>
      </c>
      <c r="G89" s="2">
        <f>IFERROR(__xludf.DUMMYFUNCTION("""COMPUTED_VALUE"""),1.1061708709000003E8)</f>
        <v>110617087.1</v>
      </c>
      <c r="H89" s="2"/>
      <c r="I89" s="2" t="str">
        <f>IFERROR(__xludf.DUMMYFUNCTION("""COMPUTED_VALUE"""),"PRIBADI")</f>
        <v>PRIBADI</v>
      </c>
    </row>
    <row r="90">
      <c r="A90" s="7">
        <f>IFERROR(__xludf.DUMMYFUNCTION("""COMPUTED_VALUE"""),46318.0)</f>
        <v>46318</v>
      </c>
      <c r="B90" s="2" t="str">
        <f>IFERROR(__xludf.DUMMYFUNCTION("""COMPUTED_VALUE"""),"TRSF E-BANKING DB")</f>
        <v>TRSF E-BANKING DB</v>
      </c>
      <c r="C90" s="2" t="str">
        <f>IFERROR(__xludf.DUMMYFUNCTION("""COMPUTED_VALUE"""),"2310/FTSCY/WS95031 52052400.00 Thu Oct 22 2026 14:00:00 GMT+0700 (Western Indonesia Time) SUPER UNGGAS JAYA")</f>
        <v>2310/FTSCY/WS95031 52052400.00 Thu Oct 22 2026 14:00:00 GMT+0700 (Western Indonesia Time) SUPER UNGGAS JAYA</v>
      </c>
      <c r="D90" s="2">
        <f>IFERROR(__xludf.DUMMYFUNCTION("""COMPUTED_VALUE"""),5.20524E7)</f>
        <v>52052400</v>
      </c>
      <c r="E90" s="2"/>
      <c r="F90" s="2" t="str">
        <f>IFERROR(__xludf.DUMMYFUNCTION("""COMPUTED_VALUE"""),"DB")</f>
        <v>DB</v>
      </c>
      <c r="G90" s="2">
        <f>IFERROR(__xludf.DUMMYFUNCTION("""COMPUTED_VALUE"""),5.856468709000003E7)</f>
        <v>58564687.09</v>
      </c>
      <c r="H90" s="2"/>
      <c r="I90" s="2" t="str">
        <f>IFERROR(__xludf.DUMMYFUNCTION("""COMPUTED_VALUE"""),"PRIBADI")</f>
        <v>PRIBADI</v>
      </c>
    </row>
    <row r="91">
      <c r="A91" s="7">
        <f>IFERROR(__xludf.DUMMYFUNCTION("""COMPUTED_VALUE"""),46318.0)</f>
        <v>46318</v>
      </c>
      <c r="B91" s="2" t="str">
        <f>IFERROR(__xludf.DUMMYFUNCTION("""COMPUTED_VALUE"""),"TRSF E-BANKING DB")</f>
        <v>TRSF E-BANKING DB</v>
      </c>
      <c r="C91" s="2" t="str">
        <f>IFERROR(__xludf.DUMMYFUNCTION("""COMPUTED_VALUE"""),"2310/FTSCY/WS95011 53100550.00 Fri Oct 23 2026 14:00:00 GMT+0700 (Western Indonesia Time) ANUGERAH KARTIKA A")</f>
        <v>2310/FTSCY/WS95011 53100550.00 Fri Oct 23 2026 14:00:00 GMT+0700 (Western Indonesia Time) ANUGERAH KARTIKA A</v>
      </c>
      <c r="D91" s="2">
        <f>IFERROR(__xludf.DUMMYFUNCTION("""COMPUTED_VALUE"""),5.310055E7)</f>
        <v>53100550</v>
      </c>
      <c r="E91" s="2"/>
      <c r="F91" s="2" t="str">
        <f>IFERROR(__xludf.DUMMYFUNCTION("""COMPUTED_VALUE"""),"DB")</f>
        <v>DB</v>
      </c>
      <c r="G91" s="2">
        <f>IFERROR(__xludf.DUMMYFUNCTION("""COMPUTED_VALUE"""),5464137.090000033)</f>
        <v>5464137.09</v>
      </c>
      <c r="H91" s="2">
        <f>IFERROR(__xludf.DUMMYFUNCTION("""COMPUTED_VALUE"""),5464137.09)</f>
        <v>5464137.09</v>
      </c>
      <c r="I91" s="2" t="str">
        <f>IFERROR(__xludf.DUMMYFUNCTION("""COMPUTED_VALUE"""),"PRIBADI")</f>
        <v>PRIBADI</v>
      </c>
    </row>
    <row r="92">
      <c r="A92" s="7">
        <f>IFERROR(__xludf.DUMMYFUNCTION("""COMPUTED_VALUE"""),46319.0)</f>
        <v>46319</v>
      </c>
      <c r="B92" s="2" t="str">
        <f>IFERROR(__xludf.DUMMYFUNCTION("""COMPUTED_VALUE"""),"TRSF E-BANKING DB")</f>
        <v>TRSF E-BANKING DB</v>
      </c>
      <c r="C92" s="2" t="str">
        <f>IFERROR(__xludf.DUMMYFUNCTION("""COMPUTED_VALUE"""),"2410/FTSCY/WS95271 115102800.00 Thu Oct 22 2026 14:00:00 GMT+0700 (Western Indonesia Time) BINTANG TAMA SANTO")</f>
        <v>2410/FTSCY/WS95271 115102800.00 Thu Oct 22 2026 14:00:00 GMT+0700 (Western Indonesia Time) BINTANG TAMA SANTO</v>
      </c>
      <c r="D92" s="2">
        <f>IFERROR(__xludf.DUMMYFUNCTION("""COMPUTED_VALUE"""),1.151028E8)</f>
        <v>115102800</v>
      </c>
      <c r="E92" s="2"/>
      <c r="F92" s="2" t="str">
        <f>IFERROR(__xludf.DUMMYFUNCTION("""COMPUTED_VALUE"""),"DB")</f>
        <v>DB</v>
      </c>
      <c r="G92" s="2">
        <f>IFERROR(__xludf.DUMMYFUNCTION("""COMPUTED_VALUE"""),1.4145213709000003E8)</f>
        <v>141452137.1</v>
      </c>
      <c r="H92" s="2">
        <f>IFERROR(__xludf.DUMMYFUNCTION("""COMPUTED_VALUE"""),1.4145213709E8)</f>
        <v>141452137.1</v>
      </c>
      <c r="I92" s="2" t="str">
        <f>IFERROR(__xludf.DUMMYFUNCTION("""COMPUTED_VALUE"""),"PRIBADI")</f>
        <v>PRIBADI</v>
      </c>
    </row>
    <row r="93">
      <c r="A93" s="7">
        <f>IFERROR(__xludf.DUMMYFUNCTION("""COMPUTED_VALUE"""),46319.0)</f>
        <v>46319</v>
      </c>
      <c r="B93" s="2" t="str">
        <f>IFERROR(__xludf.DUMMYFUNCTION("""COMPUTED_VALUE"""),"TRSF E-BANKING DB")</f>
        <v>TRSF E-BANKING DB</v>
      </c>
      <c r="C93" s="2" t="str">
        <f>IFERROR(__xludf.DUMMYFUNCTION("""COMPUTED_VALUE"""),"2410/FTSCY/WS95271 54009000.00 Thu Oct 22 2026 14:00:00 GMT+0700 (Western Indonesia Time) ANUGERAH KARTIKA A")</f>
        <v>2410/FTSCY/WS95271 54009000.00 Thu Oct 22 2026 14:00:00 GMT+0700 (Western Indonesia Time) ANUGERAH KARTIKA A</v>
      </c>
      <c r="D93" s="2">
        <f>IFERROR(__xludf.DUMMYFUNCTION("""COMPUTED_VALUE"""),5.4009E7)</f>
        <v>54009000</v>
      </c>
      <c r="E93" s="2"/>
      <c r="F93" s="2" t="str">
        <f>IFERROR(__xludf.DUMMYFUNCTION("""COMPUTED_VALUE"""),"DB")</f>
        <v>DB</v>
      </c>
      <c r="G93" s="2">
        <f>IFERROR(__xludf.DUMMYFUNCTION("""COMPUTED_VALUE"""),8.744313709000003E7)</f>
        <v>87443137.09</v>
      </c>
      <c r="H93" s="2">
        <f>IFERROR(__xludf.DUMMYFUNCTION("""COMPUTED_VALUE"""),8.744313709E7)</f>
        <v>87443137.09</v>
      </c>
      <c r="I93" s="2" t="str">
        <f>IFERROR(__xludf.DUMMYFUNCTION("""COMPUTED_VALUE"""),"PRIBADI")</f>
        <v>PRIBADI</v>
      </c>
    </row>
    <row r="94">
      <c r="A94" s="7">
        <f>IFERROR(__xludf.DUMMYFUNCTION("""COMPUTED_VALUE"""),46319.0)</f>
        <v>46319</v>
      </c>
      <c r="B94" s="2" t="str">
        <f>IFERROR(__xludf.DUMMYFUNCTION("""COMPUTED_VALUE"""),"TRSF E-BANKING DB")</f>
        <v>TRSF E-BANKING DB</v>
      </c>
      <c r="C94" s="2" t="str">
        <f>IFERROR(__xludf.DUMMYFUNCTION("""COMPUTED_VALUE"""),"2410/FTSCY/WS95271 87392200.00 Thu Oct 22 2026 14:00:00 GMT+0700 (Western Indonesia Time) PITIK DIGITAL INDO")</f>
        <v>2410/FTSCY/WS95271 87392200.00 Thu Oct 22 2026 14:00:00 GMT+0700 (Western Indonesia Time) PITIK DIGITAL INDO</v>
      </c>
      <c r="D94" s="2">
        <f>IFERROR(__xludf.DUMMYFUNCTION("""COMPUTED_VALUE"""),8.73922E7)</f>
        <v>87392200</v>
      </c>
      <c r="E94" s="2"/>
      <c r="F94" s="2" t="str">
        <f>IFERROR(__xludf.DUMMYFUNCTION("""COMPUTED_VALUE"""),"DB")</f>
        <v>DB</v>
      </c>
      <c r="G94" s="2">
        <f>IFERROR(__xludf.DUMMYFUNCTION("""COMPUTED_VALUE"""),50937.09000003338)</f>
        <v>50937.09</v>
      </c>
      <c r="H94" s="2"/>
      <c r="I94" s="2" t="str">
        <f>IFERROR(__xludf.DUMMYFUNCTION("""COMPUTED_VALUE"""),"PRIBADI")</f>
        <v>PRIBADI</v>
      </c>
    </row>
    <row r="95">
      <c r="A95" s="7">
        <f>IFERROR(__xludf.DUMMYFUNCTION("""COMPUTED_VALUE"""),46319.0)</f>
        <v>46319</v>
      </c>
      <c r="B95" s="2" t="str">
        <f>IFERROR(__xludf.DUMMYFUNCTION("""COMPUTED_VALUE"""),"BYR VIA E-BANKING")</f>
        <v>BYR VIA E-BANKING</v>
      </c>
      <c r="C95" s="2" t="str">
        <f>IFERROR(__xludf.DUMMYFUNCTION("""COMPUTED_VALUE"""),"24/10  WSID9503102 1220 TELKOMSEL 82131900513 MUHAMMAD HAIRUL MA")</f>
        <v>24/10  WSID9503102 1220 TELKOMSEL 82131900513 MUHAMMAD HAIRUL MA</v>
      </c>
      <c r="D95" s="2">
        <f>IFERROR(__xludf.DUMMYFUNCTION("""COMPUTED_VALUE"""),52000.0)</f>
        <v>52000</v>
      </c>
      <c r="E95" s="2"/>
      <c r="F95" s="2"/>
      <c r="G95" s="2">
        <f>IFERROR(__xludf.DUMMYFUNCTION("""COMPUTED_VALUE"""),1.7920173709000003E8)</f>
        <v>179201737.1</v>
      </c>
      <c r="H95" s="2"/>
      <c r="I95" s="2" t="str">
        <f>IFERROR(__xludf.DUMMYFUNCTION("""COMPUTED_VALUE"""),"PRIBADI")</f>
        <v>PRIBADI</v>
      </c>
    </row>
    <row r="96">
      <c r="A96" s="7">
        <f>IFERROR(__xludf.DUMMYFUNCTION("""COMPUTED_VALUE"""),46319.0)</f>
        <v>46319</v>
      </c>
      <c r="B96" s="2" t="str">
        <f>IFERROR(__xludf.DUMMYFUNCTION("""COMPUTED_VALUE"""),"TRSF E-BANKING DB")</f>
        <v>TRSF E-BANKING DB</v>
      </c>
      <c r="C96" s="2" t="str">
        <f>IFERROR(__xludf.DUMMYFUNCTION("""COMPUTED_VALUE"""),"2410/FTSCY/WS95271 4309400.00 krg 3 jt FAJAR ANDREANZAH")</f>
        <v>2410/FTSCY/WS95271 4309400.00 krg 3 jt FAJAR ANDREANZAH</v>
      </c>
      <c r="D96" s="2">
        <f>IFERROR(__xludf.DUMMYFUNCTION("""COMPUTED_VALUE"""),4309400.0)</f>
        <v>4309400</v>
      </c>
      <c r="E96" s="2"/>
      <c r="F96" s="2" t="str">
        <f>IFERROR(__xludf.DUMMYFUNCTION("""COMPUTED_VALUE"""),"DB")</f>
        <v>DB</v>
      </c>
      <c r="G96" s="2">
        <f>IFERROR(__xludf.DUMMYFUNCTION("""COMPUTED_VALUE"""),1.7954233709000003E8)</f>
        <v>179542337.1</v>
      </c>
      <c r="H96" s="2"/>
      <c r="I96" s="2" t="str">
        <f>IFERROR(__xludf.DUMMYFUNCTION("""COMPUTED_VALUE"""),"PRIBADI")</f>
        <v>PRIBADI</v>
      </c>
    </row>
    <row r="97">
      <c r="A97" s="7">
        <f>IFERROR(__xludf.DUMMYFUNCTION("""COMPUTED_VALUE"""),46319.0)</f>
        <v>46319</v>
      </c>
      <c r="B97" s="2" t="str">
        <f>IFERROR(__xludf.DUMMYFUNCTION("""COMPUTED_VALUE"""),"TRSF E-BANKING DB")</f>
        <v>TRSF E-BANKING DB</v>
      </c>
      <c r="C97" s="2" t="str">
        <f>IFERROR(__xludf.DUMMYFUNCTION("""COMPUTED_VALUE"""),"2410/FTSCY/WS95271 1300000.00 SUNARTO")</f>
        <v>2410/FTSCY/WS95271 1300000.00 SUNARTO</v>
      </c>
      <c r="D97" s="2">
        <f>IFERROR(__xludf.DUMMYFUNCTION("""COMPUTED_VALUE"""),1300000.0)</f>
        <v>1300000</v>
      </c>
      <c r="E97" s="2"/>
      <c r="F97" s="2" t="str">
        <f>IFERROR(__xludf.DUMMYFUNCTION("""COMPUTED_VALUE"""),"DB")</f>
        <v>DB</v>
      </c>
      <c r="G97" s="2">
        <f>IFERROR(__xludf.DUMMYFUNCTION("""COMPUTED_VALUE"""),4.5709278109000003E8)</f>
        <v>457092781.1</v>
      </c>
      <c r="H97" s="2"/>
      <c r="I97" s="2" t="str">
        <f>IFERROR(__xludf.DUMMYFUNCTION("""COMPUTED_VALUE"""),"PRIBADI")</f>
        <v>PRIBADI</v>
      </c>
    </row>
    <row r="98">
      <c r="A98" s="7">
        <f>IFERROR(__xludf.DUMMYFUNCTION("""COMPUTED_VALUE"""),46319.0)</f>
        <v>46319</v>
      </c>
      <c r="B98" s="2" t="str">
        <f>IFERROR(__xludf.DUMMYFUNCTION("""COMPUTED_VALUE"""),"TRSF E-BANKING DB")</f>
        <v>TRSF E-BANKING DB</v>
      </c>
      <c r="C98" s="2" t="str">
        <f>IFERROR(__xludf.DUMMYFUNCTION("""COMPUTED_VALUE"""),"2410/FTSCY/WS95031 12505940.00 EKO SETIYAWAN")</f>
        <v>2410/FTSCY/WS95031 12505940.00 EKO SETIYAWAN</v>
      </c>
      <c r="D98" s="2">
        <f>IFERROR(__xludf.DUMMYFUNCTION("""COMPUTED_VALUE"""),1.250594E7)</f>
        <v>12505940</v>
      </c>
      <c r="E98" s="2"/>
      <c r="F98" s="2" t="str">
        <f>IFERROR(__xludf.DUMMYFUNCTION("""COMPUTED_VALUE"""),"DB")</f>
        <v>DB</v>
      </c>
      <c r="G98" s="2">
        <f>IFERROR(__xludf.DUMMYFUNCTION("""COMPUTED_VALUE"""),4.4458684109000003E8)</f>
        <v>444586841.1</v>
      </c>
      <c r="H98" s="2"/>
      <c r="I98" s="2" t="str">
        <f>IFERROR(__xludf.DUMMYFUNCTION("""COMPUTED_VALUE"""),"PRIBADI")</f>
        <v>PRIBADI</v>
      </c>
    </row>
    <row r="99">
      <c r="A99" s="7">
        <f>IFERROR(__xludf.DUMMYFUNCTION("""COMPUTED_VALUE"""),46319.0)</f>
        <v>46319</v>
      </c>
      <c r="B99" s="2" t="str">
        <f>IFERROR(__xludf.DUMMYFUNCTION("""COMPUTED_VALUE"""),"TRSF E-BANKING DB")</f>
        <v>TRSF E-BANKING DB</v>
      </c>
      <c r="C99" s="2" t="str">
        <f>IFERROR(__xludf.DUMMYFUNCTION("""COMPUTED_VALUE"""),"2410/FTSCY/WS95271 400000.00 krg 100 jt EKO SETIYAWAN")</f>
        <v>2410/FTSCY/WS95271 400000.00 krg 100 jt EKO SETIYAWAN</v>
      </c>
      <c r="D99" s="2">
        <f>IFERROR(__xludf.DUMMYFUNCTION("""COMPUTED_VALUE"""),400000.0)</f>
        <v>400000</v>
      </c>
      <c r="E99" s="2"/>
      <c r="F99" s="2" t="str">
        <f>IFERROR(__xludf.DUMMYFUNCTION("""COMPUTED_VALUE"""),"DB")</f>
        <v>DB</v>
      </c>
      <c r="G99" s="2">
        <f>IFERROR(__xludf.DUMMYFUNCTION("""COMPUTED_VALUE"""),6.9393966109E8)</f>
        <v>693939661.1</v>
      </c>
      <c r="H99" s="2">
        <f>IFERROR(__xludf.DUMMYFUNCTION("""COMPUTED_VALUE"""),6.9393966109E8)</f>
        <v>693939661.1</v>
      </c>
      <c r="I99" s="2" t="str">
        <f>IFERROR(__xludf.DUMMYFUNCTION("""COMPUTED_VALUE"""),"PRIBADI")</f>
        <v>PRIBADI</v>
      </c>
    </row>
    <row r="100">
      <c r="A100" s="7">
        <f>IFERROR(__xludf.DUMMYFUNCTION("""COMPUTED_VALUE"""),46320.0)</f>
        <v>46320</v>
      </c>
      <c r="B100" s="2" t="str">
        <f>IFERROR(__xludf.DUMMYFUNCTION("""COMPUTED_VALUE"""),"TRSF E-BANKING DB TANGGAL :24/10")</f>
        <v>TRSF E-BANKING DB TANGGAL :24/10</v>
      </c>
      <c r="C100" s="2" t="str">
        <f>IFERROR(__xludf.DUMMYFUNCTION("""COMPUTED_VALUE"""),"2410/FTSCY/WS95011 Fri Oct 23 2026 14:00:00 GMT+0700 (Western Indonesia Time) ANDALAN YASA MITRA")</f>
        <v>2410/FTSCY/WS95011 Fri Oct 23 2026 14:00:00 GMT+0700 (Western Indonesia Time) ANDALAN YASA MITRA</v>
      </c>
      <c r="D100" s="2">
        <f>IFERROR(__xludf.DUMMYFUNCTION("""COMPUTED_VALUE"""),1.150596E8)</f>
        <v>115059600</v>
      </c>
      <c r="E100" s="2"/>
      <c r="F100" s="2" t="str">
        <f>IFERROR(__xludf.DUMMYFUNCTION("""COMPUTED_VALUE"""),"DB")</f>
        <v>DB</v>
      </c>
      <c r="G100" s="2">
        <f>IFERROR(__xludf.DUMMYFUNCTION("""COMPUTED_VALUE"""),6.7788006109E8)</f>
        <v>677880061.1</v>
      </c>
      <c r="H100" s="2"/>
      <c r="I100" s="2" t="str">
        <f>IFERROR(__xludf.DUMMYFUNCTION("""COMPUTED_VALUE"""),"PRIBADI")</f>
        <v>PRIBADI</v>
      </c>
    </row>
    <row r="101">
      <c r="A101" s="7">
        <f>IFERROR(__xludf.DUMMYFUNCTION("""COMPUTED_VALUE"""),46320.0)</f>
        <v>46320</v>
      </c>
      <c r="B101" s="2" t="str">
        <f>IFERROR(__xludf.DUMMYFUNCTION("""COMPUTED_VALUE"""),"TRSF E-BANKING DB TANGGAL :24/10")</f>
        <v>TRSF E-BANKING DB TANGGAL :24/10</v>
      </c>
      <c r="C101" s="2" t="str">
        <f>IFERROR(__xludf.DUMMYFUNCTION("""COMPUTED_VALUE"""),"2410/FTSCY/WS95011 Thu Oct 22 2026 14:00:00 GMT+0700 (Western Indonesia Time) PITIK DIGITAL INDO")</f>
        <v>2410/FTSCY/WS95011 Thu Oct 22 2026 14:00:00 GMT+0700 (Western Indonesia Time) PITIK DIGITAL INDO</v>
      </c>
      <c r="D101" s="2">
        <f>IFERROR(__xludf.DUMMYFUNCTION("""COMPUTED_VALUE"""),2.90102E8)</f>
        <v>290102000</v>
      </c>
      <c r="E101" s="2"/>
      <c r="F101" s="2" t="str">
        <f>IFERROR(__xludf.DUMMYFUNCTION("""COMPUTED_VALUE"""),"DB")</f>
        <v>DB</v>
      </c>
      <c r="G101" s="2">
        <f>IFERROR(__xludf.DUMMYFUNCTION("""COMPUTED_VALUE"""),3.8777806109000003E8)</f>
        <v>387778061.1</v>
      </c>
      <c r="H101" s="2"/>
      <c r="I101" s="2" t="str">
        <f>IFERROR(__xludf.DUMMYFUNCTION("""COMPUTED_VALUE"""),"PRIBADI")</f>
        <v>PRIBADI</v>
      </c>
    </row>
    <row r="102">
      <c r="A102" s="7">
        <f>IFERROR(__xludf.DUMMYFUNCTION("""COMPUTED_VALUE"""),46320.0)</f>
        <v>46320</v>
      </c>
      <c r="B102" s="2" t="str">
        <f>IFERROR(__xludf.DUMMYFUNCTION("""COMPUTED_VALUE"""),"TRSF E-BANKING DB TANGGAL :24/10")</f>
        <v>TRSF E-BANKING DB TANGGAL :24/10</v>
      </c>
      <c r="C102" s="2" t="str">
        <f>IFERROR(__xludf.DUMMYFUNCTION("""COMPUTED_VALUE"""),"2410/FTSCY/WS95011 Thu Oct 22 2026 14:00:00 GMT+0700 (Western Indonesia Time) BROILER MAKMUR TAN")</f>
        <v>2410/FTSCY/WS95011 Thu Oct 22 2026 14:00:00 GMT+0700 (Western Indonesia Time) BROILER MAKMUR TAN</v>
      </c>
      <c r="D102" s="2">
        <f>IFERROR(__xludf.DUMMYFUNCTION("""COMPUTED_VALUE"""),5.75905E7)</f>
        <v>57590500</v>
      </c>
      <c r="E102" s="2"/>
      <c r="F102" s="2" t="str">
        <f>IFERROR(__xludf.DUMMYFUNCTION("""COMPUTED_VALUE"""),"DB")</f>
        <v>DB</v>
      </c>
      <c r="G102" s="2">
        <f>IFERROR(__xludf.DUMMYFUNCTION("""COMPUTED_VALUE"""),3.3018756109000003E8)</f>
        <v>330187561.1</v>
      </c>
      <c r="H102" s="2"/>
      <c r="I102" s="2" t="str">
        <f>IFERROR(__xludf.DUMMYFUNCTION("""COMPUTED_VALUE"""),"PRIBADI")</f>
        <v>PRIBADI</v>
      </c>
    </row>
    <row r="103">
      <c r="A103" s="7">
        <f>IFERROR(__xludf.DUMMYFUNCTION("""COMPUTED_VALUE"""),46320.0)</f>
        <v>46320</v>
      </c>
      <c r="B103" s="2" t="str">
        <f>IFERROR(__xludf.DUMMYFUNCTION("""COMPUTED_VALUE"""),"TRSF E-BANKING DB TANGGAL :24/10")</f>
        <v>TRSF E-BANKING DB TANGGAL :24/10</v>
      </c>
      <c r="C103" s="2" t="str">
        <f>IFERROR(__xludf.DUMMYFUNCTION("""COMPUTED_VALUE"""),"2410/FTSCY/WS95031 Fri Oct 23 2026 14:00:00 GMT+0700 (Western Indonesia Time) BRANTAS ABADI SENT")</f>
        <v>2410/FTSCY/WS95031 Fri Oct 23 2026 14:00:00 GMT+0700 (Western Indonesia Time) BRANTAS ABADI SENT</v>
      </c>
      <c r="D103" s="2">
        <f>IFERROR(__xludf.DUMMYFUNCTION("""COMPUTED_VALUE"""),5.95E7)</f>
        <v>59500000</v>
      </c>
      <c r="E103" s="2"/>
      <c r="F103" s="2" t="str">
        <f>IFERROR(__xludf.DUMMYFUNCTION("""COMPUTED_VALUE"""),"DB")</f>
        <v>DB</v>
      </c>
      <c r="G103" s="2">
        <f>IFERROR(__xludf.DUMMYFUNCTION("""COMPUTED_VALUE"""),2.7068756109000003E8)</f>
        <v>270687561.1</v>
      </c>
      <c r="H103" s="2"/>
      <c r="I103" s="2" t="str">
        <f>IFERROR(__xludf.DUMMYFUNCTION("""COMPUTED_VALUE"""),"PRIBADI")</f>
        <v>PRIBADI</v>
      </c>
    </row>
    <row r="104">
      <c r="A104" s="7">
        <f>IFERROR(__xludf.DUMMYFUNCTION("""COMPUTED_VALUE"""),46320.0)</f>
        <v>46320</v>
      </c>
      <c r="B104" s="2" t="str">
        <f>IFERROR(__xludf.DUMMYFUNCTION("""COMPUTED_VALUE"""),"TRSF E-BANKING DB TANGGAL :24/10")</f>
        <v>TRSF E-BANKING DB TANGGAL :24/10</v>
      </c>
      <c r="C104" s="2" t="str">
        <f>IFERROR(__xludf.DUMMYFUNCTION("""COMPUTED_VALUE"""),"2410/FTSCY/WS95271 NURUL AINI")</f>
        <v>2410/FTSCY/WS95271 NURUL AINI</v>
      </c>
      <c r="D104" s="2">
        <f>IFERROR(__xludf.DUMMYFUNCTION("""COMPUTED_VALUE"""),1.3505E7)</f>
        <v>13505000</v>
      </c>
      <c r="E104" s="2"/>
      <c r="F104" s="2" t="str">
        <f>IFERROR(__xludf.DUMMYFUNCTION("""COMPUTED_VALUE"""),"DB")</f>
        <v>DB</v>
      </c>
      <c r="G104" s="2">
        <f>IFERROR(__xludf.DUMMYFUNCTION("""COMPUTED_VALUE"""),2.5718256109000003E8)</f>
        <v>257182561.1</v>
      </c>
      <c r="H104" s="2"/>
      <c r="I104" s="2" t="str">
        <f>IFERROR(__xludf.DUMMYFUNCTION("""COMPUTED_VALUE"""),"PRIBADI")</f>
        <v>PRIBADI</v>
      </c>
    </row>
    <row r="105">
      <c r="A105" s="7">
        <f>IFERROR(__xludf.DUMMYFUNCTION("""COMPUTED_VALUE"""),46320.0)</f>
        <v>46320</v>
      </c>
      <c r="B105" s="2" t="str">
        <f>IFERROR(__xludf.DUMMYFUNCTION("""COMPUTED_VALUE"""),"TRSF E-BANKING DB")</f>
        <v>TRSF E-BANKING DB</v>
      </c>
      <c r="C105" s="2" t="str">
        <f>IFERROR(__xludf.DUMMYFUNCTION("""COMPUTED_VALUE"""),"2510/FTSCY/WS95011 112000000.00 Fri Oct 23 2026 14:00:00 GMT+0700 (Western Indonesia Time) ANDALAN YASA MITRA")</f>
        <v>2510/FTSCY/WS95011 112000000.00 Fri Oct 23 2026 14:00:00 GMT+0700 (Western Indonesia Time) ANDALAN YASA MITRA</v>
      </c>
      <c r="D105" s="2">
        <f>IFERROR(__xludf.DUMMYFUNCTION("""COMPUTED_VALUE"""),1.12E8)</f>
        <v>112000000</v>
      </c>
      <c r="E105" s="2"/>
      <c r="F105" s="2" t="str">
        <f>IFERROR(__xludf.DUMMYFUNCTION("""COMPUTED_VALUE"""),"DB")</f>
        <v>DB</v>
      </c>
      <c r="G105" s="2">
        <f>IFERROR(__xludf.DUMMYFUNCTION("""COMPUTED_VALUE"""),2.9518256109000003E8)</f>
        <v>295182561.1</v>
      </c>
      <c r="H105" s="2"/>
      <c r="I105" s="2" t="str">
        <f>IFERROR(__xludf.DUMMYFUNCTION("""COMPUTED_VALUE"""),"PRIBADI")</f>
        <v>PRIBADI</v>
      </c>
    </row>
    <row r="106">
      <c r="A106" s="7">
        <f>IFERROR(__xludf.DUMMYFUNCTION("""COMPUTED_VALUE"""),46320.0)</f>
        <v>46320</v>
      </c>
      <c r="B106" s="2" t="str">
        <f>IFERROR(__xludf.DUMMYFUNCTION("""COMPUTED_VALUE"""),"TRSF E-BANKING DB")</f>
        <v>TRSF E-BANKING DB</v>
      </c>
      <c r="C106" s="2" t="str">
        <f>IFERROR(__xludf.DUMMYFUNCTION("""COMPUTED_VALUE"""),"2510/FTSCY/WS95011 116172000.00 Fri Oct 23 2026 14:00:00 GMT+0700 (Western Indonesia Time) ANDALAN YASA MITRA")</f>
        <v>2510/FTSCY/WS95011 116172000.00 Fri Oct 23 2026 14:00:00 GMT+0700 (Western Indonesia Time) ANDALAN YASA MITRA</v>
      </c>
      <c r="D106" s="2">
        <f>IFERROR(__xludf.DUMMYFUNCTION("""COMPUTED_VALUE"""),1.16172E8)</f>
        <v>116172000</v>
      </c>
      <c r="E106" s="2"/>
      <c r="F106" s="2" t="str">
        <f>IFERROR(__xludf.DUMMYFUNCTION("""COMPUTED_VALUE"""),"DB")</f>
        <v>DB</v>
      </c>
      <c r="G106" s="2">
        <f>IFERROR(__xludf.DUMMYFUNCTION("""COMPUTED_VALUE"""),1.7901056109000003E8)</f>
        <v>179010561.1</v>
      </c>
      <c r="H106" s="2"/>
      <c r="I106" s="2" t="str">
        <f>IFERROR(__xludf.DUMMYFUNCTION("""COMPUTED_VALUE"""),"PRIBADI")</f>
        <v>PRIBADI</v>
      </c>
    </row>
    <row r="107">
      <c r="A107" s="7">
        <f>IFERROR(__xludf.DUMMYFUNCTION("""COMPUTED_VALUE"""),46320.0)</f>
        <v>46320</v>
      </c>
      <c r="B107" s="2" t="str">
        <f>IFERROR(__xludf.DUMMYFUNCTION("""COMPUTED_VALUE"""),"TRSF E-BANKING DB")</f>
        <v>TRSF E-BANKING DB</v>
      </c>
      <c r="C107" s="2" t="str">
        <f>IFERROR(__xludf.DUMMYFUNCTION("""COMPUTED_VALUE"""),"2510/FTSCY/WS95011 115200000.00 23/10 tuban PITIK DIGITAL INDO")</f>
        <v>2510/FTSCY/WS95011 115200000.00 23/10 tuban PITIK DIGITAL INDO</v>
      </c>
      <c r="D107" s="2">
        <f>IFERROR(__xludf.DUMMYFUNCTION("""COMPUTED_VALUE"""),1.152E8)</f>
        <v>115200000</v>
      </c>
      <c r="E107" s="2"/>
      <c r="F107" s="2" t="str">
        <f>IFERROR(__xludf.DUMMYFUNCTION("""COMPUTED_VALUE"""),"DB")</f>
        <v>DB</v>
      </c>
      <c r="G107" s="2">
        <f>IFERROR(__xludf.DUMMYFUNCTION("""COMPUTED_VALUE"""),6.381056109000003E7)</f>
        <v>63810561.09</v>
      </c>
      <c r="H107" s="2"/>
      <c r="I107" s="2" t="str">
        <f>IFERROR(__xludf.DUMMYFUNCTION("""COMPUTED_VALUE"""),"PRIBADI")</f>
        <v>PRIBADI</v>
      </c>
    </row>
    <row r="108">
      <c r="A108" s="7">
        <f>IFERROR(__xludf.DUMMYFUNCTION("""COMPUTED_VALUE"""),46320.0)</f>
        <v>46320</v>
      </c>
      <c r="B108" s="2" t="str">
        <f>IFERROR(__xludf.DUMMYFUNCTION("""COMPUTED_VALUE"""),"TRSF E-BANKING DB")</f>
        <v>TRSF E-BANKING DB</v>
      </c>
      <c r="C108" s="2" t="str">
        <f>IFERROR(__xludf.DUMMYFUNCTION("""COMPUTED_VALUE"""),"2510/FTSCY/WS95011 63760400.00 Titip RUKUN MITRA BERSAM")</f>
        <v>2510/FTSCY/WS95011 63760400.00 Titip RUKUN MITRA BERSAM</v>
      </c>
      <c r="D108" s="2">
        <f>IFERROR(__xludf.DUMMYFUNCTION("""COMPUTED_VALUE"""),6.37604E7)</f>
        <v>63760400</v>
      </c>
      <c r="E108" s="2"/>
      <c r="F108" s="2" t="str">
        <f>IFERROR(__xludf.DUMMYFUNCTION("""COMPUTED_VALUE"""),"DB")</f>
        <v>DB</v>
      </c>
      <c r="G108" s="2">
        <f>IFERROR(__xludf.DUMMYFUNCTION("""COMPUTED_VALUE"""),50161.09000003338)</f>
        <v>50161.09</v>
      </c>
      <c r="H108" s="2"/>
      <c r="I108" s="2" t="str">
        <f>IFERROR(__xludf.DUMMYFUNCTION("""COMPUTED_VALUE"""),"PRIBADI")</f>
        <v>PRIBADI</v>
      </c>
    </row>
    <row r="109">
      <c r="A109" s="7">
        <f>IFERROR(__xludf.DUMMYFUNCTION("""COMPUTED_VALUE"""),46320.0)</f>
        <v>46320</v>
      </c>
      <c r="B109" s="2" t="str">
        <f>IFERROR(__xludf.DUMMYFUNCTION("""COMPUTED_VALUE"""),"KARTU DEBIT")</f>
        <v>KARTU DEBIT</v>
      </c>
      <c r="C109" s="2" t="str">
        <f>IFERROR(__xludf.DUMMYFUNCTION("""COMPUTED_VALUE"""),"ALFAMRT Y207 BRTN 6019009510239343")</f>
        <v>ALFAMRT Y207 BRTN 6019009510239343</v>
      </c>
      <c r="D109" s="2">
        <f>IFERROR(__xludf.DUMMYFUNCTION("""COMPUTED_VALUE"""),100300.0)</f>
        <v>100300</v>
      </c>
      <c r="E109" s="2"/>
      <c r="F109" s="2"/>
      <c r="G109" s="2">
        <f>IFERROR(__xludf.DUMMYFUNCTION("""COMPUTED_VALUE"""),1.0612961090000033E7)</f>
        <v>10612961.09</v>
      </c>
      <c r="H109" s="2">
        <f>IFERROR(__xludf.DUMMYFUNCTION("""COMPUTED_VALUE"""),1.061296109E7)</f>
        <v>10612961.09</v>
      </c>
      <c r="I109" s="2" t="str">
        <f>IFERROR(__xludf.DUMMYFUNCTION("""COMPUTED_VALUE"""),"PRIBADI")</f>
        <v>PRIBADI</v>
      </c>
    </row>
    <row r="110">
      <c r="A110" s="7">
        <f>IFERROR(__xludf.DUMMYFUNCTION("""COMPUTED_VALUE"""),46320.0)</f>
        <v>46320</v>
      </c>
      <c r="B110" s="2" t="str">
        <f>IFERROR(__xludf.DUMMYFUNCTION("""COMPUTED_VALUE"""),"TRSF E-BANKING DB")</f>
        <v>TRSF E-BANKING DB</v>
      </c>
      <c r="C110" s="2" t="str">
        <f>IFERROR(__xludf.DUMMYFUNCTION("""COMPUTED_VALUE"""),"2510/FTSCY/WS95271 3000000.00 RIRIN")</f>
        <v>2510/FTSCY/WS95271 3000000.00 RIRIN</v>
      </c>
      <c r="D110" s="2">
        <f>IFERROR(__xludf.DUMMYFUNCTION("""COMPUTED_VALUE"""),3000000.0)</f>
        <v>3000000</v>
      </c>
      <c r="E110" s="2"/>
      <c r="F110" s="2" t="str">
        <f>IFERROR(__xludf.DUMMYFUNCTION("""COMPUTED_VALUE"""),"DB")</f>
        <v>DB</v>
      </c>
      <c r="G110" s="2">
        <f>IFERROR(__xludf.DUMMYFUNCTION("""COMPUTED_VALUE"""),6.773296109000003E7)</f>
        <v>67732961.09</v>
      </c>
      <c r="H110" s="2"/>
      <c r="I110" s="2" t="str">
        <f>IFERROR(__xludf.DUMMYFUNCTION("""COMPUTED_VALUE"""),"PRIBADI")</f>
        <v>PRIBADI</v>
      </c>
    </row>
    <row r="111">
      <c r="A111" s="7">
        <f>IFERROR(__xludf.DUMMYFUNCTION("""COMPUTED_VALUE"""),46320.0)</f>
        <v>46320</v>
      </c>
      <c r="B111" s="2" t="str">
        <f>IFERROR(__xludf.DUMMYFUNCTION("""COMPUTED_VALUE"""),"TRSF E-BANKING DB")</f>
        <v>TRSF E-BANKING DB</v>
      </c>
      <c r="C111" s="2" t="str">
        <f>IFERROR(__xludf.DUMMYFUNCTION("""COMPUTED_VALUE"""),"2510/FTSCY/WS95271 154302000.00 Fri Oct 23 2026 14:00:00 GMT+0700 (Western Indonesia Time) RUKUN MITRA BERSAM")</f>
        <v>2510/FTSCY/WS95271 154302000.00 Fri Oct 23 2026 14:00:00 GMT+0700 (Western Indonesia Time) RUKUN MITRA BERSAM</v>
      </c>
      <c r="D111" s="2">
        <f>IFERROR(__xludf.DUMMYFUNCTION("""COMPUTED_VALUE"""),1.54302E8)</f>
        <v>154302000</v>
      </c>
      <c r="E111" s="2"/>
      <c r="F111" s="2" t="str">
        <f>IFERROR(__xludf.DUMMYFUNCTION("""COMPUTED_VALUE"""),"DB")</f>
        <v>DB</v>
      </c>
      <c r="G111" s="2">
        <f>IFERROR(__xludf.DUMMYFUNCTION("""COMPUTED_VALUE"""),1.8527176109000003E8)</f>
        <v>185271761.1</v>
      </c>
      <c r="H111" s="2"/>
      <c r="I111" s="2" t="str">
        <f>IFERROR(__xludf.DUMMYFUNCTION("""COMPUTED_VALUE"""),"PRIBADI")</f>
        <v>PRIBADI</v>
      </c>
    </row>
    <row r="112">
      <c r="A112" s="7">
        <f>IFERROR(__xludf.DUMMYFUNCTION("""COMPUTED_VALUE"""),46320.0)</f>
        <v>46320</v>
      </c>
      <c r="B112" s="2" t="str">
        <f>IFERROR(__xludf.DUMMYFUNCTION("""COMPUTED_VALUE"""),"TRSF E-BANKING DB")</f>
        <v>TRSF E-BANKING DB</v>
      </c>
      <c r="C112" s="2" t="str">
        <f>IFERROR(__xludf.DUMMYFUNCTION("""COMPUTED_VALUE"""),"2510/FTSCY/WS95031 9951640.00 EKO SETIYAWAN")</f>
        <v>2510/FTSCY/WS95031 9951640.00 EKO SETIYAWAN</v>
      </c>
      <c r="D112" s="2">
        <f>IFERROR(__xludf.DUMMYFUNCTION("""COMPUTED_VALUE"""),9951640.0)</f>
        <v>9951640</v>
      </c>
      <c r="E112" s="2"/>
      <c r="F112" s="2" t="str">
        <f>IFERROR(__xludf.DUMMYFUNCTION("""COMPUTED_VALUE"""),"DB")</f>
        <v>DB</v>
      </c>
      <c r="G112" s="2">
        <f>IFERROR(__xludf.DUMMYFUNCTION("""COMPUTED_VALUE"""),1.7532012109000003E8)</f>
        <v>175320121.1</v>
      </c>
      <c r="H112" s="2"/>
      <c r="I112" s="2" t="str">
        <f>IFERROR(__xludf.DUMMYFUNCTION("""COMPUTED_VALUE"""),"PRIBADI")</f>
        <v>PRIBADI</v>
      </c>
    </row>
    <row r="113">
      <c r="A113" s="7">
        <f>IFERROR(__xludf.DUMMYFUNCTION("""COMPUTED_VALUE"""),46320.0)</f>
        <v>46320</v>
      </c>
      <c r="B113" s="2" t="str">
        <f>IFERROR(__xludf.DUMMYFUNCTION("""COMPUTED_VALUE"""),"TRSF E-BANKING DB")</f>
        <v>TRSF E-BANKING DB</v>
      </c>
      <c r="C113" s="2" t="str">
        <f>IFERROR(__xludf.DUMMYFUNCTION("""COMPUTED_VALUE"""),"2510/FTSCY/WS95271 2665000.00 DIDIET SULISTYAWAN")</f>
        <v>2510/FTSCY/WS95271 2665000.00 DIDIET SULISTYAWAN</v>
      </c>
      <c r="D113" s="2">
        <f>IFERROR(__xludf.DUMMYFUNCTION("""COMPUTED_VALUE"""),2665000.0)</f>
        <v>2665000</v>
      </c>
      <c r="E113" s="2"/>
      <c r="F113" s="2" t="str">
        <f>IFERROR(__xludf.DUMMYFUNCTION("""COMPUTED_VALUE"""),"DB")</f>
        <v>DB</v>
      </c>
      <c r="G113" s="2">
        <f>IFERROR(__xludf.DUMMYFUNCTION("""COMPUTED_VALUE"""),1.7265512109000003E8)</f>
        <v>172655121.1</v>
      </c>
      <c r="H113" s="2"/>
      <c r="I113" s="2" t="str">
        <f>IFERROR(__xludf.DUMMYFUNCTION("""COMPUTED_VALUE"""),"PRIBADI")</f>
        <v>PRIBADI</v>
      </c>
    </row>
    <row r="114">
      <c r="A114" s="7">
        <f>IFERROR(__xludf.DUMMYFUNCTION("""COMPUTED_VALUE"""),46320.0)</f>
        <v>46320</v>
      </c>
      <c r="B114" s="2" t="str">
        <f>IFERROR(__xludf.DUMMYFUNCTION("""COMPUTED_VALUE"""),"TRSF E-BANKING DB")</f>
        <v>TRSF E-BANKING DB</v>
      </c>
      <c r="C114" s="2" t="str">
        <f>IFERROR(__xludf.DUMMYFUNCTION("""COMPUTED_VALUE"""),"2510/FTSCY/WS95031 1700000.00 SUNARTO")</f>
        <v>2510/FTSCY/WS95031 1700000.00 SUNARTO</v>
      </c>
      <c r="D114" s="2">
        <f>IFERROR(__xludf.DUMMYFUNCTION("""COMPUTED_VALUE"""),1700000.0)</f>
        <v>1700000</v>
      </c>
      <c r="E114" s="2"/>
      <c r="F114" s="2" t="str">
        <f>IFERROR(__xludf.DUMMYFUNCTION("""COMPUTED_VALUE"""),"DB")</f>
        <v>DB</v>
      </c>
      <c r="G114" s="2">
        <f>IFERROR(__xludf.DUMMYFUNCTION("""COMPUTED_VALUE"""),1.7095512109000003E8)</f>
        <v>170955121.1</v>
      </c>
      <c r="H114" s="2"/>
      <c r="I114" s="2" t="str">
        <f>IFERROR(__xludf.DUMMYFUNCTION("""COMPUTED_VALUE"""),"PRIBADI")</f>
        <v>PRIBADI</v>
      </c>
    </row>
    <row r="115">
      <c r="A115" s="7">
        <f>IFERROR(__xludf.DUMMYFUNCTION("""COMPUTED_VALUE"""),46320.0)</f>
        <v>46320</v>
      </c>
      <c r="B115" s="2" t="str">
        <f>IFERROR(__xludf.DUMMYFUNCTION("""COMPUTED_VALUE"""),"TRSF E-BANKING DB")</f>
        <v>TRSF E-BANKING DB</v>
      </c>
      <c r="C115" s="2" t="str">
        <f>IFERROR(__xludf.DUMMYFUNCTION("""COMPUTED_VALUE"""),"2510/FTSCY/WS95031 5923480.00 krg 10 jt MUJIANTO")</f>
        <v>2510/FTSCY/WS95031 5923480.00 krg 10 jt MUJIANTO</v>
      </c>
      <c r="D115" s="2">
        <f>IFERROR(__xludf.DUMMYFUNCTION("""COMPUTED_VALUE"""),5923480.0)</f>
        <v>5923480</v>
      </c>
      <c r="E115" s="2"/>
      <c r="F115" s="2" t="str">
        <f>IFERROR(__xludf.DUMMYFUNCTION("""COMPUTED_VALUE"""),"DB")</f>
        <v>DB</v>
      </c>
      <c r="G115" s="2">
        <f>IFERROR(__xludf.DUMMYFUNCTION("""COMPUTED_VALUE"""),1.6503164109000003E8)</f>
        <v>165031641.1</v>
      </c>
      <c r="H115" s="2"/>
      <c r="I115" s="2" t="str">
        <f>IFERROR(__xludf.DUMMYFUNCTION("""COMPUTED_VALUE"""),"PRIBADI")</f>
        <v>PRIBADI</v>
      </c>
    </row>
    <row r="116">
      <c r="A116" s="7">
        <f>IFERROR(__xludf.DUMMYFUNCTION("""COMPUTED_VALUE"""),46320.0)</f>
        <v>46320</v>
      </c>
      <c r="B116" s="2" t="str">
        <f>IFERROR(__xludf.DUMMYFUNCTION("""COMPUTED_VALUE"""),"TRSF E-BANKING DB")</f>
        <v>TRSF E-BANKING DB</v>
      </c>
      <c r="C116" s="2" t="str">
        <f>IFERROR(__xludf.DUMMYFUNCTION("""COMPUTED_VALUE"""),"2510/FTSCY/WS95031 2094160.00 HERMAWAN")</f>
        <v>2510/FTSCY/WS95031 2094160.00 HERMAWAN</v>
      </c>
      <c r="D116" s="2">
        <f>IFERROR(__xludf.DUMMYFUNCTION("""COMPUTED_VALUE"""),2094160.0)</f>
        <v>2094160</v>
      </c>
      <c r="E116" s="2"/>
      <c r="F116" s="2" t="str">
        <f>IFERROR(__xludf.DUMMYFUNCTION("""COMPUTED_VALUE"""),"DB")</f>
        <v>DB</v>
      </c>
      <c r="G116" s="2">
        <f>IFERROR(__xludf.DUMMYFUNCTION("""COMPUTED_VALUE"""),1.6293748109000003E8)</f>
        <v>162937481.1</v>
      </c>
      <c r="H116" s="2">
        <f>IFERROR(__xludf.DUMMYFUNCTION("""COMPUTED_VALUE"""),1.6293748109E8)</f>
        <v>162937481.1</v>
      </c>
      <c r="I116" s="2" t="str">
        <f>IFERROR(__xludf.DUMMYFUNCTION("""COMPUTED_VALUE"""),"PRIBADI")</f>
        <v>PRIBADI</v>
      </c>
    </row>
    <row r="117">
      <c r="A117" s="7">
        <f>IFERROR(__xludf.DUMMYFUNCTION("""COMPUTED_VALUE"""),46321.0)</f>
        <v>46321</v>
      </c>
      <c r="B117" s="2" t="str">
        <f>IFERROR(__xludf.DUMMYFUNCTION("""COMPUTED_VALUE"""),"TRSF E-BANKING DB")</f>
        <v>TRSF E-BANKING DB</v>
      </c>
      <c r="C117" s="2" t="str">
        <f>IFERROR(__xludf.DUMMYFUNCTION("""COMPUTED_VALUE"""),"2610/FTSCY/WS95011 425555380.00 Sat Oct 24 2026 14:00:00 GMT+0700 (Western Indonesia Time) GANESHA SATRIA NUS")</f>
        <v>2610/FTSCY/WS95011 425555380.00 Sat Oct 24 2026 14:00:00 GMT+0700 (Western Indonesia Time) GANESHA SATRIA NUS</v>
      </c>
      <c r="D117" s="2">
        <f>IFERROR(__xludf.DUMMYFUNCTION("""COMPUTED_VALUE"""),4.2555538E8)</f>
        <v>425555380</v>
      </c>
      <c r="E117" s="2"/>
      <c r="F117" s="2" t="str">
        <f>IFERROR(__xludf.DUMMYFUNCTION("""COMPUTED_VALUE"""),"DB")</f>
        <v>DB</v>
      </c>
      <c r="G117" s="2">
        <f>IFERROR(__xludf.DUMMYFUNCTION("""COMPUTED_VALUE"""),1.0154607109000003E8)</f>
        <v>101546071.1</v>
      </c>
      <c r="H117" s="2">
        <f>IFERROR(__xludf.DUMMYFUNCTION("""COMPUTED_VALUE"""),1.0154607109E8)</f>
        <v>101546071.1</v>
      </c>
      <c r="I117" s="2" t="str">
        <f>IFERROR(__xludf.DUMMYFUNCTION("""COMPUTED_VALUE"""),"PRIBADI")</f>
        <v>PRIBADI</v>
      </c>
    </row>
    <row r="118">
      <c r="A118" s="7">
        <f>IFERROR(__xludf.DUMMYFUNCTION("""COMPUTED_VALUE"""),46321.0)</f>
        <v>46321</v>
      </c>
      <c r="B118" s="2" t="str">
        <f>IFERROR(__xludf.DUMMYFUNCTION("""COMPUTED_VALUE"""),"TRSF E-BANKING DB")</f>
        <v>TRSF E-BANKING DB</v>
      </c>
      <c r="C118" s="2" t="str">
        <f>IFERROR(__xludf.DUMMYFUNCTION("""COMPUTED_VALUE"""),"2610/FTSCY/WS95011 51176010.00 Sat Oct 24 2026 14:00:00 GMT+0700 (Western Indonesia Time) RUKUN MITRA BERSAM")</f>
        <v>2610/FTSCY/WS95011 51176010.00 Sat Oct 24 2026 14:00:00 GMT+0700 (Western Indonesia Time) RUKUN MITRA BERSAM</v>
      </c>
      <c r="D118" s="2">
        <f>IFERROR(__xludf.DUMMYFUNCTION("""COMPUTED_VALUE"""),5.117601E7)</f>
        <v>51176010</v>
      </c>
      <c r="E118" s="2"/>
      <c r="F118" s="2" t="str">
        <f>IFERROR(__xludf.DUMMYFUNCTION("""COMPUTED_VALUE"""),"DB")</f>
        <v>DB</v>
      </c>
      <c r="G118" s="2">
        <f>IFERROR(__xludf.DUMMYFUNCTION("""COMPUTED_VALUE"""),5.037006109000003E7)</f>
        <v>50370061.09</v>
      </c>
      <c r="H118" s="2"/>
      <c r="I118" s="2" t="str">
        <f>IFERROR(__xludf.DUMMYFUNCTION("""COMPUTED_VALUE"""),"PRIBADI")</f>
        <v>PRIBADI</v>
      </c>
    </row>
    <row r="119">
      <c r="A119" s="7">
        <f>IFERROR(__xludf.DUMMYFUNCTION("""COMPUTED_VALUE"""),46321.0)</f>
        <v>46321</v>
      </c>
      <c r="B119" s="2" t="str">
        <f>IFERROR(__xludf.DUMMYFUNCTION("""COMPUTED_VALUE"""),"TRSF E-BANKING DB")</f>
        <v>TRSF E-BANKING DB</v>
      </c>
      <c r="C119" s="2" t="str">
        <f>IFERROR(__xludf.DUMMYFUNCTION("""COMPUTED_VALUE"""),"2610/FTSCY/WS95271 47976250.00 Sat Oct 24 2026 14:00:00 GMT+0700 (Western Indonesia Time) BINTANG TAMA SANTO")</f>
        <v>2610/FTSCY/WS95271 47976250.00 Sat Oct 24 2026 14:00:00 GMT+0700 (Western Indonesia Time) BINTANG TAMA SANTO</v>
      </c>
      <c r="D119" s="2">
        <f>IFERROR(__xludf.DUMMYFUNCTION("""COMPUTED_VALUE"""),4.797625E7)</f>
        <v>47976250</v>
      </c>
      <c r="E119" s="2"/>
      <c r="F119" s="2" t="str">
        <f>IFERROR(__xludf.DUMMYFUNCTION("""COMPUTED_VALUE"""),"DB")</f>
        <v>DB</v>
      </c>
      <c r="G119" s="2">
        <f>IFERROR(__xludf.DUMMYFUNCTION("""COMPUTED_VALUE"""),2393811.0900000334)</f>
        <v>2393811.09</v>
      </c>
      <c r="H119" s="2"/>
      <c r="I119" s="2" t="str">
        <f>IFERROR(__xludf.DUMMYFUNCTION("""COMPUTED_VALUE"""),"PRIBADI")</f>
        <v>PRIBADI</v>
      </c>
    </row>
    <row r="120">
      <c r="A120" s="7">
        <f>IFERROR(__xludf.DUMMYFUNCTION("""COMPUTED_VALUE"""),46321.0)</f>
        <v>46321</v>
      </c>
      <c r="B120" s="2" t="str">
        <f>IFERROR(__xludf.DUMMYFUNCTION("""COMPUTED_VALUE"""),"KARTU DEBIT")</f>
        <v>KARTU DEBIT</v>
      </c>
      <c r="C120" s="2" t="str">
        <f>IFERROR(__xludf.DUMMYFUNCTION("""COMPUTED_VALUE"""),"CONATO BAKERY NICO 6019009510239343")</f>
        <v>CONATO BAKERY NICO 6019009510239343</v>
      </c>
      <c r="D120" s="2">
        <f>IFERROR(__xludf.DUMMYFUNCTION("""COMPUTED_VALUE"""),70000.0)</f>
        <v>70000</v>
      </c>
      <c r="E120" s="2"/>
      <c r="F120" s="2"/>
      <c r="G120" s="2">
        <f>IFERROR(__xludf.DUMMYFUNCTION("""COMPUTED_VALUE"""),6.857201109000003E7)</f>
        <v>68572011.09</v>
      </c>
      <c r="H120" s="2"/>
      <c r="I120" s="2" t="str">
        <f>IFERROR(__xludf.DUMMYFUNCTION("""COMPUTED_VALUE"""),"PRIBADI")</f>
        <v>PRIBADI</v>
      </c>
    </row>
    <row r="121">
      <c r="A121" s="7">
        <f>IFERROR(__xludf.DUMMYFUNCTION("""COMPUTED_VALUE"""),46321.0)</f>
        <v>46321</v>
      </c>
      <c r="B121" s="2" t="str">
        <f>IFERROR(__xludf.DUMMYFUNCTION("""COMPUTED_VALUE"""),"TRSF E-BANKING DB")</f>
        <v>TRSF E-BANKING DB</v>
      </c>
      <c r="C121" s="2" t="str">
        <f>IFERROR(__xludf.DUMMYFUNCTION("""COMPUTED_VALUE"""),"2610/FTSCY/WS95271 113711500.00 Sat Oct 24 2026 14:00:00 GMT+0700 (Western Indonesia Time) TABASSAM JAYA FARM")</f>
        <v>2610/FTSCY/WS95271 113711500.00 Sat Oct 24 2026 14:00:00 GMT+0700 (Western Indonesia Time) TABASSAM JAYA FARM</v>
      </c>
      <c r="D121" s="2">
        <f>IFERROR(__xludf.DUMMYFUNCTION("""COMPUTED_VALUE"""),1.137115E8)</f>
        <v>113711500</v>
      </c>
      <c r="E121" s="2"/>
      <c r="F121" s="2" t="str">
        <f>IFERROR(__xludf.DUMMYFUNCTION("""COMPUTED_VALUE"""),"DB")</f>
        <v>DB</v>
      </c>
      <c r="G121" s="2">
        <f>IFERROR(__xludf.DUMMYFUNCTION("""COMPUTED_VALUE"""),2.4242672109000003E8)</f>
        <v>242426721.1</v>
      </c>
      <c r="H121" s="2"/>
      <c r="I121" s="2" t="str">
        <f>IFERROR(__xludf.DUMMYFUNCTION("""COMPUTED_VALUE"""),"PRIBADI")</f>
        <v>PRIBADI</v>
      </c>
    </row>
    <row r="122">
      <c r="A122" s="7">
        <f>IFERROR(__xludf.DUMMYFUNCTION("""COMPUTED_VALUE"""),46321.0)</f>
        <v>46321</v>
      </c>
      <c r="B122" s="2" t="str">
        <f>IFERROR(__xludf.DUMMYFUNCTION("""COMPUTED_VALUE"""),"TRSF E-BANKING DB")</f>
        <v>TRSF E-BANKING DB</v>
      </c>
      <c r="C122" s="2" t="str">
        <f>IFERROR(__xludf.DUMMYFUNCTION("""COMPUTED_VALUE"""),"2610/FTSCY/WS95271 109599700.00 Sat Oct 24 2026 14:00:00 GMT+0700 (Western Indonesia Time) BROILER MAKMUR TAN")</f>
        <v>2610/FTSCY/WS95271 109599700.00 Sat Oct 24 2026 14:00:00 GMT+0700 (Western Indonesia Time) BROILER MAKMUR TAN</v>
      </c>
      <c r="D122" s="2">
        <f>IFERROR(__xludf.DUMMYFUNCTION("""COMPUTED_VALUE"""),1.095997E8)</f>
        <v>109599700</v>
      </c>
      <c r="E122" s="2"/>
      <c r="F122" s="2" t="str">
        <f>IFERROR(__xludf.DUMMYFUNCTION("""COMPUTED_VALUE"""),"DB")</f>
        <v>DB</v>
      </c>
      <c r="G122" s="2">
        <f>IFERROR(__xludf.DUMMYFUNCTION("""COMPUTED_VALUE"""),1.3282702109000003E8)</f>
        <v>132827021.1</v>
      </c>
      <c r="H122" s="2"/>
      <c r="I122" s="2" t="str">
        <f>IFERROR(__xludf.DUMMYFUNCTION("""COMPUTED_VALUE"""),"PRIBADI")</f>
        <v>PRIBADI</v>
      </c>
    </row>
    <row r="123">
      <c r="A123" s="7">
        <f>IFERROR(__xludf.DUMMYFUNCTION("""COMPUTED_VALUE"""),46321.0)</f>
        <v>46321</v>
      </c>
      <c r="B123" s="2" t="str">
        <f>IFERROR(__xludf.DUMMYFUNCTION("""COMPUTED_VALUE"""),"TRSF E-BANKING DB")</f>
        <v>TRSF E-BANKING DB</v>
      </c>
      <c r="C123" s="2" t="str">
        <f>IFERROR(__xludf.DUMMYFUNCTION("""COMPUTED_VALUE"""),"2610/FTFVA/WS95031 55569/PT PRIMA FAJ mlg - 40190")</f>
        <v>2610/FTFVA/WS95031 55569/PT PRIMA FAJ mlg - 40190</v>
      </c>
      <c r="D123" s="2">
        <f>IFERROR(__xludf.DUMMYFUNCTION("""COMPUTED_VALUE"""),6.726E7)</f>
        <v>67260000</v>
      </c>
      <c r="E123" s="2"/>
      <c r="F123" s="2" t="str">
        <f>IFERROR(__xludf.DUMMYFUNCTION("""COMPUTED_VALUE"""),"DB")</f>
        <v>DB</v>
      </c>
      <c r="G123" s="2">
        <f>IFERROR(__xludf.DUMMYFUNCTION("""COMPUTED_VALUE"""),6.556702109000003E7)</f>
        <v>65567021.09</v>
      </c>
      <c r="H123" s="2"/>
      <c r="I123" s="2" t="str">
        <f>IFERROR(__xludf.DUMMYFUNCTION("""COMPUTED_VALUE"""),"PRIBADI")</f>
        <v>PRIBADI</v>
      </c>
    </row>
    <row r="124">
      <c r="A124" s="7">
        <f>IFERROR(__xludf.DUMMYFUNCTION("""COMPUTED_VALUE"""),46321.0)</f>
        <v>46321</v>
      </c>
      <c r="B124" s="2" t="str">
        <f>IFERROR(__xludf.DUMMYFUNCTION("""COMPUTED_VALUE"""),"TRSF E-BANKING DB")</f>
        <v>TRSF E-BANKING DB</v>
      </c>
      <c r="C124" s="2" t="str">
        <f>IFERROR(__xludf.DUMMYFUNCTION("""COMPUTED_VALUE"""),"2610/FTSCY/WS95031 9434790.00 EKO SETIYAWAN")</f>
        <v>2610/FTSCY/WS95031 9434790.00 EKO SETIYAWAN</v>
      </c>
      <c r="D124" s="2">
        <f>IFERROR(__xludf.DUMMYFUNCTION("""COMPUTED_VALUE"""),9434790.0)</f>
        <v>9434790</v>
      </c>
      <c r="E124" s="2"/>
      <c r="F124" s="2" t="str">
        <f>IFERROR(__xludf.DUMMYFUNCTION("""COMPUTED_VALUE"""),"DB")</f>
        <v>DB</v>
      </c>
      <c r="G124" s="2">
        <f>IFERROR(__xludf.DUMMYFUNCTION("""COMPUTED_VALUE"""),1.2343957109000003E8)</f>
        <v>123439571.1</v>
      </c>
      <c r="H124" s="2">
        <f>IFERROR(__xludf.DUMMYFUNCTION("""COMPUTED_VALUE"""),1.2343957109E8)</f>
        <v>123439571.1</v>
      </c>
      <c r="I124" s="2" t="str">
        <f>IFERROR(__xludf.DUMMYFUNCTION("""COMPUTED_VALUE"""),"PRIBADI")</f>
        <v>PRIBADI</v>
      </c>
    </row>
    <row r="125">
      <c r="A125" s="7">
        <f>IFERROR(__xludf.DUMMYFUNCTION("""COMPUTED_VALUE"""),46321.0)</f>
        <v>46321</v>
      </c>
      <c r="B125" s="2" t="str">
        <f>IFERROR(__xludf.DUMMYFUNCTION("""COMPUTED_VALUE"""),"TRSF E-BANKING DB")</f>
        <v>TRSF E-BANKING DB</v>
      </c>
      <c r="C125" s="2" t="str">
        <f>IFERROR(__xludf.DUMMYFUNCTION("""COMPUTED_VALUE"""),"2610/FTSCY/WS95031 59195250.00 SUGENG RIADI")</f>
        <v>2610/FTSCY/WS95031 59195250.00 SUGENG RIADI</v>
      </c>
      <c r="D125" s="2">
        <f>IFERROR(__xludf.DUMMYFUNCTION("""COMPUTED_VALUE"""),5.919525E7)</f>
        <v>59195250</v>
      </c>
      <c r="E125" s="2"/>
      <c r="F125" s="2" t="str">
        <f>IFERROR(__xludf.DUMMYFUNCTION("""COMPUTED_VALUE"""),"DB")</f>
        <v>DB</v>
      </c>
      <c r="G125" s="2">
        <f>IFERROR(__xludf.DUMMYFUNCTION("""COMPUTED_VALUE"""),6.424432109000003E7)</f>
        <v>64244321.09</v>
      </c>
      <c r="H125" s="2"/>
      <c r="I125" s="2" t="str">
        <f>IFERROR(__xludf.DUMMYFUNCTION("""COMPUTED_VALUE"""),"PRIBADI")</f>
        <v>PRIBADI</v>
      </c>
    </row>
    <row r="126">
      <c r="A126" s="7">
        <f>IFERROR(__xludf.DUMMYFUNCTION("""COMPUTED_VALUE"""),46321.0)</f>
        <v>46321</v>
      </c>
      <c r="B126" s="2" t="str">
        <f>IFERROR(__xludf.DUMMYFUNCTION("""COMPUTED_VALUE"""),"TRSF E-BANKING DB")</f>
        <v>TRSF E-BANKING DB</v>
      </c>
      <c r="C126" s="2" t="str">
        <f>IFERROR(__xludf.DUMMYFUNCTION("""COMPUTED_VALUE"""),"2610/FTSCY/WS95031 2642460.00 sisa 2.5 jt SUNARTO")</f>
        <v>2610/FTSCY/WS95031 2642460.00 sisa 2.5 jt SUNARTO</v>
      </c>
      <c r="D126" s="2">
        <f>IFERROR(__xludf.DUMMYFUNCTION("""COMPUTED_VALUE"""),2642460.0)</f>
        <v>2642460</v>
      </c>
      <c r="E126" s="2"/>
      <c r="F126" s="2" t="str">
        <f>IFERROR(__xludf.DUMMYFUNCTION("""COMPUTED_VALUE"""),"DB")</f>
        <v>DB</v>
      </c>
      <c r="G126" s="2">
        <f>IFERROR(__xludf.DUMMYFUNCTION("""COMPUTED_VALUE"""),6.160186109000003E7)</f>
        <v>61601861.09</v>
      </c>
      <c r="H126" s="2">
        <f>IFERROR(__xludf.DUMMYFUNCTION("""COMPUTED_VALUE"""),6.160186109E7)</f>
        <v>61601861.09</v>
      </c>
      <c r="I126" s="2" t="str">
        <f>IFERROR(__xludf.DUMMYFUNCTION("""COMPUTED_VALUE"""),"PRIBADI")</f>
        <v>PRIBADI</v>
      </c>
    </row>
    <row r="127">
      <c r="A127" s="7">
        <f>IFERROR(__xludf.DUMMYFUNCTION("""COMPUTED_VALUE"""),46322.0)</f>
        <v>46322</v>
      </c>
      <c r="B127" s="2" t="str">
        <f>IFERROR(__xludf.DUMMYFUNCTION("""COMPUTED_VALUE"""),"TRSF E-BANKING DB TANGGAL :26/10")</f>
        <v>TRSF E-BANKING DB TANGGAL :26/10</v>
      </c>
      <c r="C127" s="2" t="str">
        <f>IFERROR(__xludf.DUMMYFUNCTION("""COMPUTED_VALUE"""),"2610/FTSCY/WS95271 Sat Oct 24 2026 14:00:00 GMT+0700 (Western Indonesia Time) ANUGERAH KARTIKA A")</f>
        <v>2610/FTSCY/WS95271 Sat Oct 24 2026 14:00:00 GMT+0700 (Western Indonesia Time) ANUGERAH KARTIKA A</v>
      </c>
      <c r="D127" s="2">
        <f>IFERROR(__xludf.DUMMYFUNCTION("""COMPUTED_VALUE"""),1.75E7)</f>
        <v>17500000</v>
      </c>
      <c r="E127" s="2"/>
      <c r="F127" s="2" t="str">
        <f>IFERROR(__xludf.DUMMYFUNCTION("""COMPUTED_VALUE"""),"DB")</f>
        <v>DB</v>
      </c>
      <c r="G127" s="2">
        <f>IFERROR(__xludf.DUMMYFUNCTION("""COMPUTED_VALUE"""),4.410186109000003E7)</f>
        <v>44101861.09</v>
      </c>
      <c r="H127" s="2"/>
      <c r="I127" s="2" t="str">
        <f>IFERROR(__xludf.DUMMYFUNCTION("""COMPUTED_VALUE"""),"PRIBADI")</f>
        <v>PRIBADI</v>
      </c>
    </row>
    <row r="128">
      <c r="A128" s="7">
        <f>IFERROR(__xludf.DUMMYFUNCTION("""COMPUTED_VALUE"""),46322.0)</f>
        <v>46322</v>
      </c>
      <c r="B128" s="2" t="str">
        <f>IFERROR(__xludf.DUMMYFUNCTION("""COMPUTED_VALUE"""),"TRSF E-BANKING DB TANGGAL :26/10")</f>
        <v>TRSF E-BANKING DB TANGGAL :26/10</v>
      </c>
      <c r="C128" s="2" t="str">
        <f>IFERROR(__xludf.DUMMYFUNCTION("""COMPUTED_VALUE"""),"2610/FTSCY/WS95271 Sun Oct 25 2026 14:00:00 GMT+0700 (Western Indonesia Time) ROFIQ MASJHURI")</f>
        <v>2610/FTSCY/WS95271 Sun Oct 25 2026 14:00:00 GMT+0700 (Western Indonesia Time) ROFIQ MASJHURI</v>
      </c>
      <c r="D128" s="2">
        <f>IFERROR(__xludf.DUMMYFUNCTION("""COMPUTED_VALUE"""),1.08669E7)</f>
        <v>10866900</v>
      </c>
      <c r="E128" s="2"/>
      <c r="F128" s="2" t="str">
        <f>IFERROR(__xludf.DUMMYFUNCTION("""COMPUTED_VALUE"""),"DB")</f>
        <v>DB</v>
      </c>
      <c r="G128" s="2">
        <f>IFERROR(__xludf.DUMMYFUNCTION("""COMPUTED_VALUE"""),3.3234961090000033E7)</f>
        <v>33234961.09</v>
      </c>
      <c r="H128" s="2"/>
      <c r="I128" s="2" t="str">
        <f>IFERROR(__xludf.DUMMYFUNCTION("""COMPUTED_VALUE"""),"PRIBADI")</f>
        <v>PRIBADI</v>
      </c>
    </row>
    <row r="129">
      <c r="A129" s="7">
        <f>IFERROR(__xludf.DUMMYFUNCTION("""COMPUTED_VALUE"""),46322.0)</f>
        <v>46322</v>
      </c>
      <c r="B129" s="2" t="str">
        <f>IFERROR(__xludf.DUMMYFUNCTION("""COMPUTED_VALUE"""),"TRSF E-BANKING DB TANGGAL :26/10")</f>
        <v>TRSF E-BANKING DB TANGGAL :26/10</v>
      </c>
      <c r="C129" s="2" t="str">
        <f>IFERROR(__xludf.DUMMYFUNCTION("""COMPUTED_VALUE"""),"2610/FTSCY/WS95031 pelunasan ROFIQ MASJHURI")</f>
        <v>2610/FTSCY/WS95031 pelunasan ROFIQ MASJHURI</v>
      </c>
      <c r="D129" s="2">
        <f>IFERROR(__xludf.DUMMYFUNCTION("""COMPUTED_VALUE"""),1.6E7)</f>
        <v>16000000</v>
      </c>
      <c r="E129" s="2"/>
      <c r="F129" s="2" t="str">
        <f>IFERROR(__xludf.DUMMYFUNCTION("""COMPUTED_VALUE"""),"DB")</f>
        <v>DB</v>
      </c>
      <c r="G129" s="2">
        <f>IFERROR(__xludf.DUMMYFUNCTION("""COMPUTED_VALUE"""),1.7234961090000033E7)</f>
        <v>17234961.09</v>
      </c>
      <c r="H129" s="2"/>
      <c r="I129" s="2" t="str">
        <f>IFERROR(__xludf.DUMMYFUNCTION("""COMPUTED_VALUE"""),"PRIBADI")</f>
        <v>PRIBADI</v>
      </c>
    </row>
    <row r="130">
      <c r="A130" s="7">
        <f>IFERROR(__xludf.DUMMYFUNCTION("""COMPUTED_VALUE"""),46322.0)</f>
        <v>46322</v>
      </c>
      <c r="B130" s="2" t="str">
        <f>IFERROR(__xludf.DUMMYFUNCTION("""COMPUTED_VALUE"""),"TRSF E-BANKING DB TANGGAL :26/10")</f>
        <v>TRSF E-BANKING DB TANGGAL :26/10</v>
      </c>
      <c r="C130" s="2" t="str">
        <f>IFERROR(__xludf.DUMMYFUNCTION("""COMPUTED_VALUE"""),"2610/FTSCY/WS95031 NURUL AINI")</f>
        <v>2610/FTSCY/WS95031 NURUL AINI</v>
      </c>
      <c r="D130" s="2">
        <f>IFERROR(__xludf.DUMMYFUNCTION("""COMPUTED_VALUE"""),9305000.0)</f>
        <v>9305000</v>
      </c>
      <c r="E130" s="2"/>
      <c r="F130" s="2" t="str">
        <f>IFERROR(__xludf.DUMMYFUNCTION("""COMPUTED_VALUE"""),"DB")</f>
        <v>DB</v>
      </c>
      <c r="G130" s="2">
        <f>IFERROR(__xludf.DUMMYFUNCTION("""COMPUTED_VALUE"""),3.2978001090000033E7)</f>
        <v>32978001.09</v>
      </c>
      <c r="H130" s="2"/>
      <c r="I130" s="2" t="str">
        <f>IFERROR(__xludf.DUMMYFUNCTION("""COMPUTED_VALUE"""),"PRIBADI")</f>
        <v>PRIBADI</v>
      </c>
    </row>
    <row r="131">
      <c r="A131" s="7">
        <f>IFERROR(__xludf.DUMMYFUNCTION("""COMPUTED_VALUE"""),46322.0)</f>
        <v>46322</v>
      </c>
      <c r="B131" s="2" t="str">
        <f>IFERROR(__xludf.DUMMYFUNCTION("""COMPUTED_VALUE"""),"TRSF E-BANKING DB")</f>
        <v>TRSF E-BANKING DB</v>
      </c>
      <c r="C131" s="2" t="str">
        <f>IFERROR(__xludf.DUMMYFUNCTION("""COMPUTED_VALUE"""),"2710/FTSCY/WS95271 54737250.00 Sun Oct 25 2026 14:00:00 GMT+0700 (Western Indonesia Time) TABASSAM AZ ZUFAR")</f>
        <v>2710/FTSCY/WS95271 54737250.00 Sun Oct 25 2026 14:00:00 GMT+0700 (Western Indonesia Time) TABASSAM AZ ZUFAR</v>
      </c>
      <c r="D131" s="2">
        <f>IFERROR(__xludf.DUMMYFUNCTION("""COMPUTED_VALUE"""),5.473725E7)</f>
        <v>54737250</v>
      </c>
      <c r="E131" s="2"/>
      <c r="F131" s="2" t="str">
        <f>IFERROR(__xludf.DUMMYFUNCTION("""COMPUTED_VALUE"""),"DB")</f>
        <v>DB</v>
      </c>
      <c r="G131" s="2">
        <f>IFERROR(__xludf.DUMMYFUNCTION("""COMPUTED_VALUE"""),9.912075109000003E7)</f>
        <v>99120751.09</v>
      </c>
      <c r="H131" s="2"/>
      <c r="I131" s="2" t="str">
        <f>IFERROR(__xludf.DUMMYFUNCTION("""COMPUTED_VALUE"""),"PRIBADI")</f>
        <v>PRIBADI</v>
      </c>
    </row>
    <row r="132">
      <c r="A132" s="7">
        <f>IFERROR(__xludf.DUMMYFUNCTION("""COMPUTED_VALUE"""),46322.0)</f>
        <v>46322</v>
      </c>
      <c r="B132" s="2" t="str">
        <f>IFERROR(__xludf.DUMMYFUNCTION("""COMPUTED_VALUE"""),"TRSF E-BANKING DB")</f>
        <v>TRSF E-BANKING DB</v>
      </c>
      <c r="C132" s="2" t="str">
        <f>IFERROR(__xludf.DUMMYFUNCTION("""COMPUTED_VALUE"""),"2710/FTSCY/WS95271 52539300.00 Sun Oct 25 2026 14:00:00 GMT+0700 (Western Indonesia Time) TABASSAM AL HATTAK")</f>
        <v>2710/FTSCY/WS95271 52539300.00 Sun Oct 25 2026 14:00:00 GMT+0700 (Western Indonesia Time) TABASSAM AL HATTAK</v>
      </c>
      <c r="D132" s="2">
        <f>IFERROR(__xludf.DUMMYFUNCTION("""COMPUTED_VALUE"""),5.25393E7)</f>
        <v>52539300</v>
      </c>
      <c r="E132" s="2"/>
      <c r="F132" s="2" t="str">
        <f>IFERROR(__xludf.DUMMYFUNCTION("""COMPUTED_VALUE"""),"DB")</f>
        <v>DB</v>
      </c>
      <c r="G132" s="2">
        <f>IFERROR(__xludf.DUMMYFUNCTION("""COMPUTED_VALUE"""),4.658145109000003E7)</f>
        <v>46581451.09</v>
      </c>
      <c r="H132" s="2"/>
      <c r="I132" s="2" t="str">
        <f>IFERROR(__xludf.DUMMYFUNCTION("""COMPUTED_VALUE"""),"PRIBADI")</f>
        <v>PRIBADI</v>
      </c>
    </row>
    <row r="133">
      <c r="A133" s="7">
        <f>IFERROR(__xludf.DUMMYFUNCTION("""COMPUTED_VALUE"""),46322.0)</f>
        <v>46322</v>
      </c>
      <c r="B133" s="2" t="str">
        <f>IFERROR(__xludf.DUMMYFUNCTION("""COMPUTED_VALUE"""),"TRSF E-BANKING DB")</f>
        <v>TRSF E-BANKING DB</v>
      </c>
      <c r="C133" s="2" t="str">
        <f>IFERROR(__xludf.DUMMYFUNCTION("""COMPUTED_VALUE"""),"2710/FTSCY/WS95271 36310300.00 Mon Oct 26 2026 14:00:00 GMT+0700 (Western Indonesia Time) ANUGERAH KARTIKA A")</f>
        <v>2710/FTSCY/WS95271 36310300.00 Mon Oct 26 2026 14:00:00 GMT+0700 (Western Indonesia Time) ANUGERAH KARTIKA A</v>
      </c>
      <c r="D133" s="2">
        <f>IFERROR(__xludf.DUMMYFUNCTION("""COMPUTED_VALUE"""),3.63103E7)</f>
        <v>36310300</v>
      </c>
      <c r="E133" s="2"/>
      <c r="F133" s="2" t="str">
        <f>IFERROR(__xludf.DUMMYFUNCTION("""COMPUTED_VALUE"""),"DB")</f>
        <v>DB</v>
      </c>
      <c r="G133" s="2">
        <f>IFERROR(__xludf.DUMMYFUNCTION("""COMPUTED_VALUE"""),1.0271151090000033E7)</f>
        <v>10271151.09</v>
      </c>
      <c r="H133" s="2">
        <f>IFERROR(__xludf.DUMMYFUNCTION("""COMPUTED_VALUE"""),1.027115109E7)</f>
        <v>10271151.09</v>
      </c>
      <c r="I133" s="2" t="str">
        <f>IFERROR(__xludf.DUMMYFUNCTION("""COMPUTED_VALUE"""),"PRIBADI")</f>
        <v>PRIBADI</v>
      </c>
    </row>
    <row r="134">
      <c r="A134" s="7">
        <f>IFERROR(__xludf.DUMMYFUNCTION("""COMPUTED_VALUE"""),46322.0)</f>
        <v>46322</v>
      </c>
      <c r="B134" s="2" t="str">
        <f>IFERROR(__xludf.DUMMYFUNCTION("""COMPUTED_VALUE"""),"TRSF E-BANKING DB")</f>
        <v>TRSF E-BANKING DB</v>
      </c>
      <c r="C134" s="2" t="str">
        <f>IFERROR(__xludf.DUMMYFUNCTION("""COMPUTED_VALUE"""),"2710/FTSCY/WS95271 5516020.00 krg 10 jt MUJIANTO")</f>
        <v>2710/FTSCY/WS95271 5516020.00 krg 10 jt MUJIANTO</v>
      </c>
      <c r="D134" s="2">
        <f>IFERROR(__xludf.DUMMYFUNCTION("""COMPUTED_VALUE"""),5516020.0)</f>
        <v>5516020</v>
      </c>
      <c r="E134" s="2"/>
      <c r="F134" s="2" t="str">
        <f>IFERROR(__xludf.DUMMYFUNCTION("""COMPUTED_VALUE"""),"DB")</f>
        <v>DB</v>
      </c>
      <c r="G134" s="2">
        <f>IFERROR(__xludf.DUMMYFUNCTION("""COMPUTED_VALUE"""),4755131.090000033)</f>
        <v>4755131.09</v>
      </c>
      <c r="H134" s="2">
        <f>IFERROR(__xludf.DUMMYFUNCTION("""COMPUTED_VALUE"""),4755131.09)</f>
        <v>4755131.09</v>
      </c>
      <c r="I134" s="2" t="str">
        <f>IFERROR(__xludf.DUMMYFUNCTION("""COMPUTED_VALUE"""),"PRIBADI")</f>
        <v>PRIBADI</v>
      </c>
    </row>
    <row r="135">
      <c r="A135" s="7">
        <f>IFERROR(__xludf.DUMMYFUNCTION("""COMPUTED_VALUE"""),46322.0)</f>
        <v>46322</v>
      </c>
      <c r="B135" s="2" t="str">
        <f>IFERROR(__xludf.DUMMYFUNCTION("""COMPUTED_VALUE"""),"TRSF E-BANKING DB")</f>
        <v>TRSF E-BANKING DB</v>
      </c>
      <c r="C135" s="2" t="str">
        <f>IFERROR(__xludf.DUMMYFUNCTION("""COMPUTED_VALUE"""),"2710/FTSCY/WS95271 1719110.00 HERMAWAN")</f>
        <v>2710/FTSCY/WS95271 1719110.00 HERMAWAN</v>
      </c>
      <c r="D135" s="2">
        <f>IFERROR(__xludf.DUMMYFUNCTION("""COMPUTED_VALUE"""),1719110.0)</f>
        <v>1719110</v>
      </c>
      <c r="E135" s="2"/>
      <c r="F135" s="2" t="str">
        <f>IFERROR(__xludf.DUMMYFUNCTION("""COMPUTED_VALUE"""),"DB")</f>
        <v>DB</v>
      </c>
      <c r="G135" s="2">
        <f>IFERROR(__xludf.DUMMYFUNCTION("""COMPUTED_VALUE"""),3036021.0900000334)</f>
        <v>3036021.09</v>
      </c>
      <c r="H135" s="2"/>
      <c r="I135" s="2" t="str">
        <f>IFERROR(__xludf.DUMMYFUNCTION("""COMPUTED_VALUE"""),"PRIBADI")</f>
        <v>PRIBADI</v>
      </c>
    </row>
    <row r="136">
      <c r="A136" s="7">
        <f>IFERROR(__xludf.DUMMYFUNCTION("""COMPUTED_VALUE"""),46322.0)</f>
        <v>46322</v>
      </c>
      <c r="B136" s="2" t="str">
        <f>IFERROR(__xludf.DUMMYFUNCTION("""COMPUTED_VALUE"""),"TRSF E-BANKING DB")</f>
        <v>TRSF E-BANKING DB</v>
      </c>
      <c r="C136" s="2" t="str">
        <f>IFERROR(__xludf.DUMMYFUNCTION("""COMPUTED_VALUE"""),"2710/FTSCY/WS95271 7400000.00 TOTOK HIDAYAT")</f>
        <v>2710/FTSCY/WS95271 7400000.00 TOTOK HIDAYAT</v>
      </c>
      <c r="D136" s="2">
        <f>IFERROR(__xludf.DUMMYFUNCTION("""COMPUTED_VALUE"""),7400000.0)</f>
        <v>7400000</v>
      </c>
      <c r="E136" s="2"/>
      <c r="F136" s="2" t="str">
        <f>IFERROR(__xludf.DUMMYFUNCTION("""COMPUTED_VALUE"""),"DB")</f>
        <v>DB</v>
      </c>
      <c r="G136" s="2">
        <f>IFERROR(__xludf.DUMMYFUNCTION("""COMPUTED_VALUE"""),5.444492109000003E7)</f>
        <v>54444921.09</v>
      </c>
      <c r="H136" s="2"/>
      <c r="I136" s="2" t="str">
        <f>IFERROR(__xludf.DUMMYFUNCTION("""COMPUTED_VALUE"""),"PRIBADI")</f>
        <v>PRIBADI</v>
      </c>
    </row>
    <row r="137">
      <c r="A137" s="7">
        <f>IFERROR(__xludf.DUMMYFUNCTION("""COMPUTED_VALUE"""),46322.0)</f>
        <v>46322</v>
      </c>
      <c r="B137" s="2" t="str">
        <f>IFERROR(__xludf.DUMMYFUNCTION("""COMPUTED_VALUE"""),"BYR VIA E-BANKING")</f>
        <v>BYR VIA E-BANKING</v>
      </c>
      <c r="C137" s="2" t="str">
        <f>IFERROR(__xludf.DUMMYFUNCTION("""COMPUTED_VALUE"""),"27/10  WSID9503102 1220 TELKOMSEL 82318368518 MUHAMMAD HAIRUL MA")</f>
        <v>27/10  WSID9503102 1220 TELKOMSEL 82318368518 MUHAMMAD HAIRUL MA</v>
      </c>
      <c r="D137" s="2">
        <f>IFERROR(__xludf.DUMMYFUNCTION("""COMPUTED_VALUE"""),102000.0)</f>
        <v>102000</v>
      </c>
      <c r="E137" s="2"/>
      <c r="F137" s="2"/>
      <c r="G137" s="2">
        <f>IFERROR(__xludf.DUMMYFUNCTION("""COMPUTED_VALUE"""),2.3323950109000003E8)</f>
        <v>233239501.1</v>
      </c>
      <c r="H137" s="2"/>
      <c r="I137" s="2" t="str">
        <f>IFERROR(__xludf.DUMMYFUNCTION("""COMPUTED_VALUE"""),"PRIBADI")</f>
        <v>PRIBADI</v>
      </c>
    </row>
    <row r="138">
      <c r="A138" s="7">
        <f>IFERROR(__xludf.DUMMYFUNCTION("""COMPUTED_VALUE"""),46322.0)</f>
        <v>46322</v>
      </c>
      <c r="B138" s="2" t="str">
        <f>IFERROR(__xludf.DUMMYFUNCTION("""COMPUTED_VALUE"""),"TRSF E-BANKING DB")</f>
        <v>TRSF E-BANKING DB</v>
      </c>
      <c r="C138" s="2" t="str">
        <f>IFERROR(__xludf.DUMMYFUNCTION("""COMPUTED_VALUE"""),"2710/FTSCY/WS95031 36404500.00 pelunasan SUGENG RIADI")</f>
        <v>2710/FTSCY/WS95031 36404500.00 pelunasan SUGENG RIADI</v>
      </c>
      <c r="D138" s="2">
        <f>IFERROR(__xludf.DUMMYFUNCTION("""COMPUTED_VALUE"""),3.64045E7)</f>
        <v>36404500</v>
      </c>
      <c r="E138" s="2"/>
      <c r="F138" s="2" t="str">
        <f>IFERROR(__xludf.DUMMYFUNCTION("""COMPUTED_VALUE"""),"DB")</f>
        <v>DB</v>
      </c>
      <c r="G138" s="2">
        <f>IFERROR(__xludf.DUMMYFUNCTION("""COMPUTED_VALUE"""),2.6627384109000003E8)</f>
        <v>266273841.1</v>
      </c>
      <c r="H138" s="2"/>
      <c r="I138" s="2" t="str">
        <f>IFERROR(__xludf.DUMMYFUNCTION("""COMPUTED_VALUE"""),"PRIBADI")</f>
        <v>PRIBADI</v>
      </c>
    </row>
    <row r="139">
      <c r="A139" s="7">
        <f>IFERROR(__xludf.DUMMYFUNCTION("""COMPUTED_VALUE"""),46322.0)</f>
        <v>46322</v>
      </c>
      <c r="B139" s="2" t="str">
        <f>IFERROR(__xludf.DUMMYFUNCTION("""COMPUTED_VALUE"""),"TRSF E-BANKING DB")</f>
        <v>TRSF E-BANKING DB</v>
      </c>
      <c r="C139" s="2" t="str">
        <f>IFERROR(__xludf.DUMMYFUNCTION("""COMPUTED_VALUE"""),"2710/FTSCY/WS95031 15000000.00 BRANTAS ABADI SENT")</f>
        <v>2710/FTSCY/WS95031 15000000.00 BRANTAS ABADI SENT</v>
      </c>
      <c r="D139" s="2">
        <f>IFERROR(__xludf.DUMMYFUNCTION("""COMPUTED_VALUE"""),1.5E7)</f>
        <v>15000000</v>
      </c>
      <c r="E139" s="2"/>
      <c r="F139" s="2" t="str">
        <f>IFERROR(__xludf.DUMMYFUNCTION("""COMPUTED_VALUE"""),"DB")</f>
        <v>DB</v>
      </c>
      <c r="G139" s="2">
        <f>IFERROR(__xludf.DUMMYFUNCTION("""COMPUTED_VALUE"""),2.5127384109000003E8)</f>
        <v>251273841.1</v>
      </c>
      <c r="H139" s="2"/>
      <c r="I139" s="2" t="str">
        <f>IFERROR(__xludf.DUMMYFUNCTION("""COMPUTED_VALUE"""),"PRIBADI")</f>
        <v>PRIBADI</v>
      </c>
    </row>
    <row r="140">
      <c r="A140" s="7">
        <f>IFERROR(__xludf.DUMMYFUNCTION("""COMPUTED_VALUE"""),46322.0)</f>
        <v>46322</v>
      </c>
      <c r="B140" s="2" t="str">
        <f>IFERROR(__xludf.DUMMYFUNCTION("""COMPUTED_VALUE"""),"TRSF E-BANKING DB")</f>
        <v>TRSF E-BANKING DB</v>
      </c>
      <c r="C140" s="2" t="str">
        <f>IFERROR(__xludf.DUMMYFUNCTION("""COMPUTED_VALUE"""),"2710/FTSCY/WS95271 75000000.00 pelunasan BROILER MAKMUR TAN")</f>
        <v>2710/FTSCY/WS95271 75000000.00 pelunasan BROILER MAKMUR TAN</v>
      </c>
      <c r="D140" s="2">
        <f>IFERROR(__xludf.DUMMYFUNCTION("""COMPUTED_VALUE"""),7.5E7)</f>
        <v>75000000</v>
      </c>
      <c r="E140" s="2"/>
      <c r="F140" s="2" t="str">
        <f>IFERROR(__xludf.DUMMYFUNCTION("""COMPUTED_VALUE"""),"DB")</f>
        <v>DB</v>
      </c>
      <c r="G140" s="2">
        <f>IFERROR(__xludf.DUMMYFUNCTION("""COMPUTED_VALUE"""),1.7627384109000003E8)</f>
        <v>176273841.1</v>
      </c>
      <c r="H140" s="2"/>
      <c r="I140" s="2" t="str">
        <f>IFERROR(__xludf.DUMMYFUNCTION("""COMPUTED_VALUE"""),"PRIBADI")</f>
        <v>PRIBADI</v>
      </c>
    </row>
    <row r="141">
      <c r="A141" s="7">
        <f>IFERROR(__xludf.DUMMYFUNCTION("""COMPUTED_VALUE"""),46322.0)</f>
        <v>46322</v>
      </c>
      <c r="B141" s="2" t="str">
        <f>IFERROR(__xludf.DUMMYFUNCTION("""COMPUTED_VALUE"""),"TRSF E-BANKING DB")</f>
        <v>TRSF E-BANKING DB</v>
      </c>
      <c r="C141" s="2" t="str">
        <f>IFERROR(__xludf.DUMMYFUNCTION("""COMPUTED_VALUE"""),"2710/FTSCY/WS95031 20836970.00 EKO SETIYAWAN")</f>
        <v>2710/FTSCY/WS95031 20836970.00 EKO SETIYAWAN</v>
      </c>
      <c r="D141" s="2">
        <f>IFERROR(__xludf.DUMMYFUNCTION("""COMPUTED_VALUE"""),2.083697E7)</f>
        <v>20836970</v>
      </c>
      <c r="E141" s="2"/>
      <c r="F141" s="2" t="str">
        <f>IFERROR(__xludf.DUMMYFUNCTION("""COMPUTED_VALUE"""),"DB")</f>
        <v>DB</v>
      </c>
      <c r="G141" s="2">
        <f>IFERROR(__xludf.DUMMYFUNCTION("""COMPUTED_VALUE"""),1.5543687109000003E8)</f>
        <v>155436871.1</v>
      </c>
      <c r="H141" s="2"/>
      <c r="I141" s="2" t="str">
        <f>IFERROR(__xludf.DUMMYFUNCTION("""COMPUTED_VALUE"""),"PRIBADI")</f>
        <v>PRIBADI</v>
      </c>
    </row>
    <row r="142">
      <c r="A142" s="7">
        <f>IFERROR(__xludf.DUMMYFUNCTION("""COMPUTED_VALUE"""),46322.0)</f>
        <v>46322</v>
      </c>
      <c r="B142" s="2" t="str">
        <f>IFERROR(__xludf.DUMMYFUNCTION("""COMPUTED_VALUE"""),"TRSF E-BANKING DB")</f>
        <v>TRSF E-BANKING DB</v>
      </c>
      <c r="C142" s="2" t="str">
        <f>IFERROR(__xludf.DUMMYFUNCTION("""COMPUTED_VALUE"""),"2710/FTSCY/WS95271 3000000.00 SUNARTO")</f>
        <v>2710/FTSCY/WS95271 3000000.00 SUNARTO</v>
      </c>
      <c r="D142" s="2">
        <f>IFERROR(__xludf.DUMMYFUNCTION("""COMPUTED_VALUE"""),3000000.0)</f>
        <v>3000000</v>
      </c>
      <c r="E142" s="2"/>
      <c r="F142" s="2" t="str">
        <f>IFERROR(__xludf.DUMMYFUNCTION("""COMPUTED_VALUE"""),"DB")</f>
        <v>DB</v>
      </c>
      <c r="G142" s="2">
        <f>IFERROR(__xludf.DUMMYFUNCTION("""COMPUTED_VALUE"""),1.5243687109000003E8)</f>
        <v>152436871.1</v>
      </c>
      <c r="H142" s="2"/>
      <c r="I142" s="2" t="str">
        <f>IFERROR(__xludf.DUMMYFUNCTION("""COMPUTED_VALUE"""),"PRIBADI")</f>
        <v>PRIBADI</v>
      </c>
    </row>
    <row r="143">
      <c r="A143" s="7">
        <f>IFERROR(__xludf.DUMMYFUNCTION("""COMPUTED_VALUE"""),46322.0)</f>
        <v>46322</v>
      </c>
      <c r="B143" s="2" t="str">
        <f>IFERROR(__xludf.DUMMYFUNCTION("""COMPUTED_VALUE"""),"TRSF E-BANKING DB")</f>
        <v>TRSF E-BANKING DB</v>
      </c>
      <c r="C143" s="2" t="str">
        <f>IFERROR(__xludf.DUMMYFUNCTION("""COMPUTED_VALUE"""),"2710/FTSCY/WS95031 2879160.00 FAJAR ANDREANZAH")</f>
        <v>2710/FTSCY/WS95031 2879160.00 FAJAR ANDREANZAH</v>
      </c>
      <c r="D143" s="2">
        <f>IFERROR(__xludf.DUMMYFUNCTION("""COMPUTED_VALUE"""),2879160.0)</f>
        <v>2879160</v>
      </c>
      <c r="E143" s="2"/>
      <c r="F143" s="2" t="str">
        <f>IFERROR(__xludf.DUMMYFUNCTION("""COMPUTED_VALUE"""),"DB")</f>
        <v>DB</v>
      </c>
      <c r="G143" s="2">
        <f>IFERROR(__xludf.DUMMYFUNCTION("""COMPUTED_VALUE"""),1.4955771109000003E8)</f>
        <v>149557711.1</v>
      </c>
      <c r="H143" s="2"/>
      <c r="I143" s="2" t="str">
        <f>IFERROR(__xludf.DUMMYFUNCTION("""COMPUTED_VALUE"""),"PRIBADI")</f>
        <v>PRIBADI</v>
      </c>
    </row>
    <row r="144">
      <c r="A144" s="7">
        <f>IFERROR(__xludf.DUMMYFUNCTION("""COMPUTED_VALUE"""),46322.0)</f>
        <v>46322</v>
      </c>
      <c r="B144" s="2" t="str">
        <f>IFERROR(__xludf.DUMMYFUNCTION("""COMPUTED_VALUE"""),"TRSF E-BANKING DB")</f>
        <v>TRSF E-BANKING DB</v>
      </c>
      <c r="C144" s="2" t="str">
        <f>IFERROR(__xludf.DUMMYFUNCTION("""COMPUTED_VALUE"""),"2710/FTSCY/WS95011 109809030.00 Mon Oct 26 2026 14:00:00 GMT+0700 (Western Indonesia Time) RUKUN MITRA BERSAM")</f>
        <v>2710/FTSCY/WS95011 109809030.00 Mon Oct 26 2026 14:00:00 GMT+0700 (Western Indonesia Time) RUKUN MITRA BERSAM</v>
      </c>
      <c r="D144" s="2">
        <f>IFERROR(__xludf.DUMMYFUNCTION("""COMPUTED_VALUE"""),1.0980903E8)</f>
        <v>109809030</v>
      </c>
      <c r="E144" s="2"/>
      <c r="F144" s="2" t="str">
        <f>IFERROR(__xludf.DUMMYFUNCTION("""COMPUTED_VALUE"""),"DB")</f>
        <v>DB</v>
      </c>
      <c r="G144" s="2">
        <f>IFERROR(__xludf.DUMMYFUNCTION("""COMPUTED_VALUE"""),3.974868109000003E7)</f>
        <v>39748681.09</v>
      </c>
      <c r="H144" s="2">
        <f>IFERROR(__xludf.DUMMYFUNCTION("""COMPUTED_VALUE"""),3.974868109E7)</f>
        <v>39748681.09</v>
      </c>
      <c r="I144" s="2" t="str">
        <f>IFERROR(__xludf.DUMMYFUNCTION("""COMPUTED_VALUE"""),"PRIBADI")</f>
        <v>PRIBADI</v>
      </c>
    </row>
    <row r="145">
      <c r="A145" s="7">
        <f>IFERROR(__xludf.DUMMYFUNCTION("""COMPUTED_VALUE"""),46323.0)</f>
        <v>46323</v>
      </c>
      <c r="B145" s="2" t="str">
        <f>IFERROR(__xludf.DUMMYFUNCTION("""COMPUTED_VALUE"""),"TARIKAN ATM 28/10")</f>
        <v>TARIKAN ATM 28/10</v>
      </c>
      <c r="C145" s="2" t="str">
        <f>IFERROR(__xludf.DUMMYFUNCTION("""COMPUTED_VALUE"""),"TARIKAN ATM 28/10")</f>
        <v>TARIKAN ATM 28/10</v>
      </c>
      <c r="D145" s="2">
        <f>IFERROR(__xludf.DUMMYFUNCTION("""COMPUTED_VALUE"""),400000.0)</f>
        <v>400000</v>
      </c>
      <c r="E145" s="2"/>
      <c r="F145" s="2"/>
      <c r="G145" s="2">
        <f>IFERROR(__xludf.DUMMYFUNCTION("""COMPUTED_VALUE"""),3.7758058109000003E8)</f>
        <v>377580581.1</v>
      </c>
      <c r="H145" s="2"/>
      <c r="I145" s="2" t="str">
        <f>IFERROR(__xludf.DUMMYFUNCTION("""COMPUTED_VALUE"""),"PRIBADI")</f>
        <v>PRIBADI</v>
      </c>
    </row>
    <row r="146">
      <c r="A146" s="7">
        <f>IFERROR(__xludf.DUMMYFUNCTION("""COMPUTED_VALUE"""),46323.0)</f>
        <v>46323</v>
      </c>
      <c r="B146" s="2" t="str">
        <f>IFERROR(__xludf.DUMMYFUNCTION("""COMPUTED_VALUE"""),"BYR VIA E-BANKING")</f>
        <v>BYR VIA E-BANKING</v>
      </c>
      <c r="C146" s="2" t="str">
        <f>IFERROR(__xludf.DUMMYFUNCTION("""COMPUTED_VALUE"""),"28/10  WSID9503102 0507 FIF 803001249921 MUHAMMAD HAIRUL MA")</f>
        <v>28/10  WSID9503102 0507 FIF 803001249921 MUHAMMAD HAIRUL MA</v>
      </c>
      <c r="D146" s="2">
        <f>IFERROR(__xludf.DUMMYFUNCTION("""COMPUTED_VALUE"""),768500.0)</f>
        <v>768500</v>
      </c>
      <c r="E146" s="2"/>
      <c r="F146" s="2"/>
      <c r="G146" s="2">
        <f>IFERROR(__xludf.DUMMYFUNCTION("""COMPUTED_VALUE"""),5.5181208109E8)</f>
        <v>551812081.1</v>
      </c>
      <c r="H146" s="2"/>
      <c r="I146" s="2" t="str">
        <f>IFERROR(__xludf.DUMMYFUNCTION("""COMPUTED_VALUE"""),"PRIBADI")</f>
        <v>PRIBADI</v>
      </c>
    </row>
    <row r="147">
      <c r="A147" s="7">
        <f>IFERROR(__xludf.DUMMYFUNCTION("""COMPUTED_VALUE"""),46323.0)</f>
        <v>46323</v>
      </c>
      <c r="B147" s="2" t="str">
        <f>IFERROR(__xludf.DUMMYFUNCTION("""COMPUTED_VALUE"""),"TRSF E-BANKING DB")</f>
        <v>TRSF E-BANKING DB</v>
      </c>
      <c r="C147" s="2" t="str">
        <f>IFERROR(__xludf.DUMMYFUNCTION("""COMPUTED_VALUE"""),"2810/FTSCY/WS95031 2500000.00 BELA PRAMUDITA")</f>
        <v>2810/FTSCY/WS95031 2500000.00 BELA PRAMUDITA</v>
      </c>
      <c r="D147" s="2">
        <f>IFERROR(__xludf.DUMMYFUNCTION("""COMPUTED_VALUE"""),2500000.0)</f>
        <v>2500000</v>
      </c>
      <c r="E147" s="2"/>
      <c r="F147" s="2" t="str">
        <f>IFERROR(__xludf.DUMMYFUNCTION("""COMPUTED_VALUE"""),"DB")</f>
        <v>DB</v>
      </c>
      <c r="G147" s="2">
        <f>IFERROR(__xludf.DUMMYFUNCTION("""COMPUTED_VALUE"""),5.4931208109E8)</f>
        <v>549312081.1</v>
      </c>
      <c r="H147" s="2"/>
      <c r="I147" s="2" t="str">
        <f>IFERROR(__xludf.DUMMYFUNCTION("""COMPUTED_VALUE"""),"PRIBADI")</f>
        <v>PRIBADI</v>
      </c>
    </row>
    <row r="148">
      <c r="A148" s="7">
        <f>IFERROR(__xludf.DUMMYFUNCTION("""COMPUTED_VALUE"""),46323.0)</f>
        <v>46323</v>
      </c>
      <c r="B148" s="2" t="str">
        <f>IFERROR(__xludf.DUMMYFUNCTION("""COMPUTED_VALUE"""),"TRSF E-BANKING DB")</f>
        <v>TRSF E-BANKING DB</v>
      </c>
      <c r="C148" s="2" t="str">
        <f>IFERROR(__xludf.DUMMYFUNCTION("""COMPUTED_VALUE"""),"2810/FTSCY/WS95011 100759020.00 Mon Oct 26 2026 14:00:00 GMT+0700 (Western Indonesia Time) BINTANG TAMA SANTO")</f>
        <v>2810/FTSCY/WS95011 100759020.00 Mon Oct 26 2026 14:00:00 GMT+0700 (Western Indonesia Time) BINTANG TAMA SANTO</v>
      </c>
      <c r="D148" s="2">
        <f>IFERROR(__xludf.DUMMYFUNCTION("""COMPUTED_VALUE"""),1.0075902E8)</f>
        <v>100759020</v>
      </c>
      <c r="E148" s="2"/>
      <c r="F148" s="2" t="str">
        <f>IFERROR(__xludf.DUMMYFUNCTION("""COMPUTED_VALUE"""),"DB")</f>
        <v>DB</v>
      </c>
      <c r="G148" s="2">
        <f>IFERROR(__xludf.DUMMYFUNCTION("""COMPUTED_VALUE"""),5.7051956109E8)</f>
        <v>570519561.1</v>
      </c>
      <c r="H148" s="2"/>
      <c r="I148" s="2" t="str">
        <f>IFERROR(__xludf.DUMMYFUNCTION("""COMPUTED_VALUE"""),"PRIBADI")</f>
        <v>PRIBADI</v>
      </c>
    </row>
    <row r="149">
      <c r="A149" s="7">
        <f>IFERROR(__xludf.DUMMYFUNCTION("""COMPUTED_VALUE"""),46323.0)</f>
        <v>46323</v>
      </c>
      <c r="B149" s="2" t="str">
        <f>IFERROR(__xludf.DUMMYFUNCTION("""COMPUTED_VALUE"""),"TRSF E-BANKING DB")</f>
        <v>TRSF E-BANKING DB</v>
      </c>
      <c r="C149" s="2" t="str">
        <f>IFERROR(__xludf.DUMMYFUNCTION("""COMPUTED_VALUE"""),"2810/FTSCY/WS95011 189883800.00 Mon Oct 26 2026 14:00:00 GMT+0700 (Western Indonesia Time) PITIK DIGITAL INDO")</f>
        <v>2810/FTSCY/WS95011 189883800.00 Mon Oct 26 2026 14:00:00 GMT+0700 (Western Indonesia Time) PITIK DIGITAL INDO</v>
      </c>
      <c r="D149" s="2">
        <f>IFERROR(__xludf.DUMMYFUNCTION("""COMPUTED_VALUE"""),1.898838E8)</f>
        <v>189883800</v>
      </c>
      <c r="E149" s="2"/>
      <c r="F149" s="2" t="str">
        <f>IFERROR(__xludf.DUMMYFUNCTION("""COMPUTED_VALUE"""),"DB")</f>
        <v>DB</v>
      </c>
      <c r="G149" s="2">
        <f>IFERROR(__xludf.DUMMYFUNCTION("""COMPUTED_VALUE"""),3.8063576109000003E8)</f>
        <v>380635761.1</v>
      </c>
      <c r="H149" s="2"/>
      <c r="I149" s="2" t="str">
        <f>IFERROR(__xludf.DUMMYFUNCTION("""COMPUTED_VALUE"""),"PRIBADI")</f>
        <v>PRIBADI</v>
      </c>
    </row>
    <row r="150">
      <c r="A150" s="7">
        <f>IFERROR(__xludf.DUMMYFUNCTION("""COMPUTED_VALUE"""),46323.0)</f>
        <v>46323</v>
      </c>
      <c r="B150" s="2" t="str">
        <f>IFERROR(__xludf.DUMMYFUNCTION("""COMPUTED_VALUE"""),"TRSF E-BANKING DB")</f>
        <v>TRSF E-BANKING DB</v>
      </c>
      <c r="C150" s="2" t="str">
        <f>IFERROR(__xludf.DUMMYFUNCTION("""COMPUTED_VALUE"""),"2810/FTSCY/WS95011 51493750.00 Mon Oct 26 2026 14:00:00 GMT+0700 (Western Indonesia Time) BINTANG TAMA SANTO")</f>
        <v>2810/FTSCY/WS95011 51493750.00 Mon Oct 26 2026 14:00:00 GMT+0700 (Western Indonesia Time) BINTANG TAMA SANTO</v>
      </c>
      <c r="D150" s="2">
        <f>IFERROR(__xludf.DUMMYFUNCTION("""COMPUTED_VALUE"""),5.149375E7)</f>
        <v>51493750</v>
      </c>
      <c r="E150" s="2"/>
      <c r="F150" s="2" t="str">
        <f>IFERROR(__xludf.DUMMYFUNCTION("""COMPUTED_VALUE"""),"DB")</f>
        <v>DB</v>
      </c>
      <c r="G150" s="2">
        <f>IFERROR(__xludf.DUMMYFUNCTION("""COMPUTED_VALUE"""),3.2914201109000003E8)</f>
        <v>329142011.1</v>
      </c>
      <c r="H150" s="2"/>
      <c r="I150" s="2" t="str">
        <f>IFERROR(__xludf.DUMMYFUNCTION("""COMPUTED_VALUE"""),"PRIBADI")</f>
        <v>PRIBADI</v>
      </c>
    </row>
    <row r="151">
      <c r="A151" s="7">
        <f>IFERROR(__xludf.DUMMYFUNCTION("""COMPUTED_VALUE"""),46323.0)</f>
        <v>46323</v>
      </c>
      <c r="B151" s="2" t="str">
        <f>IFERROR(__xludf.DUMMYFUNCTION("""COMPUTED_VALUE"""),"TRSF E-BANKING DB")</f>
        <v>TRSF E-BANKING DB</v>
      </c>
      <c r="C151" s="2" t="str">
        <f>IFERROR(__xludf.DUMMYFUNCTION("""COMPUTED_VALUE"""),"2810/FTSCY/WS95011 55958580.00 Mon Oct 26 2026 14:00:00 GMT+0700 (Western Indonesia Time) TUMBUH OPTIMAL PRI")</f>
        <v>2810/FTSCY/WS95011 55958580.00 Mon Oct 26 2026 14:00:00 GMT+0700 (Western Indonesia Time) TUMBUH OPTIMAL PRI</v>
      </c>
      <c r="D151" s="2">
        <f>IFERROR(__xludf.DUMMYFUNCTION("""COMPUTED_VALUE"""),5.595858E7)</f>
        <v>55958580</v>
      </c>
      <c r="E151" s="2"/>
      <c r="F151" s="2" t="str">
        <f>IFERROR(__xludf.DUMMYFUNCTION("""COMPUTED_VALUE"""),"DB")</f>
        <v>DB</v>
      </c>
      <c r="G151" s="2">
        <f>IFERROR(__xludf.DUMMYFUNCTION("""COMPUTED_VALUE"""),2.7318343109000003E8)</f>
        <v>273183431.1</v>
      </c>
      <c r="H151" s="2"/>
      <c r="I151" s="2" t="str">
        <f>IFERROR(__xludf.DUMMYFUNCTION("""COMPUTED_VALUE"""),"PRIBADI")</f>
        <v>PRIBADI</v>
      </c>
    </row>
    <row r="152">
      <c r="A152" s="7">
        <f>IFERROR(__xludf.DUMMYFUNCTION("""COMPUTED_VALUE"""),46323.0)</f>
        <v>46323</v>
      </c>
      <c r="B152" s="2" t="str">
        <f>IFERROR(__xludf.DUMMYFUNCTION("""COMPUTED_VALUE"""),"TRSF E-BANKING DB")</f>
        <v>TRSF E-BANKING DB</v>
      </c>
      <c r="C152" s="2" t="str">
        <f>IFERROR(__xludf.DUMMYFUNCTION("""COMPUTED_VALUE"""),"2810/FTSCY/WS95011 101870540.00 Mon Oct 26 2026 14:00:00 GMT+0700 (Western Indonesia Time) TABASSAM JAYA FARM")</f>
        <v>2810/FTSCY/WS95011 101870540.00 Mon Oct 26 2026 14:00:00 GMT+0700 (Western Indonesia Time) TABASSAM JAYA FARM</v>
      </c>
      <c r="D152" s="2">
        <f>IFERROR(__xludf.DUMMYFUNCTION("""COMPUTED_VALUE"""),1.0187054E8)</f>
        <v>101870540</v>
      </c>
      <c r="E152" s="2"/>
      <c r="F152" s="2" t="str">
        <f>IFERROR(__xludf.DUMMYFUNCTION("""COMPUTED_VALUE"""),"DB")</f>
        <v>DB</v>
      </c>
      <c r="G152" s="2">
        <f>IFERROR(__xludf.DUMMYFUNCTION("""COMPUTED_VALUE"""),1.7131289109000003E8)</f>
        <v>171312891.1</v>
      </c>
      <c r="H152" s="2"/>
      <c r="I152" s="2" t="str">
        <f>IFERROR(__xludf.DUMMYFUNCTION("""COMPUTED_VALUE"""),"PRIBADI")</f>
        <v>PRIBADI</v>
      </c>
    </row>
    <row r="153">
      <c r="A153" s="7">
        <f>IFERROR(__xludf.DUMMYFUNCTION("""COMPUTED_VALUE"""),46323.0)</f>
        <v>46323</v>
      </c>
      <c r="B153" s="2" t="str">
        <f>IFERROR(__xludf.DUMMYFUNCTION("""COMPUTED_VALUE"""),"TRSF E-BANKING DB")</f>
        <v>TRSF E-BANKING DB</v>
      </c>
      <c r="C153" s="2" t="str">
        <f>IFERROR(__xludf.DUMMYFUNCTION("""COMPUTED_VALUE"""),"2810/FTSCY/WS95271 6300000.00 pelunasan 26/10 TABASSAM JAYA FARM")</f>
        <v>2810/FTSCY/WS95271 6300000.00 pelunasan 26/10 TABASSAM JAYA FARM</v>
      </c>
      <c r="D153" s="2">
        <f>IFERROR(__xludf.DUMMYFUNCTION("""COMPUTED_VALUE"""),6300000.0)</f>
        <v>6300000</v>
      </c>
      <c r="E153" s="2"/>
      <c r="F153" s="2" t="str">
        <f>IFERROR(__xludf.DUMMYFUNCTION("""COMPUTED_VALUE"""),"DB")</f>
        <v>DB</v>
      </c>
      <c r="G153" s="2">
        <f>IFERROR(__xludf.DUMMYFUNCTION("""COMPUTED_VALUE"""),1.6501289109000003E8)</f>
        <v>165012891.1</v>
      </c>
      <c r="H153" s="2"/>
      <c r="I153" s="2" t="str">
        <f>IFERROR(__xludf.DUMMYFUNCTION("""COMPUTED_VALUE"""),"PRIBADI")</f>
        <v>PRIBADI</v>
      </c>
    </row>
    <row r="154">
      <c r="A154" s="7">
        <f>IFERROR(__xludf.DUMMYFUNCTION("""COMPUTED_VALUE"""),46323.0)</f>
        <v>46323</v>
      </c>
      <c r="B154" s="2" t="str">
        <f>IFERROR(__xludf.DUMMYFUNCTION("""COMPUTED_VALUE"""),"TRSF E-BANKING DB")</f>
        <v>TRSF E-BANKING DB</v>
      </c>
      <c r="C154" s="2" t="str">
        <f>IFERROR(__xludf.DUMMYFUNCTION("""COMPUTED_VALUE"""),"2810/FTSCY/WS95271 33010130.00 Mon Oct 26 2026 14:00:00 GMT+0700 (Western Indonesia Time) ANDALAN YASA MITRA")</f>
        <v>2810/FTSCY/WS95271 33010130.00 Mon Oct 26 2026 14:00:00 GMT+0700 (Western Indonesia Time) ANDALAN YASA MITRA</v>
      </c>
      <c r="D154" s="2">
        <f>IFERROR(__xludf.DUMMYFUNCTION("""COMPUTED_VALUE"""),3.301013E7)</f>
        <v>33010130</v>
      </c>
      <c r="E154" s="2"/>
      <c r="F154" s="2" t="str">
        <f>IFERROR(__xludf.DUMMYFUNCTION("""COMPUTED_VALUE"""),"DB")</f>
        <v>DB</v>
      </c>
      <c r="G154" s="2">
        <f>IFERROR(__xludf.DUMMYFUNCTION("""COMPUTED_VALUE"""),1.3200276109000003E8)</f>
        <v>132002761.1</v>
      </c>
      <c r="H154" s="2">
        <f>IFERROR(__xludf.DUMMYFUNCTION("""COMPUTED_VALUE"""),1.3200276109E8)</f>
        <v>132002761.1</v>
      </c>
      <c r="I154" s="2" t="str">
        <f>IFERROR(__xludf.DUMMYFUNCTION("""COMPUTED_VALUE"""),"PRIBADI")</f>
        <v>PRIBADI</v>
      </c>
    </row>
    <row r="155">
      <c r="A155" s="7">
        <f>IFERROR(__xludf.DUMMYFUNCTION("""COMPUTED_VALUE"""),46323.0)</f>
        <v>46323</v>
      </c>
      <c r="B155" s="2" t="str">
        <f>IFERROR(__xludf.DUMMYFUNCTION("""COMPUTED_VALUE"""),"TRSF E-BANKING DB")</f>
        <v>TRSF E-BANKING DB</v>
      </c>
      <c r="C155" s="2" t="str">
        <f>IFERROR(__xludf.DUMMYFUNCTION("""COMPUTED_VALUE"""),"2810/FTSCY/WS95271 52236800.00 Tue Oct 27 2026 14:00:00 GMT+0700 (Western Indonesia Time) ANUGERAH KARTIKA A")</f>
        <v>2810/FTSCY/WS95271 52236800.00 Tue Oct 27 2026 14:00:00 GMT+0700 (Western Indonesia Time) ANUGERAH KARTIKA A</v>
      </c>
      <c r="D155" s="2">
        <f>IFERROR(__xludf.DUMMYFUNCTION("""COMPUTED_VALUE"""),5.22368E7)</f>
        <v>52236800</v>
      </c>
      <c r="E155" s="2"/>
      <c r="F155" s="2" t="str">
        <f>IFERROR(__xludf.DUMMYFUNCTION("""COMPUTED_VALUE"""),"DB")</f>
        <v>DB</v>
      </c>
      <c r="G155" s="2">
        <f>IFERROR(__xludf.DUMMYFUNCTION("""COMPUTED_VALUE"""),7.976596109000003E7)</f>
        <v>79765961.09</v>
      </c>
      <c r="H155" s="2">
        <f>IFERROR(__xludf.DUMMYFUNCTION("""COMPUTED_VALUE"""),7.976596109E7)</f>
        <v>79765961.09</v>
      </c>
      <c r="I155" s="2" t="str">
        <f>IFERROR(__xludf.DUMMYFUNCTION("""COMPUTED_VALUE"""),"PRIBADI")</f>
        <v>PRIBADI</v>
      </c>
    </row>
    <row r="156">
      <c r="A156" s="7">
        <f>IFERROR(__xludf.DUMMYFUNCTION("""COMPUTED_VALUE"""),46323.0)</f>
        <v>46323</v>
      </c>
      <c r="B156" s="2" t="str">
        <f>IFERROR(__xludf.DUMMYFUNCTION("""COMPUTED_VALUE"""),"TRSF E-BANKING DB")</f>
        <v>TRSF E-BANKING DB</v>
      </c>
      <c r="C156" s="2" t="str">
        <f>IFERROR(__xludf.DUMMYFUNCTION("""COMPUTED_VALUE"""),"2810/FTSCY/WS95271 56040250.00 Tue Oct 27 2026 14:00:00 GMT+0700 (Western Indonesia Time) LAWU ABADI NUSA PT")</f>
        <v>2810/FTSCY/WS95271 56040250.00 Tue Oct 27 2026 14:00:00 GMT+0700 (Western Indonesia Time) LAWU ABADI NUSA PT</v>
      </c>
      <c r="D156" s="2">
        <f>IFERROR(__xludf.DUMMYFUNCTION("""COMPUTED_VALUE"""),5.604025E7)</f>
        <v>56040250</v>
      </c>
      <c r="E156" s="2"/>
      <c r="F156" s="2" t="str">
        <f>IFERROR(__xludf.DUMMYFUNCTION("""COMPUTED_VALUE"""),"DB")</f>
        <v>DB</v>
      </c>
      <c r="G156" s="2">
        <f>IFERROR(__xludf.DUMMYFUNCTION("""COMPUTED_VALUE"""),2.3725711090000033E7)</f>
        <v>23725711.09</v>
      </c>
      <c r="H156" s="2"/>
      <c r="I156" s="2" t="str">
        <f>IFERROR(__xludf.DUMMYFUNCTION("""COMPUTED_VALUE"""),"PRIBADI")</f>
        <v>PRIBADI</v>
      </c>
    </row>
    <row r="157">
      <c r="A157" s="7">
        <f>IFERROR(__xludf.DUMMYFUNCTION("""COMPUTED_VALUE"""),46323.0)</f>
        <v>46323</v>
      </c>
      <c r="B157" s="2" t="str">
        <f>IFERROR(__xludf.DUMMYFUNCTION("""COMPUTED_VALUE"""),"TRSF E-BANKING DB")</f>
        <v>TRSF E-BANKING DB</v>
      </c>
      <c r="C157" s="2" t="str">
        <f>IFERROR(__xludf.DUMMYFUNCTION("""COMPUTED_VALUE"""),"2810/FTSCY/WS95271 2000000.00 DWI HERMANSYAH")</f>
        <v>2810/FTSCY/WS95271 2000000.00 DWI HERMANSYAH</v>
      </c>
      <c r="D157" s="2">
        <f>IFERROR(__xludf.DUMMYFUNCTION("""COMPUTED_VALUE"""),2000000.0)</f>
        <v>2000000</v>
      </c>
      <c r="E157" s="2"/>
      <c r="F157" s="2" t="str">
        <f>IFERROR(__xludf.DUMMYFUNCTION("""COMPUTED_VALUE"""),"DB")</f>
        <v>DB</v>
      </c>
      <c r="G157" s="2">
        <f>IFERROR(__xludf.DUMMYFUNCTION("""COMPUTED_VALUE"""),2.1725711090000033E7)</f>
        <v>21725711.09</v>
      </c>
      <c r="H157" s="2"/>
      <c r="I157" s="2" t="str">
        <f>IFERROR(__xludf.DUMMYFUNCTION("""COMPUTED_VALUE"""),"PRIBADI")</f>
        <v>PRIBADI</v>
      </c>
    </row>
    <row r="158">
      <c r="A158" s="7">
        <f>IFERROR(__xludf.DUMMYFUNCTION("""COMPUTED_VALUE"""),46323.0)</f>
        <v>46323</v>
      </c>
      <c r="B158" s="2" t="str">
        <f>IFERROR(__xludf.DUMMYFUNCTION("""COMPUTED_VALUE"""),"TRSF E-BANKING DB")</f>
        <v>TRSF E-BANKING DB</v>
      </c>
      <c r="C158" s="2" t="str">
        <f>IFERROR(__xludf.DUMMYFUNCTION("""COMPUTED_VALUE"""),"2810/FTSCY/WS95031 1255080.00 ANDE DOSO ANGGORO")</f>
        <v>2810/FTSCY/WS95031 1255080.00 ANDE DOSO ANGGORO</v>
      </c>
      <c r="D158" s="2">
        <f>IFERROR(__xludf.DUMMYFUNCTION("""COMPUTED_VALUE"""),1255080.0)</f>
        <v>1255080</v>
      </c>
      <c r="E158" s="2"/>
      <c r="F158" s="2" t="str">
        <f>IFERROR(__xludf.DUMMYFUNCTION("""COMPUTED_VALUE"""),"DB")</f>
        <v>DB</v>
      </c>
      <c r="G158" s="2">
        <f>IFERROR(__xludf.DUMMYFUNCTION("""COMPUTED_VALUE"""),2.0470631090000033E7)</f>
        <v>20470631.09</v>
      </c>
      <c r="H158" s="2"/>
      <c r="I158" s="2" t="str">
        <f>IFERROR(__xludf.DUMMYFUNCTION("""COMPUTED_VALUE"""),"PRIBADI")</f>
        <v>PRIBADI</v>
      </c>
    </row>
    <row r="159">
      <c r="A159" s="7">
        <f>IFERROR(__xludf.DUMMYFUNCTION("""COMPUTED_VALUE"""),46323.0)</f>
        <v>46323</v>
      </c>
      <c r="B159" s="2" t="str">
        <f>IFERROR(__xludf.DUMMYFUNCTION("""COMPUTED_VALUE"""),"TRSF E-BANKING DB")</f>
        <v>TRSF E-BANKING DB</v>
      </c>
      <c r="C159" s="2" t="str">
        <f>IFERROR(__xludf.DUMMYFUNCTION("""COMPUTED_VALUE"""),"2810/FTSCY/WS95031 1212200.00 HERMAWAN")</f>
        <v>2810/FTSCY/WS95031 1212200.00 HERMAWAN</v>
      </c>
      <c r="D159" s="2">
        <f>IFERROR(__xludf.DUMMYFUNCTION("""COMPUTED_VALUE"""),1212200.0)</f>
        <v>1212200</v>
      </c>
      <c r="E159" s="2"/>
      <c r="F159" s="2" t="str">
        <f>IFERROR(__xludf.DUMMYFUNCTION("""COMPUTED_VALUE"""),"DB")</f>
        <v>DB</v>
      </c>
      <c r="G159" s="2">
        <f>IFERROR(__xludf.DUMMYFUNCTION("""COMPUTED_VALUE"""),1.9258431090000033E7)</f>
        <v>19258431.09</v>
      </c>
      <c r="H159" s="2"/>
      <c r="I159" s="2" t="str">
        <f>IFERROR(__xludf.DUMMYFUNCTION("""COMPUTED_VALUE"""),"PRIBADI")</f>
        <v>PRIBADI</v>
      </c>
    </row>
    <row r="160">
      <c r="A160" s="7">
        <f>IFERROR(__xludf.DUMMYFUNCTION("""COMPUTED_VALUE"""),46323.0)</f>
        <v>46323</v>
      </c>
      <c r="B160" s="2" t="str">
        <f>IFERROR(__xludf.DUMMYFUNCTION("""COMPUTED_VALUE"""),"TRANSAKSI DEBIT")</f>
        <v>TRANSAKSI DEBIT</v>
      </c>
      <c r="C160" s="2" t="str">
        <f>IFERROR(__xludf.DUMMYFUNCTION("""COMPUTED_VALUE"""),"TGL: 28/10 QR 008 00000.00PODO MORO")</f>
        <v>TGL: 28/10 QR 008 00000.00PODO MORO</v>
      </c>
      <c r="D160" s="2">
        <f>IFERROR(__xludf.DUMMYFUNCTION("""COMPUTED_VALUE"""),532500.0)</f>
        <v>532500</v>
      </c>
      <c r="E160" s="2"/>
      <c r="F160" s="2"/>
      <c r="G160" s="2">
        <f>IFERROR(__xludf.DUMMYFUNCTION("""COMPUTED_VALUE"""),1.8725931090000033E7)</f>
        <v>18725931.09</v>
      </c>
      <c r="H160" s="2"/>
      <c r="I160" s="2" t="str">
        <f>IFERROR(__xludf.DUMMYFUNCTION("""COMPUTED_VALUE"""),"PRIBADI")</f>
        <v>PRIBADI</v>
      </c>
    </row>
    <row r="161">
      <c r="A161" s="7">
        <f>IFERROR(__xludf.DUMMYFUNCTION("""COMPUTED_VALUE"""),46323.0)</f>
        <v>46323</v>
      </c>
      <c r="B161" s="2" t="str">
        <f>IFERROR(__xludf.DUMMYFUNCTION("""COMPUTED_VALUE"""),"KARTU DEBIT")</f>
        <v>KARTU DEBIT</v>
      </c>
      <c r="C161" s="2" t="str">
        <f>IFERROR(__xludf.DUMMYFUNCTION("""COMPUTED_VALUE"""),"SENJA COFFEE &amp; KIT 6019009510239343")</f>
        <v>SENJA COFFEE &amp; KIT 6019009510239343</v>
      </c>
      <c r="D161" s="2">
        <f>IFERROR(__xludf.DUMMYFUNCTION("""COMPUTED_VALUE"""),276000.0)</f>
        <v>276000</v>
      </c>
      <c r="E161" s="2"/>
      <c r="F161" s="2"/>
      <c r="G161" s="2">
        <f>IFERROR(__xludf.DUMMYFUNCTION("""COMPUTED_VALUE"""),1.8649931090000033E7)</f>
        <v>18649931.09</v>
      </c>
      <c r="H161" s="2"/>
      <c r="I161" s="2" t="str">
        <f>IFERROR(__xludf.DUMMYFUNCTION("""COMPUTED_VALUE"""),"PRIBADI")</f>
        <v>PRIBADI</v>
      </c>
    </row>
    <row r="162">
      <c r="A162" s="7">
        <f>IFERROR(__xludf.DUMMYFUNCTION("""COMPUTED_VALUE"""),46323.0)</f>
        <v>46323</v>
      </c>
      <c r="B162" s="2" t="str">
        <f>IFERROR(__xludf.DUMMYFUNCTION("""COMPUTED_VALUE"""),"TRSF E-BANKING DB")</f>
        <v>TRSF E-BANKING DB</v>
      </c>
      <c r="C162" s="2" t="str">
        <f>IFERROR(__xludf.DUMMYFUNCTION("""COMPUTED_VALUE"""),"2810/FTSCY/WS95031 17657440.00 EKO SETIYAWAN")</f>
        <v>2810/FTSCY/WS95031 17657440.00 EKO SETIYAWAN</v>
      </c>
      <c r="D162" s="2">
        <f>IFERROR(__xludf.DUMMYFUNCTION("""COMPUTED_VALUE"""),1.765744E7)</f>
        <v>17657440</v>
      </c>
      <c r="E162" s="2"/>
      <c r="F162" s="2" t="str">
        <f>IFERROR(__xludf.DUMMYFUNCTION("""COMPUTED_VALUE"""),"DB")</f>
        <v>DB</v>
      </c>
      <c r="G162" s="2">
        <f>IFERROR(__xludf.DUMMYFUNCTION("""COMPUTED_VALUE"""),992491.0900000334)</f>
        <v>992491.09</v>
      </c>
      <c r="H162" s="2">
        <f>IFERROR(__xludf.DUMMYFUNCTION("""COMPUTED_VALUE"""),992491.09)</f>
        <v>992491.09</v>
      </c>
      <c r="I162" s="2" t="str">
        <f>IFERROR(__xludf.DUMMYFUNCTION("""COMPUTED_VALUE"""),"PRIBADI")</f>
        <v>PRIBADI</v>
      </c>
    </row>
    <row r="163">
      <c r="A163" s="7">
        <f>IFERROR(__xludf.DUMMYFUNCTION("""COMPUTED_VALUE"""),46324.0)</f>
        <v>46324</v>
      </c>
      <c r="B163" s="2" t="str">
        <f>IFERROR(__xludf.DUMMYFUNCTION("""COMPUTED_VALUE"""),"KARTU DEBIT")</f>
        <v>KARTU DEBIT</v>
      </c>
      <c r="C163" s="2" t="str">
        <f>IFERROR(__xludf.DUMMYFUNCTION("""COMPUTED_VALUE"""),"IDM TWUN-JELBUK 6019009510239343")</f>
        <v>IDM TWUN-JELBUK 6019009510239343</v>
      </c>
      <c r="D163" s="2">
        <f>IFERROR(__xludf.DUMMYFUNCTION("""COMPUTED_VALUE"""),161600.0)</f>
        <v>161600</v>
      </c>
      <c r="E163" s="2"/>
      <c r="F163" s="2"/>
      <c r="G163" s="2">
        <f>IFERROR(__xludf.DUMMYFUNCTION("""COMPUTED_VALUE"""),1.2323598109000003E8)</f>
        <v>123235981.1</v>
      </c>
      <c r="H163" s="2"/>
      <c r="I163" s="2" t="str">
        <f>IFERROR(__xludf.DUMMYFUNCTION("""COMPUTED_VALUE"""),"PRIBADI")</f>
        <v>PRIBADI</v>
      </c>
    </row>
    <row r="164">
      <c r="A164" s="7">
        <f>IFERROR(__xludf.DUMMYFUNCTION("""COMPUTED_VALUE"""),46324.0)</f>
        <v>46324</v>
      </c>
      <c r="B164" s="2" t="str">
        <f>IFERROR(__xludf.DUMMYFUNCTION("""COMPUTED_VALUE"""),"TRSF E-BANKING DB")</f>
        <v>TRSF E-BANKING DB</v>
      </c>
      <c r="C164" s="2" t="str">
        <f>IFERROR(__xludf.DUMMYFUNCTION("""COMPUTED_VALUE"""),"2910/FTSCY/WS95271 1650000.00 SUNARTO")</f>
        <v>2910/FTSCY/WS95271 1650000.00 SUNARTO</v>
      </c>
      <c r="D164" s="2">
        <f>IFERROR(__xludf.DUMMYFUNCTION("""COMPUTED_VALUE"""),1650000.0)</f>
        <v>1650000</v>
      </c>
      <c r="E164" s="2"/>
      <c r="F164" s="2" t="str">
        <f>IFERROR(__xludf.DUMMYFUNCTION("""COMPUTED_VALUE"""),"DB")</f>
        <v>DB</v>
      </c>
      <c r="G164" s="2">
        <f>IFERROR(__xludf.DUMMYFUNCTION("""COMPUTED_VALUE"""),1.2158598109000003E8)</f>
        <v>121585981.1</v>
      </c>
      <c r="H164" s="2"/>
      <c r="I164" s="2" t="str">
        <f>IFERROR(__xludf.DUMMYFUNCTION("""COMPUTED_VALUE"""),"PRIBADI")</f>
        <v>PRIBADI</v>
      </c>
    </row>
    <row r="165">
      <c r="A165" s="7">
        <f>IFERROR(__xludf.DUMMYFUNCTION("""COMPUTED_VALUE"""),46325.0)</f>
        <v>46325</v>
      </c>
      <c r="B165" s="2" t="str">
        <f>IFERROR(__xludf.DUMMYFUNCTION("""COMPUTED_VALUE"""),"BI-FAST DB")</f>
        <v>BI-FAST DB</v>
      </c>
      <c r="C165" s="2" t="str">
        <f>IFERROR(__xludf.DUMMYFUNCTION("""COMPUTED_VALUE"""),"BIF TRANSFER KE 2 BUDIANTO MyBCA")</f>
        <v>BIF TRANSFER KE 2 BUDIANTO MyBCA</v>
      </c>
      <c r="D165" s="2">
        <f>IFERROR(__xludf.DUMMYFUNCTION("""COMPUTED_VALUE"""),300000.0)</f>
        <v>300000</v>
      </c>
      <c r="E165" s="2"/>
      <c r="F165" s="2" t="str">
        <f>IFERROR(__xludf.DUMMYFUNCTION("""COMPUTED_VALUE"""),"DB")</f>
        <v>DB</v>
      </c>
      <c r="G165" s="2">
        <f>IFERROR(__xludf.DUMMYFUNCTION("""COMPUTED_VALUE"""),1.5897915109000003E8)</f>
        <v>158979151.1</v>
      </c>
      <c r="H165" s="2">
        <f>IFERROR(__xludf.DUMMYFUNCTION("""COMPUTED_VALUE"""),1.5897915109E8)</f>
        <v>158979151.1</v>
      </c>
      <c r="I165" s="2" t="str">
        <f>IFERROR(__xludf.DUMMYFUNCTION("""COMPUTED_VALUE"""),"PRIBADI")</f>
        <v>PRIBADI</v>
      </c>
    </row>
    <row r="166">
      <c r="A166" s="7">
        <f>IFERROR(__xludf.DUMMYFUNCTION("""COMPUTED_VALUE"""),46325.0)</f>
        <v>46325</v>
      </c>
      <c r="B166" s="2" t="str">
        <f>IFERROR(__xludf.DUMMYFUNCTION("""COMPUTED_VALUE"""),"BI-FAST DB")</f>
        <v>BI-FAST DB</v>
      </c>
      <c r="C166" s="2" t="str">
        <f>IFERROR(__xludf.DUMMYFUNCTION("""COMPUTED_VALUE"""),"BIF BIAYA TXN KE 2 BUDIANTO MyBCA")</f>
        <v>BIF BIAYA TXN KE 2 BUDIANTO MyBCA</v>
      </c>
      <c r="D166" s="2">
        <f>IFERROR(__xludf.DUMMYFUNCTION("""COMPUTED_VALUE"""),2500.0)</f>
        <v>2500</v>
      </c>
      <c r="E166" s="2"/>
      <c r="F166" s="2" t="str">
        <f>IFERROR(__xludf.DUMMYFUNCTION("""COMPUTED_VALUE"""),"DB")</f>
        <v>DB</v>
      </c>
      <c r="G166" s="2">
        <f>IFERROR(__xludf.DUMMYFUNCTION("""COMPUTED_VALUE"""),1.5897665109000003E8)</f>
        <v>158976651.1</v>
      </c>
      <c r="H166" s="2">
        <f>IFERROR(__xludf.DUMMYFUNCTION("""COMPUTED_VALUE"""),1.5897665109E8)</f>
        <v>158976651.1</v>
      </c>
      <c r="I166" s="2" t="str">
        <f>IFERROR(__xludf.DUMMYFUNCTION("""COMPUTED_VALUE"""),"PRIBADI")</f>
        <v>PRIBADI</v>
      </c>
    </row>
    <row r="167">
      <c r="A167" s="7">
        <f>IFERROR(__xludf.DUMMYFUNCTION("""COMPUTED_VALUE"""),46325.0)</f>
        <v>46325</v>
      </c>
      <c r="B167" s="2" t="str">
        <f>IFERROR(__xludf.DUMMYFUNCTION("""COMPUTED_VALUE"""),"TRSF E-BANKING DB")</f>
        <v>TRSF E-BANKING DB</v>
      </c>
      <c r="C167" s="2" t="str">
        <f>IFERROR(__xludf.DUMMYFUNCTION("""COMPUTED_VALUE"""),"3010/FTFVA/WS95031 55569/PT PRIMA FAJ lmjg - 40190")</f>
        <v>3010/FTFVA/WS95031 55569/PT PRIMA FAJ lmjg - 40190</v>
      </c>
      <c r="D167" s="2">
        <f>IFERROR(__xludf.DUMMYFUNCTION("""COMPUTED_VALUE"""),1.0671675E8)</f>
        <v>106716750</v>
      </c>
      <c r="E167" s="2"/>
      <c r="F167" s="2" t="str">
        <f>IFERROR(__xludf.DUMMYFUNCTION("""COMPUTED_VALUE"""),"DB")</f>
        <v>DB</v>
      </c>
      <c r="G167" s="2">
        <f>IFERROR(__xludf.DUMMYFUNCTION("""COMPUTED_VALUE"""),5.225990109000003E7)</f>
        <v>52259901.09</v>
      </c>
      <c r="H167" s="2"/>
      <c r="I167" s="2" t="str">
        <f>IFERROR(__xludf.DUMMYFUNCTION("""COMPUTED_VALUE"""),"PRIBADI")</f>
        <v>PRIBADI</v>
      </c>
    </row>
    <row r="168">
      <c r="A168" s="7">
        <f>IFERROR(__xludf.DUMMYFUNCTION("""COMPUTED_VALUE"""),46325.0)</f>
        <v>46325</v>
      </c>
      <c r="B168" s="2" t="str">
        <f>IFERROR(__xludf.DUMMYFUNCTION("""COMPUTED_VALUE"""),"TRSF E-BANKING DB")</f>
        <v>TRSF E-BANKING DB</v>
      </c>
      <c r="C168" s="2" t="str">
        <f>IFERROR(__xludf.DUMMYFUNCTION("""COMPUTED_VALUE"""),"3010/FTSCY/WS95011 169727400.00 Tue Oct 27 2026 14:00:00 GMT+0700 (Western Indonesia Time) PITIK DIGITAL INDO")</f>
        <v>3010/FTSCY/WS95011 169727400.00 Tue Oct 27 2026 14:00:00 GMT+0700 (Western Indonesia Time) PITIK DIGITAL INDO</v>
      </c>
      <c r="D168" s="2">
        <f>IFERROR(__xludf.DUMMYFUNCTION("""COMPUTED_VALUE"""),1.697274E8)</f>
        <v>169727400</v>
      </c>
      <c r="E168" s="2"/>
      <c r="F168" s="2" t="str">
        <f>IFERROR(__xludf.DUMMYFUNCTION("""COMPUTED_VALUE"""),"DB")</f>
        <v>DB</v>
      </c>
      <c r="G168" s="2">
        <f>IFERROR(__xludf.DUMMYFUNCTION("""COMPUTED_VALUE"""),1.2040017109000003E8)</f>
        <v>120400171.1</v>
      </c>
      <c r="H168" s="2"/>
      <c r="I168" s="2" t="str">
        <f>IFERROR(__xludf.DUMMYFUNCTION("""COMPUTED_VALUE"""),"PRIBADI")</f>
        <v>PRIBADI</v>
      </c>
    </row>
    <row r="169">
      <c r="A169" s="7">
        <f>IFERROR(__xludf.DUMMYFUNCTION("""COMPUTED_VALUE"""),46325.0)</f>
        <v>46325</v>
      </c>
      <c r="B169" s="2" t="str">
        <f>IFERROR(__xludf.DUMMYFUNCTION("""COMPUTED_VALUE"""),"TRSF E-BANKING DB")</f>
        <v>TRSF E-BANKING DB</v>
      </c>
      <c r="C169" s="2" t="str">
        <f>IFERROR(__xludf.DUMMYFUNCTION("""COMPUTED_VALUE"""),"3010/FTSCY/WS95011 119477500.00 Fri Oct 30 2026 14:00:00 GMT+0700 (Western Indonesia Time) BINTANG TAMA SANTO")</f>
        <v>3010/FTSCY/WS95011 119477500.00 Fri Oct 30 2026 14:00:00 GMT+0700 (Western Indonesia Time) BINTANG TAMA SANTO</v>
      </c>
      <c r="D169" s="2">
        <f>IFERROR(__xludf.DUMMYFUNCTION("""COMPUTED_VALUE"""),1.194775E8)</f>
        <v>119477500</v>
      </c>
      <c r="E169" s="2"/>
      <c r="F169" s="2" t="str">
        <f>IFERROR(__xludf.DUMMYFUNCTION("""COMPUTED_VALUE"""),"DB")</f>
        <v>DB</v>
      </c>
      <c r="G169" s="2">
        <f>IFERROR(__xludf.DUMMYFUNCTION("""COMPUTED_VALUE"""),922671.0900000334)</f>
        <v>922671.09</v>
      </c>
      <c r="H169" s="2"/>
      <c r="I169" s="2" t="str">
        <f>IFERROR(__xludf.DUMMYFUNCTION("""COMPUTED_VALUE"""),"PRIBADI")</f>
        <v>PRIBADI</v>
      </c>
    </row>
    <row r="170">
      <c r="A170" s="7">
        <f>IFERROR(__xludf.DUMMYFUNCTION("""COMPUTED_VALUE"""),46325.0)</f>
        <v>46325</v>
      </c>
      <c r="B170" s="2" t="str">
        <f>IFERROR(__xludf.DUMMYFUNCTION("""COMPUTED_VALUE"""),"TRSF E-BANKING DB")</f>
        <v>TRSF E-BANKING DB</v>
      </c>
      <c r="C170" s="2" t="str">
        <f>IFERROR(__xludf.DUMMYFUNCTION("""COMPUTED_VALUE"""),"3010/FTSCY/WS95031 5000000.00 pelunasan BINTANG TAMA SANTO")</f>
        <v>3010/FTSCY/WS95031 5000000.00 pelunasan BINTANG TAMA SANTO</v>
      </c>
      <c r="D170" s="2">
        <f>IFERROR(__xludf.DUMMYFUNCTION("""COMPUTED_VALUE"""),5000000.0)</f>
        <v>5000000</v>
      </c>
      <c r="E170" s="2"/>
      <c r="F170" s="2" t="str">
        <f>IFERROR(__xludf.DUMMYFUNCTION("""COMPUTED_VALUE"""),"DB")</f>
        <v>DB</v>
      </c>
      <c r="G170" s="2">
        <f>IFERROR(__xludf.DUMMYFUNCTION("""COMPUTED_VALUE"""),1.5044671090000033E7)</f>
        <v>15044671.09</v>
      </c>
      <c r="H170" s="2"/>
      <c r="I170" s="2" t="str">
        <f>IFERROR(__xludf.DUMMYFUNCTION("""COMPUTED_VALUE"""),"PRIBADI")</f>
        <v>PRIBADI</v>
      </c>
    </row>
    <row r="171">
      <c r="A171" s="7">
        <f>IFERROR(__xludf.DUMMYFUNCTION("""COMPUTED_VALUE"""),46325.0)</f>
        <v>46325</v>
      </c>
      <c r="B171" s="2" t="str">
        <f>IFERROR(__xludf.DUMMYFUNCTION("""COMPUTED_VALUE"""),"TRSF E-BANKING DB")</f>
        <v>TRSF E-BANKING DB</v>
      </c>
      <c r="C171" s="2" t="str">
        <f>IFERROR(__xludf.DUMMYFUNCTION("""COMPUTED_VALUE"""),"3010/FTSCY/WS95031 13706930.00 EKO SETIYAWAN")</f>
        <v>3010/FTSCY/WS95031 13706930.00 EKO SETIYAWAN</v>
      </c>
      <c r="D171" s="2">
        <f>IFERROR(__xludf.DUMMYFUNCTION("""COMPUTED_VALUE"""),1.370693E7)</f>
        <v>13706930</v>
      </c>
      <c r="E171" s="2"/>
      <c r="F171" s="2" t="str">
        <f>IFERROR(__xludf.DUMMYFUNCTION("""COMPUTED_VALUE"""),"DB")</f>
        <v>DB</v>
      </c>
      <c r="G171" s="2">
        <f>IFERROR(__xludf.DUMMYFUNCTION("""COMPUTED_VALUE"""),1337741.0900000334)</f>
        <v>1337741.09</v>
      </c>
      <c r="H171" s="2"/>
      <c r="I171" s="2" t="str">
        <f>IFERROR(__xludf.DUMMYFUNCTION("""COMPUTED_VALUE"""),"PRIBADI")</f>
        <v>PRIBADI</v>
      </c>
    </row>
    <row r="172">
      <c r="A172" s="7">
        <f>IFERROR(__xludf.DUMMYFUNCTION("""COMPUTED_VALUE"""),46325.0)</f>
        <v>46325</v>
      </c>
      <c r="B172" s="2" t="str">
        <f>IFERROR(__xludf.DUMMYFUNCTION("""COMPUTED_VALUE"""),"TRSF E-BANKING DB")</f>
        <v>TRSF E-BANKING DB</v>
      </c>
      <c r="C172" s="2" t="str">
        <f>IFERROR(__xludf.DUMMYFUNCTION("""COMPUTED_VALUE"""),"3010/FTSCY/WS95031 1254080.00 5250000 FAJAR ANDREANZAH")</f>
        <v>3010/FTSCY/WS95031 1254080.00 5250000 FAJAR ANDREANZAH</v>
      </c>
      <c r="D172" s="2">
        <f>IFERROR(__xludf.DUMMYFUNCTION("""COMPUTED_VALUE"""),1254080.0)</f>
        <v>1254080</v>
      </c>
      <c r="E172" s="2"/>
      <c r="F172" s="2" t="str">
        <f>IFERROR(__xludf.DUMMYFUNCTION("""COMPUTED_VALUE"""),"DB")</f>
        <v>DB</v>
      </c>
      <c r="G172" s="2">
        <f>IFERROR(__xludf.DUMMYFUNCTION("""COMPUTED_VALUE"""),83661.09000003338)</f>
        <v>83661.09</v>
      </c>
      <c r="H172" s="2">
        <f>IFERROR(__xludf.DUMMYFUNCTION("""COMPUTED_VALUE"""),83661.09)</f>
        <v>83661.09</v>
      </c>
      <c r="I172" s="2" t="str">
        <f>IFERROR(__xludf.DUMMYFUNCTION("""COMPUTED_VALUE"""),"PRIBADI")</f>
        <v>PRIBADI</v>
      </c>
    </row>
    <row r="173">
      <c r="A173" s="7">
        <f>IFERROR(__xludf.DUMMYFUNCTION("""COMPUTED_VALUE"""),46326.0)</f>
        <v>46326</v>
      </c>
      <c r="B173" s="2" t="str">
        <f>IFERROR(__xludf.DUMMYFUNCTION("""COMPUTED_VALUE"""),"TRSF E-BANKING DB")</f>
        <v>TRSF E-BANKING DB</v>
      </c>
      <c r="C173" s="2" t="str">
        <f>IFERROR(__xludf.DUMMYFUNCTION("""COMPUTED_VALUE"""),"3110/FTSCY/WS95271 51812250.00 Thu Oct 29 2026 14:00:00 GMT+0700 (Western Indonesia Time) BINTANG TAMA SANTO")</f>
        <v>3110/FTSCY/WS95271 51812250.00 Thu Oct 29 2026 14:00:00 GMT+0700 (Western Indonesia Time) BINTANG TAMA SANTO</v>
      </c>
      <c r="D173" s="2">
        <f>IFERROR(__xludf.DUMMYFUNCTION("""COMPUTED_VALUE"""),5.181225E7)</f>
        <v>51812250</v>
      </c>
      <c r="E173" s="2"/>
      <c r="F173" s="2" t="str">
        <f>IFERROR(__xludf.DUMMYFUNCTION("""COMPUTED_VALUE"""),"DB")</f>
        <v>DB</v>
      </c>
      <c r="G173" s="2">
        <f>IFERROR(__xludf.DUMMYFUNCTION("""COMPUTED_VALUE"""),1.1064868109000003E8)</f>
        <v>110648681.1</v>
      </c>
      <c r="H173" s="2">
        <f>IFERROR(__xludf.DUMMYFUNCTION("""COMPUTED_VALUE"""),1.1064868109E8)</f>
        <v>110648681.1</v>
      </c>
      <c r="I173" s="2" t="str">
        <f>IFERROR(__xludf.DUMMYFUNCTION("""COMPUTED_VALUE"""),"PRIBADI")</f>
        <v>PRIBADI</v>
      </c>
    </row>
    <row r="174">
      <c r="A174" s="7">
        <f>IFERROR(__xludf.DUMMYFUNCTION("""COMPUTED_VALUE"""),46326.0)</f>
        <v>46326</v>
      </c>
      <c r="B174" s="2" t="str">
        <f>IFERROR(__xludf.DUMMYFUNCTION("""COMPUTED_VALUE"""),"TRSF E-BANKING DB")</f>
        <v>TRSF E-BANKING DB</v>
      </c>
      <c r="C174" s="2" t="str">
        <f>IFERROR(__xludf.DUMMYFUNCTION("""COMPUTED_VALUE"""),"3110/FTSCY/WS95271 51415300.00 Thu Oct 29 2026 14:00:00 GMT+0700 (Western Indonesia Time) BINTANG TAMA SANTO")</f>
        <v>3110/FTSCY/WS95271 51415300.00 Thu Oct 29 2026 14:00:00 GMT+0700 (Western Indonesia Time) BINTANG TAMA SANTO</v>
      </c>
      <c r="D174" s="2">
        <f>IFERROR(__xludf.DUMMYFUNCTION("""COMPUTED_VALUE"""),5.14153E7)</f>
        <v>51415300</v>
      </c>
      <c r="E174" s="2"/>
      <c r="F174" s="2" t="str">
        <f>IFERROR(__xludf.DUMMYFUNCTION("""COMPUTED_VALUE"""),"DB")</f>
        <v>DB</v>
      </c>
      <c r="G174" s="2">
        <f>IFERROR(__xludf.DUMMYFUNCTION("""COMPUTED_VALUE"""),5.923338109000003E7)</f>
        <v>59233381.09</v>
      </c>
      <c r="H174" s="2">
        <f>IFERROR(__xludf.DUMMYFUNCTION("""COMPUTED_VALUE"""),5.923338109E7)</f>
        <v>59233381.09</v>
      </c>
      <c r="I174" s="2" t="str">
        <f>IFERROR(__xludf.DUMMYFUNCTION("""COMPUTED_VALUE"""),"PRIBADI")</f>
        <v>PRIBADI</v>
      </c>
    </row>
    <row r="175">
      <c r="A175" s="7">
        <f>IFERROR(__xludf.DUMMYFUNCTION("""COMPUTED_VALUE"""),46326.0)</f>
        <v>46326</v>
      </c>
      <c r="B175" s="2" t="str">
        <f>IFERROR(__xludf.DUMMYFUNCTION("""COMPUTED_VALUE"""),"TRSF E-BANKING DB")</f>
        <v>TRSF E-BANKING DB</v>
      </c>
      <c r="C175" s="2" t="str">
        <f>IFERROR(__xludf.DUMMYFUNCTION("""COMPUTED_VALUE"""),"3110/FTSCY/WS95271 38019600.00 Thu Oct 29 2026 14:00:00 GMT+0700 (Western Indonesia Time) TABASSAM AL HATTAK")</f>
        <v>3110/FTSCY/WS95271 38019600.00 Thu Oct 29 2026 14:00:00 GMT+0700 (Western Indonesia Time) TABASSAM AL HATTAK</v>
      </c>
      <c r="D175" s="2">
        <f>IFERROR(__xludf.DUMMYFUNCTION("""COMPUTED_VALUE"""),3.80196E7)</f>
        <v>38019600</v>
      </c>
      <c r="E175" s="2"/>
      <c r="F175" s="2" t="str">
        <f>IFERROR(__xludf.DUMMYFUNCTION("""COMPUTED_VALUE"""),"DB")</f>
        <v>DB</v>
      </c>
      <c r="G175" s="2">
        <f>IFERROR(__xludf.DUMMYFUNCTION("""COMPUTED_VALUE"""),2.1213781090000033E7)</f>
        <v>21213781.09</v>
      </c>
      <c r="H175" s="2"/>
      <c r="I175" s="2" t="str">
        <f>IFERROR(__xludf.DUMMYFUNCTION("""COMPUTED_VALUE"""),"PRIBADI")</f>
        <v>PRIBADI</v>
      </c>
    </row>
    <row r="176">
      <c r="A176" s="7">
        <f>IFERROR(__xludf.DUMMYFUNCTION("""COMPUTED_VALUE"""),46326.0)</f>
        <v>46326</v>
      </c>
      <c r="B176" s="2" t="str">
        <f>IFERROR(__xludf.DUMMYFUNCTION("""COMPUTED_VALUE"""),"TRSF E-BANKING DB")</f>
        <v>TRSF E-BANKING DB</v>
      </c>
      <c r="C176" s="2" t="str">
        <f>IFERROR(__xludf.DUMMYFUNCTION("""COMPUTED_VALUE"""),"3110/FTSCY/WS95031 3167700.00 krg 10 jt MUJIANTO")</f>
        <v>3110/FTSCY/WS95031 3167700.00 krg 10 jt MUJIANTO</v>
      </c>
      <c r="D176" s="2">
        <f>IFERROR(__xludf.DUMMYFUNCTION("""COMPUTED_VALUE"""),3167700.0)</f>
        <v>3167700</v>
      </c>
      <c r="E176" s="2"/>
      <c r="F176" s="2" t="str">
        <f>IFERROR(__xludf.DUMMYFUNCTION("""COMPUTED_VALUE"""),"DB")</f>
        <v>DB</v>
      </c>
      <c r="G176" s="2">
        <f>IFERROR(__xludf.DUMMYFUNCTION("""COMPUTED_VALUE"""),1.8046081090000033E7)</f>
        <v>18046081.09</v>
      </c>
      <c r="H176" s="2"/>
      <c r="I176" s="2" t="str">
        <f>IFERROR(__xludf.DUMMYFUNCTION("""COMPUTED_VALUE"""),"PRIBADI")</f>
        <v>PRIBADI</v>
      </c>
    </row>
    <row r="177">
      <c r="A177" s="7">
        <f>IFERROR(__xludf.DUMMYFUNCTION("""COMPUTED_VALUE"""),46326.0)</f>
        <v>46326</v>
      </c>
      <c r="B177" s="2" t="str">
        <f>IFERROR(__xludf.DUMMYFUNCTION("""COMPUTED_VALUE"""),"TRSF E-BANKING DB")</f>
        <v>TRSF E-BANKING DB</v>
      </c>
      <c r="C177" s="2" t="str">
        <f>IFERROR(__xludf.DUMMYFUNCTION("""COMPUTED_VALUE"""),"3110/FTSCY/WS95031 4750000.00 min 1.5 jt FAJAR ANDREANZAH")</f>
        <v>3110/FTSCY/WS95031 4750000.00 min 1.5 jt FAJAR ANDREANZAH</v>
      </c>
      <c r="D177" s="2">
        <f>IFERROR(__xludf.DUMMYFUNCTION("""COMPUTED_VALUE"""),4750000.0)</f>
        <v>4750000</v>
      </c>
      <c r="E177" s="2"/>
      <c r="F177" s="2" t="str">
        <f>IFERROR(__xludf.DUMMYFUNCTION("""COMPUTED_VALUE"""),"DB")</f>
        <v>DB</v>
      </c>
      <c r="G177" s="2">
        <f>IFERROR(__xludf.DUMMYFUNCTION("""COMPUTED_VALUE"""),1.3296081090000033E7)</f>
        <v>13296081.09</v>
      </c>
      <c r="H177" s="2"/>
      <c r="I177" s="2" t="str">
        <f>IFERROR(__xludf.DUMMYFUNCTION("""COMPUTED_VALUE"""),"PRIBADI")</f>
        <v>PRIBADI</v>
      </c>
    </row>
    <row r="178">
      <c r="A178" s="7">
        <f>IFERROR(__xludf.DUMMYFUNCTION("""COMPUTED_VALUE"""),46326.0)</f>
        <v>46326</v>
      </c>
      <c r="B178" s="2" t="str">
        <f>IFERROR(__xludf.DUMMYFUNCTION("""COMPUTED_VALUE"""),"TRSF E-BANKING DB")</f>
        <v>TRSF E-BANKING DB</v>
      </c>
      <c r="C178" s="2" t="str">
        <f>IFERROR(__xludf.DUMMYFUNCTION("""COMPUTED_VALUE"""),"3110/FTSCY/WS95031 2484380.00 MUJIANTO")</f>
        <v>3110/FTSCY/WS95031 2484380.00 MUJIANTO</v>
      </c>
      <c r="D178" s="2">
        <f>IFERROR(__xludf.DUMMYFUNCTION("""COMPUTED_VALUE"""),2484380.0)</f>
        <v>2484380</v>
      </c>
      <c r="E178" s="2"/>
      <c r="F178" s="2" t="str">
        <f>IFERROR(__xludf.DUMMYFUNCTION("""COMPUTED_VALUE"""),"DB")</f>
        <v>DB</v>
      </c>
      <c r="G178" s="2">
        <f>IFERROR(__xludf.DUMMYFUNCTION("""COMPUTED_VALUE"""),1.0811701090000033E7)</f>
        <v>10811701.09</v>
      </c>
      <c r="H178" s="2"/>
      <c r="I178" s="2" t="str">
        <f>IFERROR(__xludf.DUMMYFUNCTION("""COMPUTED_VALUE"""),"PRIBADI")</f>
        <v>PRIBADI</v>
      </c>
    </row>
    <row r="179">
      <c r="A179" s="7">
        <f>IFERROR(__xludf.DUMMYFUNCTION("""COMPUTED_VALUE"""),46326.0)</f>
        <v>46326</v>
      </c>
      <c r="B179" s="2" t="str">
        <f>IFERROR(__xludf.DUMMYFUNCTION("""COMPUTED_VALUE"""),"TRSF E-BANKING DB")</f>
        <v>TRSF E-BANKING DB</v>
      </c>
      <c r="C179" s="2" t="str">
        <f>IFERROR(__xludf.DUMMYFUNCTION("""COMPUTED_VALUE"""),"3110/FTSCY/WS95031 1369130.00 EKO SETIYAWAN")</f>
        <v>3110/FTSCY/WS95031 1369130.00 EKO SETIYAWAN</v>
      </c>
      <c r="D179" s="2">
        <f>IFERROR(__xludf.DUMMYFUNCTION("""COMPUTED_VALUE"""),1369130.0)</f>
        <v>1369130</v>
      </c>
      <c r="E179" s="2"/>
      <c r="F179" s="2" t="str">
        <f>IFERROR(__xludf.DUMMYFUNCTION("""COMPUTED_VALUE"""),"DB")</f>
        <v>DB</v>
      </c>
      <c r="G179" s="2">
        <f>IFERROR(__xludf.DUMMYFUNCTION("""COMPUTED_VALUE"""),1.3016412109000003E8)</f>
        <v>130164121.1</v>
      </c>
      <c r="H179" s="2"/>
      <c r="I179" s="2" t="str">
        <f>IFERROR(__xludf.DUMMYFUNCTION("""COMPUTED_VALUE"""),"PRIBADI")</f>
        <v>PRIBADI</v>
      </c>
    </row>
    <row r="180">
      <c r="A180" s="7">
        <f>IFERROR(__xludf.DUMMYFUNCTION("""COMPUTED_VALUE"""),46326.0)</f>
        <v>46326</v>
      </c>
      <c r="B180" s="2" t="str">
        <f>IFERROR(__xludf.DUMMYFUNCTION("""COMPUTED_VALUE"""),"TRSF E-BANKING DB")</f>
        <v>TRSF E-BANKING DB</v>
      </c>
      <c r="C180" s="2" t="str">
        <f>IFERROR(__xludf.DUMMYFUNCTION("""COMPUTED_VALUE"""),"3110/FTSCY/WS95271 117597480.00 Thu Oct 29 2026 14:00:00 GMT+0700 (Western Indonesia Time) SUPER UNGGAS JAYA")</f>
        <v>3110/FTSCY/WS95271 117597480.00 Thu Oct 29 2026 14:00:00 GMT+0700 (Western Indonesia Time) SUPER UNGGAS JAYA</v>
      </c>
      <c r="D180" s="2">
        <f>IFERROR(__xludf.DUMMYFUNCTION("""COMPUTED_VALUE"""),1.1759748E8)</f>
        <v>117597480</v>
      </c>
      <c r="E180" s="2"/>
      <c r="F180" s="2" t="str">
        <f>IFERROR(__xludf.DUMMYFUNCTION("""COMPUTED_VALUE"""),"DB")</f>
        <v>DB</v>
      </c>
      <c r="G180" s="2">
        <f>IFERROR(__xludf.DUMMYFUNCTION("""COMPUTED_VALUE"""),1.2566641090000033E7)</f>
        <v>12566641.09</v>
      </c>
      <c r="H180" s="2"/>
      <c r="I180" s="2" t="str">
        <f>IFERROR(__xludf.DUMMYFUNCTION("""COMPUTED_VALUE"""),"PRIBADI")</f>
        <v>PRIBADI</v>
      </c>
    </row>
    <row r="181">
      <c r="A181" s="7">
        <f>IFERROR(__xludf.DUMMYFUNCTION("""COMPUTED_VALUE"""),46326.0)</f>
        <v>46326</v>
      </c>
      <c r="B181" s="2" t="str">
        <f>IFERROR(__xludf.DUMMYFUNCTION("""COMPUTED_VALUE"""),"TRSF E-BANKING DB")</f>
        <v>TRSF E-BANKING DB</v>
      </c>
      <c r="C181" s="2" t="str">
        <f>IFERROR(__xludf.DUMMYFUNCTION("""COMPUTED_VALUE"""),"3110/FTSCY/WS95271 1321320.00 NURHAYATI")</f>
        <v>3110/FTSCY/WS95271 1321320.00 NURHAYATI</v>
      </c>
      <c r="D181" s="2">
        <f>IFERROR(__xludf.DUMMYFUNCTION("""COMPUTED_VALUE"""),1321320.0)</f>
        <v>1321320</v>
      </c>
      <c r="E181" s="2"/>
      <c r="F181" s="2" t="str">
        <f>IFERROR(__xludf.DUMMYFUNCTION("""COMPUTED_VALUE"""),"DB")</f>
        <v>DB</v>
      </c>
      <c r="G181" s="2">
        <f>IFERROR(__xludf.DUMMYFUNCTION("""COMPUTED_VALUE"""),1.1245321090000033E7)</f>
        <v>11245321.09</v>
      </c>
      <c r="H181" s="2"/>
      <c r="I181" s="2" t="str">
        <f>IFERROR(__xludf.DUMMYFUNCTION("""COMPUTED_VALUE"""),"PRIBADI")</f>
        <v>PRIBADI</v>
      </c>
    </row>
    <row r="182">
      <c r="A182" s="7">
        <f>IFERROR(__xludf.DUMMYFUNCTION("""COMPUTED_VALUE"""),46326.0)</f>
        <v>46326</v>
      </c>
      <c r="B182" s="2" t="str">
        <f>IFERROR(__xludf.DUMMYFUNCTION("""COMPUTED_VALUE"""),"TARIKAN ATM 31/10")</f>
        <v>TARIKAN ATM 31/10</v>
      </c>
      <c r="C182" s="2" t="str">
        <f>IFERROR(__xludf.DUMMYFUNCTION("""COMPUTED_VALUE"""),"TARIKAN ATM 31/10")</f>
        <v>TARIKAN ATM 31/10</v>
      </c>
      <c r="D182" s="2">
        <f>IFERROR(__xludf.DUMMYFUNCTION("""COMPUTED_VALUE"""),100000.0)</f>
        <v>100000</v>
      </c>
      <c r="E182" s="2"/>
      <c r="F182" s="2"/>
      <c r="G182" s="2">
        <f>IFERROR(__xludf.DUMMYFUNCTION("""COMPUTED_VALUE"""),1.2514451090000033E7)</f>
        <v>12514451.09</v>
      </c>
      <c r="H182" s="2"/>
      <c r="I182" s="2" t="str">
        <f>IFERROR(__xludf.DUMMYFUNCTION("""COMPUTED_VALUE"""),"PRIBADI")</f>
        <v>PRIBADI</v>
      </c>
    </row>
    <row r="183">
      <c r="A183" s="7">
        <f>IFERROR(__xludf.DUMMYFUNCTION("""COMPUTED_VALUE"""),46326.0)</f>
        <v>46326</v>
      </c>
      <c r="B183" s="2" t="str">
        <f>IFERROR(__xludf.DUMMYFUNCTION("""COMPUTED_VALUE"""),"TRSF E-BANKING DB")</f>
        <v>TRSF E-BANKING DB</v>
      </c>
      <c r="C183" s="2" t="str">
        <f>IFERROR(__xludf.DUMMYFUNCTION("""COMPUTED_VALUE"""),"3110/FTSCY/WS95031 2000000.00 NURUL AINI")</f>
        <v>3110/FTSCY/WS95031 2000000.00 NURUL AINI</v>
      </c>
      <c r="D183" s="2">
        <f>IFERROR(__xludf.DUMMYFUNCTION("""COMPUTED_VALUE"""),2000000.0)</f>
        <v>2000000</v>
      </c>
      <c r="E183" s="2"/>
      <c r="F183" s="2" t="str">
        <f>IFERROR(__xludf.DUMMYFUNCTION("""COMPUTED_VALUE"""),"DB")</f>
        <v>DB</v>
      </c>
      <c r="G183" s="2">
        <f>IFERROR(__xludf.DUMMYFUNCTION("""COMPUTED_VALUE"""),1.0514451090000033E7)</f>
        <v>10514451.09</v>
      </c>
      <c r="H183" s="2"/>
      <c r="I183" s="2" t="str">
        <f>IFERROR(__xludf.DUMMYFUNCTION("""COMPUTED_VALUE"""),"PRIBADI")</f>
        <v>PRIBADI</v>
      </c>
    </row>
    <row r="184">
      <c r="A184" s="7">
        <f>IFERROR(__xludf.DUMMYFUNCTION("""COMPUTED_VALUE"""),46326.0)</f>
        <v>46326</v>
      </c>
      <c r="B184" s="2" t="str">
        <f>IFERROR(__xludf.DUMMYFUNCTION("""COMPUTED_VALUE"""),"TRSF E-BANKING DB")</f>
        <v>TRSF E-BANKING DB</v>
      </c>
      <c r="C184" s="2" t="str">
        <f>IFERROR(__xludf.DUMMYFUNCTION("""COMPUTED_VALUE"""),"3110/FTSCY/WS95031 48357760.00 Thu Oct 29 2026 14:00:00 GMT+0700 (Western Indonesia Time) ANUGERAH KARTIKA A")</f>
        <v>3110/FTSCY/WS95031 48357760.00 Thu Oct 29 2026 14:00:00 GMT+0700 (Western Indonesia Time) ANUGERAH KARTIKA A</v>
      </c>
      <c r="D184" s="2">
        <f>IFERROR(__xludf.DUMMYFUNCTION("""COMPUTED_VALUE"""),4.835776E7)</f>
        <v>48357760</v>
      </c>
      <c r="E184" s="2"/>
      <c r="F184" s="2" t="str">
        <f>IFERROR(__xludf.DUMMYFUNCTION("""COMPUTED_VALUE"""),"DB")</f>
        <v>DB</v>
      </c>
      <c r="G184" s="2">
        <f>IFERROR(__xludf.DUMMYFUNCTION("""COMPUTED_VALUE"""),3.0831035109000003E8)</f>
        <v>308310351.1</v>
      </c>
      <c r="H184" s="2"/>
      <c r="I184" s="2" t="str">
        <f>IFERROR(__xludf.DUMMYFUNCTION("""COMPUTED_VALUE"""),"PRIBADI")</f>
        <v>PRIBADI</v>
      </c>
    </row>
    <row r="185">
      <c r="A185" s="7">
        <f>IFERROR(__xludf.DUMMYFUNCTION("""COMPUTED_VALUE"""),46326.0)</f>
        <v>46326</v>
      </c>
      <c r="B185" s="2" t="str">
        <f>IFERROR(__xludf.DUMMYFUNCTION("""COMPUTED_VALUE"""),"TRSF E-BANKING DB")</f>
        <v>TRSF E-BANKING DB</v>
      </c>
      <c r="C185" s="2" t="str">
        <f>IFERROR(__xludf.DUMMYFUNCTION("""COMPUTED_VALUE"""),"3110/FTSCY/WS95031 2642260.00 NURUL AINI")</f>
        <v>3110/FTSCY/WS95031 2642260.00 NURUL AINI</v>
      </c>
      <c r="D185" s="2">
        <f>IFERROR(__xludf.DUMMYFUNCTION("""COMPUTED_VALUE"""),2642260.0)</f>
        <v>2642260</v>
      </c>
      <c r="E185" s="2"/>
      <c r="F185" s="2" t="str">
        <f>IFERROR(__xludf.DUMMYFUNCTION("""COMPUTED_VALUE"""),"DB")</f>
        <v>DB</v>
      </c>
      <c r="G185" s="2">
        <f>IFERROR(__xludf.DUMMYFUNCTION("""COMPUTED_VALUE"""),3.0566809109000003E8)</f>
        <v>305668091.1</v>
      </c>
      <c r="H185" s="2"/>
      <c r="I185" s="2" t="str">
        <f>IFERROR(__xludf.DUMMYFUNCTION("""COMPUTED_VALUE"""),"PRIBADI")</f>
        <v>PRIBADI</v>
      </c>
    </row>
    <row r="186">
      <c r="A186" s="7">
        <f>IFERROR(__xludf.DUMMYFUNCTION("""COMPUTED_VALUE"""),46326.0)</f>
        <v>46326</v>
      </c>
      <c r="B186" s="2" t="str">
        <f>IFERROR(__xludf.DUMMYFUNCTION("""COMPUTED_VALUE"""),"TRSF E-BANKING DB")</f>
        <v>TRSF E-BANKING DB</v>
      </c>
      <c r="C186" s="2" t="str">
        <f>IFERROR(__xludf.DUMMYFUNCTION("""COMPUTED_VALUE"""),"3110/FTSCY/WS95031 2642260.00 SUNARTO")</f>
        <v>3110/FTSCY/WS95031 2642260.00 SUNARTO</v>
      </c>
      <c r="D186" s="2">
        <f>IFERROR(__xludf.DUMMYFUNCTION("""COMPUTED_VALUE"""),2642260.0)</f>
        <v>2642260</v>
      </c>
      <c r="E186" s="2"/>
      <c r="F186" s="2" t="str">
        <f>IFERROR(__xludf.DUMMYFUNCTION("""COMPUTED_VALUE"""),"DB")</f>
        <v>DB</v>
      </c>
      <c r="G186" s="2">
        <f>IFERROR(__xludf.DUMMYFUNCTION("""COMPUTED_VALUE"""),3.0302583109000003E8)</f>
        <v>303025831.1</v>
      </c>
      <c r="H186" s="2"/>
      <c r="I186" s="2" t="str">
        <f>IFERROR(__xludf.DUMMYFUNCTION("""COMPUTED_VALUE"""),"PRIBADI")</f>
        <v>PRIBADI</v>
      </c>
    </row>
    <row r="187">
      <c r="A187" s="7">
        <f>IFERROR(__xludf.DUMMYFUNCTION("""COMPUTED_VALUE"""),46326.0)</f>
        <v>46326</v>
      </c>
      <c r="B187" s="2" t="str">
        <f>IFERROR(__xludf.DUMMYFUNCTION("""COMPUTED_VALUE"""),"TRSF E-BANKING DB")</f>
        <v>TRSF E-BANKING DB</v>
      </c>
      <c r="C187" s="2" t="str">
        <f>IFERROR(__xludf.DUMMYFUNCTION("""COMPUTED_VALUE"""),"3110/FTSCY/WS95031 16036900.00 EKO SETIYAWAN")</f>
        <v>3110/FTSCY/WS95031 16036900.00 EKO SETIYAWAN</v>
      </c>
      <c r="D187" s="2">
        <f>IFERROR(__xludf.DUMMYFUNCTION("""COMPUTED_VALUE"""),1.60369E7)</f>
        <v>16036900</v>
      </c>
      <c r="E187" s="2"/>
      <c r="F187" s="2" t="str">
        <f>IFERROR(__xludf.DUMMYFUNCTION("""COMPUTED_VALUE"""),"DB")</f>
        <v>DB</v>
      </c>
      <c r="G187" s="2">
        <f>IFERROR(__xludf.DUMMYFUNCTION("""COMPUTED_VALUE"""),2.8698893109000003E8)</f>
        <v>286988931.1</v>
      </c>
      <c r="H187" s="2"/>
      <c r="I187" s="2" t="str">
        <f>IFERROR(__xludf.DUMMYFUNCTION("""COMPUTED_VALUE"""),"PRIBADI")</f>
        <v>PRIBADI</v>
      </c>
    </row>
    <row r="188">
      <c r="A188" s="7">
        <f>IFERROR(__xludf.DUMMYFUNCTION("""COMPUTED_VALUE"""),46326.0)</f>
        <v>46326</v>
      </c>
      <c r="B188" s="2" t="str">
        <f>IFERROR(__xludf.DUMMYFUNCTION("""COMPUTED_VALUE"""),"TRSF E-BANKING DB")</f>
        <v>TRSF E-BANKING DB</v>
      </c>
      <c r="C188" s="2" t="str">
        <f>IFERROR(__xludf.DUMMYFUNCTION("""COMPUTED_VALUE"""),"3110/FTSCY/WS95031 300000.00 EKO SETIYAWAN")</f>
        <v>3110/FTSCY/WS95031 300000.00 EKO SETIYAWAN</v>
      </c>
      <c r="D188" s="2">
        <f>IFERROR(__xludf.DUMMYFUNCTION("""COMPUTED_VALUE"""),300000.0)</f>
        <v>300000</v>
      </c>
      <c r="E188" s="2"/>
      <c r="F188" s="2" t="str">
        <f>IFERROR(__xludf.DUMMYFUNCTION("""COMPUTED_VALUE"""),"DB")</f>
        <v>DB</v>
      </c>
      <c r="G188" s="2">
        <f>IFERROR(__xludf.DUMMYFUNCTION("""COMPUTED_VALUE"""),2.8668893109000003E8)</f>
        <v>286688931.1</v>
      </c>
      <c r="H188" s="2"/>
      <c r="I188" s="2" t="str">
        <f>IFERROR(__xludf.DUMMYFUNCTION("""COMPUTED_VALUE"""),"PRIBADI")</f>
        <v>PRIBADI</v>
      </c>
    </row>
    <row r="189">
      <c r="A189" s="7">
        <f>IFERROR(__xludf.DUMMYFUNCTION("""COMPUTED_VALUE"""),46326.0)</f>
        <v>46326</v>
      </c>
      <c r="B189" s="2" t="str">
        <f>IFERROR(__xludf.DUMMYFUNCTION("""COMPUTED_VALUE"""),"TRSF E-BANKING DB")</f>
        <v>TRSF E-BANKING DB</v>
      </c>
      <c r="C189" s="2" t="str">
        <f>IFERROR(__xludf.DUMMYFUNCTION("""COMPUTED_VALUE"""),"3110/FTSCY/WS95271 30000000.00 SUGENG RIADI")</f>
        <v>3110/FTSCY/WS95271 30000000.00 SUGENG RIADI</v>
      </c>
      <c r="D189" s="2">
        <f>IFERROR(__xludf.DUMMYFUNCTION("""COMPUTED_VALUE"""),3.0E7)</f>
        <v>30000000</v>
      </c>
      <c r="E189" s="2"/>
      <c r="F189" s="2" t="str">
        <f>IFERROR(__xludf.DUMMYFUNCTION("""COMPUTED_VALUE"""),"DB")</f>
        <v>DB</v>
      </c>
      <c r="G189" s="2">
        <f>IFERROR(__xludf.DUMMYFUNCTION("""COMPUTED_VALUE"""),2.5668893109000003E8)</f>
        <v>256688931.1</v>
      </c>
      <c r="H189" s="2"/>
      <c r="I189" s="2" t="str">
        <f>IFERROR(__xludf.DUMMYFUNCTION("""COMPUTED_VALUE"""),"PRIBADI")</f>
        <v>PRIBADI</v>
      </c>
    </row>
    <row r="190">
      <c r="A190" s="7">
        <f>IFERROR(__xludf.DUMMYFUNCTION("""COMPUTED_VALUE"""),46326.0)</f>
        <v>46326</v>
      </c>
      <c r="B190" s="2" t="str">
        <f>IFERROR(__xludf.DUMMYFUNCTION("""COMPUTED_VALUE"""),"TRSF E-BANKING DB")</f>
        <v>TRSF E-BANKING DB</v>
      </c>
      <c r="C190" s="2" t="str">
        <f>IFERROR(__xludf.DUMMYFUNCTION("""COMPUTED_VALUE"""),"3110/FTSCY/WS95031 15000000.00 SUGENG RIADI")</f>
        <v>3110/FTSCY/WS95031 15000000.00 SUGENG RIADI</v>
      </c>
      <c r="D190" s="2">
        <f>IFERROR(__xludf.DUMMYFUNCTION("""COMPUTED_VALUE"""),1.5E7)</f>
        <v>15000000</v>
      </c>
      <c r="E190" s="2"/>
      <c r="F190" s="2" t="str">
        <f>IFERROR(__xludf.DUMMYFUNCTION("""COMPUTED_VALUE"""),"DB")</f>
        <v>DB</v>
      </c>
      <c r="G190" s="2">
        <f>IFERROR(__xludf.DUMMYFUNCTION("""COMPUTED_VALUE"""),2.4168893109000003E8)</f>
        <v>241688931.1</v>
      </c>
      <c r="H190" s="2"/>
      <c r="I190" s="2" t="str">
        <f>IFERROR(__xludf.DUMMYFUNCTION("""COMPUTED_VALUE"""),"PRIBADI")</f>
        <v>PRIBADI</v>
      </c>
    </row>
    <row r="191">
      <c r="A191" s="7">
        <f>IFERROR(__xludf.DUMMYFUNCTION("""COMPUTED_VALUE"""),46326.0)</f>
        <v>46326</v>
      </c>
      <c r="B191" s="2" t="str">
        <f>IFERROR(__xludf.DUMMYFUNCTION("""COMPUTED_VALUE"""),"PAJAK BUNGA")</f>
        <v>PAJAK BUNGA</v>
      </c>
      <c r="C191" s="2" t="str">
        <f>IFERROR(__xludf.DUMMYFUNCTION("""COMPUTED_VALUE""")," SALDO AWAL : MUTASI CR : MUTASI DB : SALDO AKHIR :")</f>
        <v> SALDO AWAL : MUTASI CR : MUTASI DB : SALDO AKHIR :</v>
      </c>
      <c r="D191" s="2">
        <f>IFERROR(__xludf.DUMMYFUNCTION("""COMPUTED_VALUE"""),389.52)</f>
        <v>389.52</v>
      </c>
      <c r="E191" s="2"/>
      <c r="F191" s="2"/>
      <c r="G191" s="2">
        <f>IFERROR(__xludf.DUMMYFUNCTION("""COMPUTED_VALUE"""),2.4169048919000003E8)</f>
        <v>241690489.2</v>
      </c>
      <c r="H191" s="2">
        <f>IFERROR(__xludf.DUMMYFUNCTION("""COMPUTED_VALUE"""),2.4169048919E8)</f>
        <v>241690489.2</v>
      </c>
      <c r="I191" s="2" t="str">
        <f>IFERROR(__xludf.DUMMYFUNCTION("""COMPUTED_VALUE"""),"PRIBADI")</f>
        <v>PRIBADI</v>
      </c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f>IFERROR(__xludf.DUMMYFUNCTION("IFERROR(QUERY(OKT_2023!A:I, ""SELECT * WHERE D IS NOT NULL AND UPPER(I) = 'PRODUKSI'"", 1), ""Data PRODUKSI belum ditemukan"") "),46296.0)</f>
        <v>46296</v>
      </c>
      <c r="B1" s="2" t="str">
        <f>IFERROR(__xludf.DUMMYFUNCTION("""COMPUTED_VALUE"""),"TRSF E-BANKING DB")</f>
        <v>TRSF E-BANKING DB</v>
      </c>
      <c r="C1" s="2" t="str">
        <f>IFERROR(__xludf.DUMMYFUNCTION("""COMPUTED_VALUE"""),"0110/FTSCY/WS95031 2000000.00 HERMAWAN 2000000.00 HERMAWAN")</f>
        <v>0110/FTSCY/WS95031 2000000.00 HERMAWAN 2000000.00 HERMAWAN</v>
      </c>
      <c r="D1" s="2">
        <f>IFERROR(__xludf.DUMMYFUNCTION("""COMPUTED_VALUE"""),2000000.0)</f>
        <v>2000000</v>
      </c>
      <c r="E1" s="2"/>
      <c r="F1" s="2" t="str">
        <f>IFERROR(__xludf.DUMMYFUNCTION("""COMPUTED_VALUE"""),"DB")</f>
        <v>DB</v>
      </c>
      <c r="G1" s="2">
        <f>IFERROR(__xludf.DUMMYFUNCTION("""COMPUTED_VALUE"""),9.484474909E7)</f>
        <v>94844749.09</v>
      </c>
      <c r="H1" s="2"/>
      <c r="I1" s="2" t="str">
        <f>IFERROR(__xludf.DUMMYFUNCTION("""COMPUTED_VALUE"""),"PRODUKSI")</f>
        <v>PRODUKSI</v>
      </c>
      <c r="J1" s="2">
        <f>SUM(D1:D1000) </f>
        <v>4212634800</v>
      </c>
    </row>
    <row r="2">
      <c r="A2" s="7">
        <f>IFERROR(__xludf.DUMMYFUNCTION("""COMPUTED_VALUE"""),46296.0)</f>
        <v>46296</v>
      </c>
      <c r="B2" s="2" t="str">
        <f>IFERROR(__xludf.DUMMYFUNCTION("""COMPUTED_VALUE"""),"TRSF E-BANKING DB")</f>
        <v>TRSF E-BANKING DB</v>
      </c>
      <c r="C2" s="2" t="str">
        <f>IFERROR(__xludf.DUMMYFUNCTION("""COMPUTED_VALUE"""),"0110/FTSCY/WS95271 89113790.00 29/09 krg 40 jt GANESHA SATRIA NUS 89113790.00 29/09 krg 40 jt GANESHA SATRIA NUS")</f>
        <v>0110/FTSCY/WS95271 89113790.00 29/09 krg 40 jt GANESHA SATRIA NUS 89113790.00 29/09 krg 40 jt GANESHA SATRIA NUS</v>
      </c>
      <c r="D2" s="2">
        <f>IFERROR(__xludf.DUMMYFUNCTION("""COMPUTED_VALUE"""),8.911379E7)</f>
        <v>89113790</v>
      </c>
      <c r="E2" s="2"/>
      <c r="F2" s="2" t="str">
        <f>IFERROR(__xludf.DUMMYFUNCTION("""COMPUTED_VALUE"""),"DB")</f>
        <v>DB</v>
      </c>
      <c r="G2" s="2">
        <f>IFERROR(__xludf.DUMMYFUNCTION("""COMPUTED_VALUE"""),5730959.090000004)</f>
        <v>5730959.09</v>
      </c>
      <c r="H2" s="2"/>
      <c r="I2" s="2" t="str">
        <f>IFERROR(__xludf.DUMMYFUNCTION("""COMPUTED_VALUE"""),"PRODUKSI")</f>
        <v>PRODUKSI</v>
      </c>
    </row>
    <row r="3">
      <c r="A3" s="7">
        <f>IFERROR(__xludf.DUMMYFUNCTION("""COMPUTED_VALUE"""),46297.0)</f>
        <v>46297</v>
      </c>
      <c r="B3" s="2" t="str">
        <f>IFERROR(__xludf.DUMMYFUNCTION("""COMPUTED_VALUE"""),"TRSF E-BANKING DB TANGGAL :01/10")</f>
        <v>TRSF E-BANKING DB TANGGAL :01/10</v>
      </c>
      <c r="C3" s="2" t="str">
        <f>IFERROR(__xludf.DUMMYFUNCTION("""COMPUTED_VALUE"""),"0110/FTSCY/WS95271 Tue Sep 29 2026 14:00:00 GMT+0700 (Western Indonesia Time) TABASSAM AL HATTAK Tue Sep 29 2026 14:00:00 GMT+0700 (Western Indonesia Time) TABASSAM AL HATTAK")</f>
        <v>0110/FTSCY/WS95271 Tue Sep 29 2026 14:00:00 GMT+0700 (Western Indonesia Time) TABASSAM AL HATTAK Tue Sep 29 2026 14:00:00 GMT+0700 (Western Indonesia Time) TABASSAM AL HATTAK</v>
      </c>
      <c r="D3" s="2">
        <f>IFERROR(__xludf.DUMMYFUNCTION("""COMPUTED_VALUE"""),5.85195E7)</f>
        <v>58519500</v>
      </c>
      <c r="E3" s="2"/>
      <c r="F3" s="2" t="str">
        <f>IFERROR(__xludf.DUMMYFUNCTION("""COMPUTED_VALUE"""),"DB")</f>
        <v>DB</v>
      </c>
      <c r="G3" s="2">
        <f>IFERROR(__xludf.DUMMYFUNCTION("""COMPUTED_VALUE"""),1.6836689090000004E7)</f>
        <v>16836689.09</v>
      </c>
      <c r="H3" s="2"/>
      <c r="I3" s="2" t="str">
        <f>IFERROR(__xludf.DUMMYFUNCTION("""COMPUTED_VALUE"""),"PRODUKSI")</f>
        <v>PRODUKSI</v>
      </c>
    </row>
    <row r="4">
      <c r="A4" s="7">
        <f>IFERROR(__xludf.DUMMYFUNCTION("""COMPUTED_VALUE"""),46297.0)</f>
        <v>46297</v>
      </c>
      <c r="B4" s="2" t="str">
        <f>IFERROR(__xludf.DUMMYFUNCTION("""COMPUTED_VALUE"""),"TRSF E-BANKING DB TANGGAL :01/10")</f>
        <v>TRSF E-BANKING DB TANGGAL :01/10</v>
      </c>
      <c r="C4" s="2" t="str">
        <f>IFERROR(__xludf.DUMMYFUNCTION("""COMPUTED_VALUE"""),"0110/FTSCY/WS95271 pelunasan GANESHA SATRIA NUS pelunasan GANESHA SATRIA NUS")</f>
        <v>0110/FTSCY/WS95271 pelunasan GANESHA SATRIA NUS pelunasan GANESHA SATRIA NUS</v>
      </c>
      <c r="D4" s="2">
        <f>IFERROR(__xludf.DUMMYFUNCTION("""COMPUTED_VALUE"""),4.0E7)</f>
        <v>40000000</v>
      </c>
      <c r="E4" s="2"/>
      <c r="F4" s="2" t="str">
        <f>IFERROR(__xludf.DUMMYFUNCTION("""COMPUTED_VALUE"""),"DB")</f>
        <v>DB</v>
      </c>
      <c r="G4" s="2">
        <f>IFERROR(__xludf.DUMMYFUNCTION("""COMPUTED_VALUE"""),2.9356689090000004E7)</f>
        <v>29356689.09</v>
      </c>
      <c r="H4" s="2"/>
      <c r="I4" s="2" t="str">
        <f>IFERROR(__xludf.DUMMYFUNCTION("""COMPUTED_VALUE"""),"PRODUKSI")</f>
        <v>PRODUKSI</v>
      </c>
    </row>
    <row r="5">
      <c r="A5" s="7">
        <f>IFERROR(__xludf.DUMMYFUNCTION("""COMPUTED_VALUE"""),46297.0)</f>
        <v>46297</v>
      </c>
      <c r="B5" s="2" t="str">
        <f>IFERROR(__xludf.DUMMYFUNCTION("""COMPUTED_VALUE"""),"TRSF E-BANKING DB TANGGAL :01/10")</f>
        <v>TRSF E-BANKING DB TANGGAL :01/10</v>
      </c>
      <c r="C5" s="2" t="str">
        <f>IFERROR(__xludf.DUMMYFUNCTION("""COMPUTED_VALUE"""),"0110/FTSCY/WS95271 29/09 krg 80.6 jt BINTANG TAMA SANTO 29/09 krg 80.6 jt BINTANG TAMA SANTO")</f>
        <v>0110/FTSCY/WS95271 29/09 krg 80.6 jt BINTANG TAMA SANTO 29/09 krg 80.6 jt BINTANG TAMA SANTO</v>
      </c>
      <c r="D5" s="2">
        <f>IFERROR(__xludf.DUMMYFUNCTION("""COMPUTED_VALUE"""),2.923465E7)</f>
        <v>29234650</v>
      </c>
      <c r="E5" s="2"/>
      <c r="F5" s="2" t="str">
        <f>IFERROR(__xludf.DUMMYFUNCTION("""COMPUTED_VALUE"""),"DB")</f>
        <v>DB</v>
      </c>
      <c r="G5" s="2">
        <f>IFERROR(__xludf.DUMMYFUNCTION("""COMPUTED_VALUE"""),122039.09000000358)</f>
        <v>122039.09</v>
      </c>
      <c r="H5" s="2"/>
      <c r="I5" s="2" t="str">
        <f>IFERROR(__xludf.DUMMYFUNCTION("""COMPUTED_VALUE"""),"PRODUKSI")</f>
        <v>PRODUKSI</v>
      </c>
    </row>
    <row r="6">
      <c r="A6" s="7">
        <f>IFERROR(__xludf.DUMMYFUNCTION("""COMPUTED_VALUE"""),46297.0)</f>
        <v>46297</v>
      </c>
      <c r="B6" s="2" t="str">
        <f>IFERROR(__xludf.DUMMYFUNCTION("""COMPUTED_VALUE"""),"TRSF E-BANKING DB")</f>
        <v>TRSF E-BANKING DB</v>
      </c>
      <c r="C6" s="2" t="str">
        <f>IFERROR(__xludf.DUMMYFUNCTION("""COMPUTED_VALUE"""),"0210/FTSCY/WS95031 715500.00 pelunasan RUKUN MITRA BERSAM 715500.00 pelunasan RUKUN MITRA BERSAM")</f>
        <v>0210/FTSCY/WS95031 715500.00 pelunasan RUKUN MITRA BERSAM 715500.00 pelunasan RUKUN MITRA BERSAM</v>
      </c>
      <c r="D6" s="2">
        <f>IFERROR(__xludf.DUMMYFUNCTION("""COMPUTED_VALUE"""),715500.0)</f>
        <v>715500</v>
      </c>
      <c r="E6" s="2"/>
      <c r="F6" s="2" t="str">
        <f>IFERROR(__xludf.DUMMYFUNCTION("""COMPUTED_VALUE"""),"DB")</f>
        <v>DB</v>
      </c>
      <c r="G6" s="2">
        <f>IFERROR(__xludf.DUMMYFUNCTION("""COMPUTED_VALUE"""),1.6256539090000004E7)</f>
        <v>16256539.09</v>
      </c>
      <c r="H6" s="2">
        <f>IFERROR(__xludf.DUMMYFUNCTION("""COMPUTED_VALUE"""),1.625653909E7)</f>
        <v>16256539.09</v>
      </c>
      <c r="I6" s="2" t="str">
        <f>IFERROR(__xludf.DUMMYFUNCTION("""COMPUTED_VALUE"""),"PRODUKSI")</f>
        <v>PRODUKSI</v>
      </c>
    </row>
    <row r="7">
      <c r="A7" s="7">
        <f>IFERROR(__xludf.DUMMYFUNCTION("""COMPUTED_VALUE"""),46297.0)</f>
        <v>46297</v>
      </c>
      <c r="B7" s="2" t="str">
        <f>IFERROR(__xludf.DUMMYFUNCTION("""COMPUTED_VALUE"""),"TRSF E-BANKING DB")</f>
        <v>TRSF E-BANKING DB</v>
      </c>
      <c r="C7" s="2" t="str">
        <f>IFERROR(__xludf.DUMMYFUNCTION("""COMPUTED_VALUE"""),"0210/FTSCY/WS95031 16200000.00 NURUL AINI 16200000.00 NURUL AINI")</f>
        <v>0210/FTSCY/WS95031 16200000.00 NURUL AINI 16200000.00 NURUL AINI</v>
      </c>
      <c r="D7" s="2">
        <f>IFERROR(__xludf.DUMMYFUNCTION("""COMPUTED_VALUE"""),1.62E7)</f>
        <v>16200000</v>
      </c>
      <c r="E7" s="2"/>
      <c r="F7" s="2" t="str">
        <f>IFERROR(__xludf.DUMMYFUNCTION("""COMPUTED_VALUE"""),"DB")</f>
        <v>DB</v>
      </c>
      <c r="G7" s="2">
        <f>IFERROR(__xludf.DUMMYFUNCTION("""COMPUTED_VALUE"""),56539.090000003576)</f>
        <v>56539.09</v>
      </c>
      <c r="H7" s="2"/>
      <c r="I7" s="2" t="str">
        <f>IFERROR(__xludf.DUMMYFUNCTION("""COMPUTED_VALUE"""),"PRODUKSI")</f>
        <v>PRODUKSI</v>
      </c>
    </row>
    <row r="8">
      <c r="A8" s="7">
        <f>IFERROR(__xludf.DUMMYFUNCTION("""COMPUTED_VALUE"""),46297.0)</f>
        <v>46297</v>
      </c>
      <c r="B8" s="2" t="str">
        <f>IFERROR(__xludf.DUMMYFUNCTION("""COMPUTED_VALUE"""),"TRSF E-BANKING DB")</f>
        <v>TRSF E-BANKING DB</v>
      </c>
      <c r="C8" s="2" t="str">
        <f>IFERROR(__xludf.DUMMYFUNCTION("""COMPUTED_VALUE"""),"0210/FTSCY/WS95011 148868900.00 Tue Sep 29 2026 14:00:00 GMT+0700 (Western Indonesia Time) LAJU SATWA WISESA 148868900.00 Tue Sep 29 2026 14:00:00 GMT+0700 (Western Indonesia Time) LAJU SATWA WISESA")</f>
        <v>0210/FTSCY/WS95011 148868900.00 Tue Sep 29 2026 14:00:00 GMT+0700 (Western Indonesia Time) LAJU SATWA WISESA 148868900.00 Tue Sep 29 2026 14:00:00 GMT+0700 (Western Indonesia Time) LAJU SATWA WISESA</v>
      </c>
      <c r="D8" s="2">
        <f>IFERROR(__xludf.DUMMYFUNCTION("""COMPUTED_VALUE"""),1.488689E8)</f>
        <v>148868900</v>
      </c>
      <c r="E8" s="2"/>
      <c r="F8" s="2" t="str">
        <f>IFERROR(__xludf.DUMMYFUNCTION("""COMPUTED_VALUE"""),"DB")</f>
        <v>DB</v>
      </c>
      <c r="G8" s="2">
        <f>IFERROR(__xludf.DUMMYFUNCTION("""COMPUTED_VALUE"""),2.9286011909000003E8)</f>
        <v>292860119.1</v>
      </c>
      <c r="H8" s="2"/>
      <c r="I8" s="2" t="str">
        <f>IFERROR(__xludf.DUMMYFUNCTION("""COMPUTED_VALUE"""),"PRODUKSI")</f>
        <v>PRODUKSI</v>
      </c>
    </row>
    <row r="9">
      <c r="A9" s="7">
        <f>IFERROR(__xludf.DUMMYFUNCTION("""COMPUTED_VALUE"""),46297.0)</f>
        <v>46297</v>
      </c>
      <c r="B9" s="2" t="str">
        <f>IFERROR(__xludf.DUMMYFUNCTION("""COMPUTED_VALUE"""),"TRSF E-BANKING DB")</f>
        <v>TRSF E-BANKING DB</v>
      </c>
      <c r="C9" s="2" t="str">
        <f>IFERROR(__xludf.DUMMYFUNCTION("""COMPUTED_VALUE"""),"0210/FTSCY/WS95011 68250000.00 Tue Sep 29 2026 14:00:00 GMT+0700 (Western Indonesia Time) PITIK DIGITAL INDO 68250000.00 Tue Sep 29 2026 14:00:00 GMT+0700 (Western Indonesia Time) PITIK DIGITAL INDO")</f>
        <v>0210/FTSCY/WS95011 68250000.00 Tue Sep 29 2026 14:00:00 GMT+0700 (Western Indonesia Time) PITIK DIGITAL INDO 68250000.00 Tue Sep 29 2026 14:00:00 GMT+0700 (Western Indonesia Time) PITIK DIGITAL INDO</v>
      </c>
      <c r="D9" s="2">
        <f>IFERROR(__xludf.DUMMYFUNCTION("""COMPUTED_VALUE"""),6.825E7)</f>
        <v>68250000</v>
      </c>
      <c r="E9" s="2"/>
      <c r="F9" s="2" t="str">
        <f>IFERROR(__xludf.DUMMYFUNCTION("""COMPUTED_VALUE"""),"DB")</f>
        <v>DB</v>
      </c>
      <c r="G9" s="2">
        <f>IFERROR(__xludf.DUMMYFUNCTION("""COMPUTED_VALUE"""),4.037811909000003E7)</f>
        <v>40378119.09</v>
      </c>
      <c r="H9" s="2"/>
      <c r="I9" s="2" t="str">
        <f>IFERROR(__xludf.DUMMYFUNCTION("""COMPUTED_VALUE"""),"PRODUKSI")</f>
        <v>PRODUKSI</v>
      </c>
    </row>
    <row r="10">
      <c r="A10" s="7">
        <f>IFERROR(__xludf.DUMMYFUNCTION("""COMPUTED_VALUE"""),46297.0)</f>
        <v>46297</v>
      </c>
      <c r="B10" s="2" t="str">
        <f>IFERROR(__xludf.DUMMYFUNCTION("""COMPUTED_VALUE"""),"BI-FAST DB")</f>
        <v>BI-FAST DB</v>
      </c>
      <c r="C10" s="2" t="str">
        <f>IFERROR(__xludf.DUMMYFUNCTION("""COMPUTED_VALUE"""),"BIF BIAYA TXN KE 9 EKKI DEVINDA PUTRI M-BCA 9 EKKI DEVINDA PUTRI M-BCA")</f>
        <v>BIF BIAYA TXN KE 9 EKKI DEVINDA PUTRI M-BCA 9 EKKI DEVINDA PUTRI M-BCA</v>
      </c>
      <c r="D10" s="2">
        <f>IFERROR(__xludf.DUMMYFUNCTION("""COMPUTED_VALUE"""),2500.0)</f>
        <v>2500</v>
      </c>
      <c r="E10" s="2"/>
      <c r="F10" s="2" t="str">
        <f>IFERROR(__xludf.DUMMYFUNCTION("""COMPUTED_VALUE"""),"DB")</f>
        <v>DB</v>
      </c>
      <c r="G10" s="2">
        <f>IFERROR(__xludf.DUMMYFUNCTION("""COMPUTED_VALUE"""),2.8328619090000033E7)</f>
        <v>28328619.09</v>
      </c>
      <c r="H10" s="2">
        <f>IFERROR(__xludf.DUMMYFUNCTION("""COMPUTED_VALUE"""),2.832861909E7)</f>
        <v>28328619.09</v>
      </c>
      <c r="I10" s="2" t="str">
        <f>IFERROR(__xludf.DUMMYFUNCTION("""COMPUTED_VALUE"""),"PRODUKSI")</f>
        <v>PRODUKSI</v>
      </c>
    </row>
    <row r="11">
      <c r="A11" s="7">
        <f>IFERROR(__xludf.DUMMYFUNCTION("""COMPUTED_VALUE"""),46297.0)</f>
        <v>46297</v>
      </c>
      <c r="B11" s="2" t="str">
        <f>IFERROR(__xludf.DUMMYFUNCTION("""COMPUTED_VALUE"""),"TRSF E-BANKING DB")</f>
        <v>TRSF E-BANKING DB</v>
      </c>
      <c r="C11" s="2" t="str">
        <f>IFERROR(__xludf.DUMMYFUNCTION("""COMPUTED_VALUE"""),"0210/FTFVA/WS95031 67847/UNGGAS MANDI pelunasan - 200043 67847/UNGGAS MANDI pelunasan - 200043")</f>
        <v>0210/FTFVA/WS95031 67847/UNGGAS MANDI pelunasan - 200043 67847/UNGGAS MANDI pelunasan - 200043</v>
      </c>
      <c r="D11" s="2">
        <f>IFERROR(__xludf.DUMMYFUNCTION("""COMPUTED_VALUE"""),3100000.0)</f>
        <v>3100000</v>
      </c>
      <c r="E11" s="2"/>
      <c r="F11" s="2" t="str">
        <f>IFERROR(__xludf.DUMMYFUNCTION("""COMPUTED_VALUE"""),"DB")</f>
        <v>DB</v>
      </c>
      <c r="G11" s="2">
        <f>IFERROR(__xludf.DUMMYFUNCTION("""COMPUTED_VALUE"""),2.5228619090000033E7)</f>
        <v>25228619.09</v>
      </c>
      <c r="H11" s="2">
        <f>IFERROR(__xludf.DUMMYFUNCTION("""COMPUTED_VALUE"""),2.522861909E7)</f>
        <v>25228619.09</v>
      </c>
      <c r="I11" s="2" t="str">
        <f>IFERROR(__xludf.DUMMYFUNCTION("""COMPUTED_VALUE"""),"PRODUKSI")</f>
        <v>PRODUKSI</v>
      </c>
    </row>
    <row r="12">
      <c r="A12" s="7">
        <f>IFERROR(__xludf.DUMMYFUNCTION("""COMPUTED_VALUE"""),46298.0)</f>
        <v>46298</v>
      </c>
      <c r="B12" s="2" t="str">
        <f>IFERROR(__xludf.DUMMYFUNCTION("""COMPUTED_VALUE"""),"BYR VIA E-BANKING")</f>
        <v>BYR VIA E-BANKING</v>
      </c>
      <c r="C12" s="2" t="str">
        <f>IFERROR(__xludf.DUMMYFUNCTION("""COMPUTED_VALUE"""),"03/10  WSID9503100 1220 TELKOMSEL 82318368518 MUHAMMAD HAIRUL MA 1220 TELKOMSEL 82318368518 MUHAMMAD HAIRUL MA")</f>
        <v>03/10  WSID9503100 1220 TELKOMSEL 82318368518 MUHAMMAD HAIRUL MA 1220 TELKOMSEL 82318368518 MUHAMMAD HAIRUL MA</v>
      </c>
      <c r="D12" s="2">
        <f>IFERROR(__xludf.DUMMYFUNCTION("""COMPUTED_VALUE"""),27000.0)</f>
        <v>27000</v>
      </c>
      <c r="E12" s="2"/>
      <c r="F12" s="2"/>
      <c r="G12" s="2">
        <f>IFERROR(__xludf.DUMMYFUNCTION("""COMPUTED_VALUE"""),1.5099858909000003E8)</f>
        <v>150998589.1</v>
      </c>
      <c r="H12" s="2"/>
      <c r="I12" s="2" t="str">
        <f>IFERROR(__xludf.DUMMYFUNCTION("""COMPUTED_VALUE"""),"PRODUKSI")</f>
        <v>PRODUKSI</v>
      </c>
    </row>
    <row r="13">
      <c r="A13" s="7">
        <f>IFERROR(__xludf.DUMMYFUNCTION("""COMPUTED_VALUE"""),46298.0)</f>
        <v>46298</v>
      </c>
      <c r="B13" s="2" t="str">
        <f>IFERROR(__xludf.DUMMYFUNCTION("""COMPUTED_VALUE"""),"TRSF E-BANKING DB")</f>
        <v>TRSF E-BANKING DB</v>
      </c>
      <c r="C13" s="2" t="str">
        <f>IFERROR(__xludf.DUMMYFUNCTION("""COMPUTED_VALUE"""),"0310/FTFVA/WS95031 67847/UNGGAS MANDI ponorogo - 200043 67847/UNGGAS MANDI ponorogo - 200043")</f>
        <v>0310/FTFVA/WS95031 67847/UNGGAS MANDI ponorogo - 200043 67847/UNGGAS MANDI ponorogo - 200043</v>
      </c>
      <c r="D13" s="2">
        <f>IFERROR(__xludf.DUMMYFUNCTION("""COMPUTED_VALUE"""),6.433812E7)</f>
        <v>64338120</v>
      </c>
      <c r="E13" s="2"/>
      <c r="F13" s="2" t="str">
        <f>IFERROR(__xludf.DUMMYFUNCTION("""COMPUTED_VALUE"""),"DB")</f>
        <v>DB</v>
      </c>
      <c r="G13" s="2">
        <f>IFERROR(__xludf.DUMMYFUNCTION("""COMPUTED_VALUE"""),7.560879909000003E7)</f>
        <v>75608799.09</v>
      </c>
      <c r="H13" s="2"/>
      <c r="I13" s="2" t="str">
        <f>IFERROR(__xludf.DUMMYFUNCTION("""COMPUTED_VALUE"""),"PRODUKSI")</f>
        <v>PRODUKSI</v>
      </c>
    </row>
    <row r="14">
      <c r="A14" s="7">
        <f>IFERROR(__xludf.DUMMYFUNCTION("""COMPUTED_VALUE"""),46298.0)</f>
        <v>46298</v>
      </c>
      <c r="B14" s="2" t="str">
        <f>IFERROR(__xludf.DUMMYFUNCTION("""COMPUTED_VALUE"""),"BI-FAST DB")</f>
        <v>BI-FAST DB</v>
      </c>
      <c r="C14" s="2" t="str">
        <f>IFERROR(__xludf.DUMMYFUNCTION("""COMPUTED_VALUE"""),"BIF TRANSFER KE 2 M RIFAI M-BCA 2 M RIFAI M-BCA")</f>
        <v>BIF TRANSFER KE 2 M RIFAI M-BCA 2 M RIFAI M-BCA</v>
      </c>
      <c r="D14" s="2">
        <f>IFERROR(__xludf.DUMMYFUNCTION("""COMPUTED_VALUE"""),200000.0)</f>
        <v>200000</v>
      </c>
      <c r="E14" s="2"/>
      <c r="F14" s="2" t="str">
        <f>IFERROR(__xludf.DUMMYFUNCTION("""COMPUTED_VALUE"""),"DB")</f>
        <v>DB</v>
      </c>
      <c r="G14" s="2">
        <f>IFERROR(__xludf.DUMMYFUNCTION("""COMPUTED_VALUE"""),4.3501123909000003E8)</f>
        <v>435011239.1</v>
      </c>
      <c r="H14" s="2"/>
      <c r="I14" s="2" t="str">
        <f>IFERROR(__xludf.DUMMYFUNCTION("""COMPUTED_VALUE"""),"PRODUKSI")</f>
        <v>PRODUKSI</v>
      </c>
    </row>
    <row r="15">
      <c r="A15" s="7">
        <f>IFERROR(__xludf.DUMMYFUNCTION("""COMPUTED_VALUE"""),46298.0)</f>
        <v>46298</v>
      </c>
      <c r="B15" s="2" t="str">
        <f>IFERROR(__xludf.DUMMYFUNCTION("""COMPUTED_VALUE"""),"BI-FAST DB")</f>
        <v>BI-FAST DB</v>
      </c>
      <c r="C15" s="2" t="str">
        <f>IFERROR(__xludf.DUMMYFUNCTION("""COMPUTED_VALUE"""),"BIF BIAYA TXN KE 2 M RIFAI M-BCA 2 M RIFAI M-BCA")</f>
        <v>BIF BIAYA TXN KE 2 M RIFAI M-BCA 2 M RIFAI M-BCA</v>
      </c>
      <c r="D15" s="2">
        <f>IFERROR(__xludf.DUMMYFUNCTION("""COMPUTED_VALUE"""),2500.0)</f>
        <v>2500</v>
      </c>
      <c r="E15" s="2"/>
      <c r="F15" s="2" t="str">
        <f>IFERROR(__xludf.DUMMYFUNCTION("""COMPUTED_VALUE"""),"DB")</f>
        <v>DB</v>
      </c>
      <c r="G15" s="2">
        <f>IFERROR(__xludf.DUMMYFUNCTION("""COMPUTED_VALUE"""),4.3500873909000003E8)</f>
        <v>435008739.1</v>
      </c>
      <c r="H15" s="2"/>
      <c r="I15" s="2" t="str">
        <f>IFERROR(__xludf.DUMMYFUNCTION("""COMPUTED_VALUE"""),"PRODUKSI")</f>
        <v>PRODUKSI</v>
      </c>
    </row>
    <row r="16">
      <c r="A16" s="7">
        <f>IFERROR(__xludf.DUMMYFUNCTION("""COMPUTED_VALUE"""),46298.0)</f>
        <v>46298</v>
      </c>
      <c r="B16" s="2" t="str">
        <f>IFERROR(__xludf.DUMMYFUNCTION("""COMPUTED_VALUE"""),"TRSF E-BANKING DB")</f>
        <v>TRSF E-BANKING DB</v>
      </c>
      <c r="C16" s="2" t="str">
        <f>IFERROR(__xludf.DUMMYFUNCTION("""COMPUTED_VALUE"""),"0310/FTSCY/WS95031 15927190.00 EKO SETIYAWAN 15927190.00 EKO SETIYAWAN")</f>
        <v>0310/FTSCY/WS95031 15927190.00 EKO SETIYAWAN 15927190.00 EKO SETIYAWAN</v>
      </c>
      <c r="D16" s="2">
        <f>IFERROR(__xludf.DUMMYFUNCTION("""COMPUTED_VALUE"""),1.592719E7)</f>
        <v>15927190</v>
      </c>
      <c r="E16" s="2"/>
      <c r="F16" s="2" t="str">
        <f>IFERROR(__xludf.DUMMYFUNCTION("""COMPUTED_VALUE"""),"DB")</f>
        <v>DB</v>
      </c>
      <c r="G16" s="2">
        <f>IFERROR(__xludf.DUMMYFUNCTION("""COMPUTED_VALUE"""),7.0674506909E8)</f>
        <v>706745069.1</v>
      </c>
      <c r="H16" s="2"/>
      <c r="I16" s="2" t="str">
        <f>IFERROR(__xludf.DUMMYFUNCTION("""COMPUTED_VALUE"""),"PRODUKSI")</f>
        <v>PRODUKSI</v>
      </c>
    </row>
    <row r="17">
      <c r="A17" s="7">
        <f>IFERROR(__xludf.DUMMYFUNCTION("""COMPUTED_VALUE"""),46299.0)</f>
        <v>46299</v>
      </c>
      <c r="B17" s="2" t="str">
        <f>IFERROR(__xludf.DUMMYFUNCTION("""COMPUTED_VALUE"""),"TRSF E-BANKING DB TANGGAL :03/10")</f>
        <v>TRSF E-BANKING DB TANGGAL :03/10</v>
      </c>
      <c r="C17" s="2" t="str">
        <f>IFERROR(__xludf.DUMMYFUNCTION("""COMPUTED_VALUE"""),"0310/FTSCY/WS95011 Tue Sep 01 2026 14:00:00 GMT+0700 (Western Indonesia Time) ANDALAN YASA MITRA Tue Sep 01 2026 14:00:00 GMT+0700 (Western Indonesia Time) ANDALAN YASA MITRA")</f>
        <v>0310/FTSCY/WS95011 Tue Sep 01 2026 14:00:00 GMT+0700 (Western Indonesia Time) ANDALAN YASA MITRA Tue Sep 01 2026 14:00:00 GMT+0700 (Western Indonesia Time) ANDALAN YASA MITRA</v>
      </c>
      <c r="D17" s="2">
        <f>IFERROR(__xludf.DUMMYFUNCTION("""COMPUTED_VALUE"""),4.4108E7)</f>
        <v>44108000</v>
      </c>
      <c r="E17" s="2"/>
      <c r="F17" s="2" t="str">
        <f>IFERROR(__xludf.DUMMYFUNCTION("""COMPUTED_VALUE"""),"DB")</f>
        <v>DB</v>
      </c>
      <c r="G17" s="2">
        <f>IFERROR(__xludf.DUMMYFUNCTION("""COMPUTED_VALUE"""),6.6163706909E8)</f>
        <v>661637069.1</v>
      </c>
      <c r="H17" s="2"/>
      <c r="I17" s="2" t="str">
        <f>IFERROR(__xludf.DUMMYFUNCTION("""COMPUTED_VALUE"""),"PRODUKSI")</f>
        <v>PRODUKSI</v>
      </c>
    </row>
    <row r="18">
      <c r="A18" s="7">
        <f>IFERROR(__xludf.DUMMYFUNCTION("""COMPUTED_VALUE"""),46299.0)</f>
        <v>46299</v>
      </c>
      <c r="B18" s="2" t="str">
        <f>IFERROR(__xludf.DUMMYFUNCTION("""COMPUTED_VALUE"""),"TRSF E-BANKING DB TANGGAL :03/10")</f>
        <v>TRSF E-BANKING DB TANGGAL :03/10</v>
      </c>
      <c r="C18" s="2" t="str">
        <f>IFERROR(__xludf.DUMMYFUNCTION("""COMPUTED_VALUE"""),"0310/FTSCY/WS95011 Thu Oct 01 2026 14:00:00 GMT+0700 (Western Indonesia Time) ANUGERAH KARTIKA A Thu Oct 01 2026 14:00:00 GMT+0700 (Western Indonesia Time) ANUGERAH KARTIKA A")</f>
        <v>0310/FTSCY/WS95011 Thu Oct 01 2026 14:00:00 GMT+0700 (Western Indonesia Time) ANUGERAH KARTIKA A Thu Oct 01 2026 14:00:00 GMT+0700 (Western Indonesia Time) ANUGERAH KARTIKA A</v>
      </c>
      <c r="D18" s="2">
        <f>IFERROR(__xludf.DUMMYFUNCTION("""COMPUTED_VALUE"""),5.72185E7)</f>
        <v>57218500</v>
      </c>
      <c r="E18" s="2"/>
      <c r="F18" s="2" t="str">
        <f>IFERROR(__xludf.DUMMYFUNCTION("""COMPUTED_VALUE"""),"DB")</f>
        <v>DB</v>
      </c>
      <c r="G18" s="2">
        <f>IFERROR(__xludf.DUMMYFUNCTION("""COMPUTED_VALUE"""),6.0441856909E8)</f>
        <v>604418569.1</v>
      </c>
      <c r="H18" s="2">
        <f>IFERROR(__xludf.DUMMYFUNCTION("""COMPUTED_VALUE"""),6.0441856909E8)</f>
        <v>604418569.1</v>
      </c>
      <c r="I18" s="2" t="str">
        <f>IFERROR(__xludf.DUMMYFUNCTION("""COMPUTED_VALUE"""),"PRODUKSI")</f>
        <v>PRODUKSI</v>
      </c>
    </row>
    <row r="19">
      <c r="A19" s="7">
        <f>IFERROR(__xludf.DUMMYFUNCTION("""COMPUTED_VALUE"""),46299.0)</f>
        <v>46299</v>
      </c>
      <c r="B19" s="2" t="str">
        <f>IFERROR(__xludf.DUMMYFUNCTION("""COMPUTED_VALUE"""),"TRSF E-BANKING DB TANGGAL :03/10")</f>
        <v>TRSF E-BANKING DB TANGGAL :03/10</v>
      </c>
      <c r="C19" s="2" t="str">
        <f>IFERROR(__xludf.DUMMYFUNCTION("""COMPUTED_VALUE"""),"0310/FTSCY/WS95011 Tue Sep 01 2026 14:00:00 GMT+0700 (Western Indonesia Time) ANUGERAH KARTIKA A Tue Sep 01 2026 14:00:00 GMT+0700 (Western Indonesia Time) ANUGERAH KARTIKA A")</f>
        <v>0310/FTSCY/WS95011 Tue Sep 01 2026 14:00:00 GMT+0700 (Western Indonesia Time) ANUGERAH KARTIKA A Tue Sep 01 2026 14:00:00 GMT+0700 (Western Indonesia Time) ANUGERAH KARTIKA A</v>
      </c>
      <c r="D19" s="2">
        <f>IFERROR(__xludf.DUMMYFUNCTION("""COMPUTED_VALUE"""),5.6904E7)</f>
        <v>56904000</v>
      </c>
      <c r="E19" s="2"/>
      <c r="F19" s="2" t="str">
        <f>IFERROR(__xludf.DUMMYFUNCTION("""COMPUTED_VALUE"""),"DB")</f>
        <v>DB</v>
      </c>
      <c r="G19" s="2">
        <f>IFERROR(__xludf.DUMMYFUNCTION("""COMPUTED_VALUE"""),5.4751456909E8)</f>
        <v>547514569.1</v>
      </c>
      <c r="H19" s="2">
        <f>IFERROR(__xludf.DUMMYFUNCTION("""COMPUTED_VALUE"""),5.4751456909E8)</f>
        <v>547514569.1</v>
      </c>
      <c r="I19" s="2" t="str">
        <f>IFERROR(__xludf.DUMMYFUNCTION("""COMPUTED_VALUE"""),"PRODUKSI")</f>
        <v>PRODUKSI</v>
      </c>
    </row>
    <row r="20">
      <c r="A20" s="7">
        <f>IFERROR(__xludf.DUMMYFUNCTION("""COMPUTED_VALUE"""),46299.0)</f>
        <v>46299</v>
      </c>
      <c r="B20" s="2" t="str">
        <f>IFERROR(__xludf.DUMMYFUNCTION("""COMPUTED_VALUE"""),"TRSF E-BANKING DB TANGGAL :03/10")</f>
        <v>TRSF E-BANKING DB TANGGAL :03/10</v>
      </c>
      <c r="C20" s="2" t="str">
        <f>IFERROR(__xludf.DUMMYFUNCTION("""COMPUTED_VALUE"""),"0310/FTSCY/WS95011 Thu Oct 01 2026 14:00:00 GMT+0700 (Western Indonesia Time) RUKUN MITRA BERSAM Thu Oct 01 2026 14:00:00 GMT+0700 (Western Indonesia Time) RUKUN MITRA BERSAM")</f>
        <v>0310/FTSCY/WS95011 Thu Oct 01 2026 14:00:00 GMT+0700 (Western Indonesia Time) RUKUN MITRA BERSAM Thu Oct 01 2026 14:00:00 GMT+0700 (Western Indonesia Time) RUKUN MITRA BERSAM</v>
      </c>
      <c r="D20" s="2">
        <f>IFERROR(__xludf.DUMMYFUNCTION("""COMPUTED_VALUE"""),1.8896525E8)</f>
        <v>188965250</v>
      </c>
      <c r="E20" s="2"/>
      <c r="F20" s="2" t="str">
        <f>IFERROR(__xludf.DUMMYFUNCTION("""COMPUTED_VALUE"""),"DB")</f>
        <v>DB</v>
      </c>
      <c r="G20" s="2">
        <f>IFERROR(__xludf.DUMMYFUNCTION("""COMPUTED_VALUE"""),2.9921081909000003E8)</f>
        <v>299210819.1</v>
      </c>
      <c r="H20" s="2"/>
      <c r="I20" s="2" t="str">
        <f>IFERROR(__xludf.DUMMYFUNCTION("""COMPUTED_VALUE"""),"PRODUKSI")</f>
        <v>PRODUKSI</v>
      </c>
    </row>
    <row r="21">
      <c r="A21" s="7">
        <f>IFERROR(__xludf.DUMMYFUNCTION("""COMPUTED_VALUE"""),46299.0)</f>
        <v>46299</v>
      </c>
      <c r="B21" s="2" t="str">
        <f>IFERROR(__xludf.DUMMYFUNCTION("""COMPUTED_VALUE"""),"TRSF E-BANKING DB TANGGAL :03/10")</f>
        <v>TRSF E-BANKING DB TANGGAL :03/10</v>
      </c>
      <c r="C21" s="2" t="str">
        <f>IFERROR(__xludf.DUMMYFUNCTION("""COMPUTED_VALUE"""),"0310/FTSCY/WS95011 Wed Sep 30 2026 14:00:00 GMT+0700 (Western Indonesia Time) PITIK DIGITAL INDO Wed Sep 30 2026 14:00:00 GMT+0700 (Western Indonesia Time) PITIK DIGITAL INDO")</f>
        <v>0310/FTSCY/WS95011 Wed Sep 30 2026 14:00:00 GMT+0700 (Western Indonesia Time) PITIK DIGITAL INDO Wed Sep 30 2026 14:00:00 GMT+0700 (Western Indonesia Time) PITIK DIGITAL INDO</v>
      </c>
      <c r="D21" s="2">
        <f>IFERROR(__xludf.DUMMYFUNCTION("""COMPUTED_VALUE"""),9.346486E7)</f>
        <v>93464860</v>
      </c>
      <c r="E21" s="2"/>
      <c r="F21" s="2" t="str">
        <f>IFERROR(__xludf.DUMMYFUNCTION("""COMPUTED_VALUE"""),"DB")</f>
        <v>DB</v>
      </c>
      <c r="G21" s="2">
        <f>IFERROR(__xludf.DUMMYFUNCTION("""COMPUTED_VALUE"""),2.0574595909000003E8)</f>
        <v>205745959.1</v>
      </c>
      <c r="H21" s="2"/>
      <c r="I21" s="2" t="str">
        <f>IFERROR(__xludf.DUMMYFUNCTION("""COMPUTED_VALUE"""),"PRODUKSI")</f>
        <v>PRODUKSI</v>
      </c>
    </row>
    <row r="22">
      <c r="A22" s="7">
        <f>IFERROR(__xludf.DUMMYFUNCTION("""COMPUTED_VALUE"""),46299.0)</f>
        <v>46299</v>
      </c>
      <c r="B22" s="2" t="str">
        <f>IFERROR(__xludf.DUMMYFUNCTION("""COMPUTED_VALUE"""),"TRSF E-BANKING DB TANGGAL :03/10")</f>
        <v>TRSF E-BANKING DB TANGGAL :03/10</v>
      </c>
      <c r="C22" s="2" t="str">
        <f>IFERROR(__xludf.DUMMYFUNCTION("""COMPUTED_VALUE"""),"0310/FTSCY/WS95271 Fri Oct 02 2026 14:00:00 GMT+0700 (Western Indonesia Time) PITIK DIGITAL INDO Fri Oct 02 2026 14:00:00 GMT+0700 (Western Indonesia Time) PITIK DIGITAL INDO")</f>
        <v>0310/FTSCY/WS95271 Fri Oct 02 2026 14:00:00 GMT+0700 (Western Indonesia Time) PITIK DIGITAL INDO Fri Oct 02 2026 14:00:00 GMT+0700 (Western Indonesia Time) PITIK DIGITAL INDO</v>
      </c>
      <c r="D22" s="2">
        <f>IFERROR(__xludf.DUMMYFUNCTION("""COMPUTED_VALUE"""),9.2128E7)</f>
        <v>92128000</v>
      </c>
      <c r="E22" s="2"/>
      <c r="F22" s="2" t="str">
        <f>IFERROR(__xludf.DUMMYFUNCTION("""COMPUTED_VALUE"""),"DB")</f>
        <v>DB</v>
      </c>
      <c r="G22" s="2">
        <f>IFERROR(__xludf.DUMMYFUNCTION("""COMPUTED_VALUE"""),1.1361795909000003E8)</f>
        <v>113617959.1</v>
      </c>
      <c r="H22" s="2"/>
      <c r="I22" s="2" t="str">
        <f>IFERROR(__xludf.DUMMYFUNCTION("""COMPUTED_VALUE"""),"PRODUKSI")</f>
        <v>PRODUKSI</v>
      </c>
    </row>
    <row r="23">
      <c r="A23" s="7">
        <f>IFERROR(__xludf.DUMMYFUNCTION("""COMPUTED_VALUE"""),46299.0)</f>
        <v>46299</v>
      </c>
      <c r="B23" s="2" t="str">
        <f>IFERROR(__xludf.DUMMYFUNCTION("""COMPUTED_VALUE"""),"TRSF E-BANKING DB TANGGAL :03/10")</f>
        <v>TRSF E-BANKING DB TANGGAL :03/10</v>
      </c>
      <c r="C23" s="2" t="str">
        <f>IFERROR(__xludf.DUMMYFUNCTION("""COMPUTED_VALUE"""),"0310/FTSCY/WS95031 02.10 krg 50 jt PITIK DIGITAL INDO 02.10 krg 50 jt PITIK DIGITAL INDO")</f>
        <v>0310/FTSCY/WS95031 02.10 krg 50 jt PITIK DIGITAL INDO 02.10 krg 50 jt PITIK DIGITAL INDO</v>
      </c>
      <c r="D23" s="2">
        <f>IFERROR(__xludf.DUMMYFUNCTION("""COMPUTED_VALUE"""),6.0E7)</f>
        <v>60000000</v>
      </c>
      <c r="E23" s="2"/>
      <c r="F23" s="2" t="str">
        <f>IFERROR(__xludf.DUMMYFUNCTION("""COMPUTED_VALUE"""),"DB")</f>
        <v>DB</v>
      </c>
      <c r="G23" s="2">
        <f>IFERROR(__xludf.DUMMYFUNCTION("""COMPUTED_VALUE"""),5.361795909000003E7)</f>
        <v>53617959.09</v>
      </c>
      <c r="H23" s="2"/>
      <c r="I23" s="2" t="str">
        <f>IFERROR(__xludf.DUMMYFUNCTION("""COMPUTED_VALUE"""),"PRODUKSI")</f>
        <v>PRODUKSI</v>
      </c>
    </row>
    <row r="24">
      <c r="A24" s="7">
        <f>IFERROR(__xludf.DUMMYFUNCTION("""COMPUTED_VALUE"""),46299.0)</f>
        <v>46299</v>
      </c>
      <c r="B24" s="2" t="str">
        <f>IFERROR(__xludf.DUMMYFUNCTION("""COMPUTED_VALUE"""),"TRSF E-BANKING DB")</f>
        <v>TRSF E-BANKING DB</v>
      </c>
      <c r="C24" s="2" t="str">
        <f>IFERROR(__xludf.DUMMYFUNCTION("""COMPUTED_VALUE"""),"0410/FTSCY/WS95271 50000000.00 pelunasan PITIK DIGITAL INDO 50000000.00 pelunasan PITIK DIGITAL INDO")</f>
        <v>0410/FTSCY/WS95271 50000000.00 pelunasan PITIK DIGITAL INDO 50000000.00 pelunasan PITIK DIGITAL INDO</v>
      </c>
      <c r="D24" s="2">
        <f>IFERROR(__xludf.DUMMYFUNCTION("""COMPUTED_VALUE"""),5.0E7)</f>
        <v>50000000</v>
      </c>
      <c r="E24" s="2"/>
      <c r="F24" s="2" t="str">
        <f>IFERROR(__xludf.DUMMYFUNCTION("""COMPUTED_VALUE"""),"DB")</f>
        <v>DB</v>
      </c>
      <c r="G24" s="2">
        <f>IFERROR(__xludf.DUMMYFUNCTION("""COMPUTED_VALUE"""),1659509.0900000334)</f>
        <v>1659509.09</v>
      </c>
      <c r="H24" s="2"/>
      <c r="I24" s="2" t="str">
        <f>IFERROR(__xludf.DUMMYFUNCTION("""COMPUTED_VALUE"""),"PRODUKSI")</f>
        <v>PRODUKSI</v>
      </c>
    </row>
    <row r="25">
      <c r="A25" s="7">
        <f>IFERROR(__xludf.DUMMYFUNCTION("""COMPUTED_VALUE"""),46309.0)</f>
        <v>46309</v>
      </c>
      <c r="B25" s="2" t="str">
        <f>IFERROR(__xludf.DUMMYFUNCTION("""COMPUTED_VALUE"""),"TRSF E-BANKING DB")</f>
        <v>TRSF E-BANKING DB</v>
      </c>
      <c r="C25" s="2" t="str">
        <f>IFERROR(__xludf.DUMMYFUNCTION("""COMPUTED_VALUE"""),"1410/FTSCY/WS95271 65997400.00 Mon Oct 12 2026 14:00:00 GMT+0700 (Western Indonesia Time) BRANTAS ABADI SENT")</f>
        <v>1410/FTSCY/WS95271 65997400.00 Mon Oct 12 2026 14:00:00 GMT+0700 (Western Indonesia Time) BRANTAS ABADI SENT</v>
      </c>
      <c r="D25" s="2">
        <f>IFERROR(__xludf.DUMMYFUNCTION("""COMPUTED_VALUE"""),6.59974E7)</f>
        <v>65997400</v>
      </c>
      <c r="E25" s="2"/>
      <c r="F25" s="2" t="str">
        <f>IFERROR(__xludf.DUMMYFUNCTION("""COMPUTED_VALUE"""),"DB")</f>
        <v>DB</v>
      </c>
      <c r="G25" s="2">
        <f>IFERROR(__xludf.DUMMYFUNCTION("""COMPUTED_VALUE"""),3.6387454109000003E8)</f>
        <v>363874541.1</v>
      </c>
      <c r="H25" s="2"/>
      <c r="I25" s="2" t="str">
        <f>IFERROR(__xludf.DUMMYFUNCTION("""COMPUTED_VALUE"""),"PRODUKSI")</f>
        <v>PRODUKSI</v>
      </c>
    </row>
    <row r="26">
      <c r="A26" s="7">
        <f>IFERROR(__xludf.DUMMYFUNCTION("""COMPUTED_VALUE"""),46309.0)</f>
        <v>46309</v>
      </c>
      <c r="B26" s="2" t="str">
        <f>IFERROR(__xludf.DUMMYFUNCTION("""COMPUTED_VALUE"""),"TRSF E-BANKING DB")</f>
        <v>TRSF E-BANKING DB</v>
      </c>
      <c r="C26" s="2" t="str">
        <f>IFERROR(__xludf.DUMMYFUNCTION("""COMPUTED_VALUE"""),"1410/FTSCY/WS95271 70400000.00 Mon Oct 12 2026 14:00:00 GMT+0700 (Western Indonesia Time) SUPER UNGGAS JAYA")</f>
        <v>1410/FTSCY/WS95271 70400000.00 Mon Oct 12 2026 14:00:00 GMT+0700 (Western Indonesia Time) SUPER UNGGAS JAYA</v>
      </c>
      <c r="D26" s="2">
        <f>IFERROR(__xludf.DUMMYFUNCTION("""COMPUTED_VALUE"""),7.04E7)</f>
        <v>70400000</v>
      </c>
      <c r="E26" s="2"/>
      <c r="F26" s="2" t="str">
        <f>IFERROR(__xludf.DUMMYFUNCTION("""COMPUTED_VALUE"""),"DB")</f>
        <v>DB</v>
      </c>
      <c r="G26" s="2">
        <f>IFERROR(__xludf.DUMMYFUNCTION("""COMPUTED_VALUE"""),2.9347454109000003E8)</f>
        <v>293474541.1</v>
      </c>
      <c r="H26" s="2"/>
      <c r="I26" s="2" t="str">
        <f>IFERROR(__xludf.DUMMYFUNCTION("""COMPUTED_VALUE"""),"PRODUKSI")</f>
        <v>PRODUKSI</v>
      </c>
    </row>
    <row r="27">
      <c r="A27" s="7">
        <f>IFERROR(__xludf.DUMMYFUNCTION("""COMPUTED_VALUE"""),46309.0)</f>
        <v>46309</v>
      </c>
      <c r="B27" s="2" t="str">
        <f>IFERROR(__xludf.DUMMYFUNCTION("""COMPUTED_VALUE"""),"TRSF E-BANKING DB")</f>
        <v>TRSF E-BANKING DB</v>
      </c>
      <c r="C27" s="2" t="str">
        <f>IFERROR(__xludf.DUMMYFUNCTION("""COMPUTED_VALUE"""),"1410/FTSCY/WS95271 2000000.00 NURHAYATI")</f>
        <v>1410/FTSCY/WS95271 2000000.00 NURHAYATI</v>
      </c>
      <c r="D27" s="2">
        <f>IFERROR(__xludf.DUMMYFUNCTION("""COMPUTED_VALUE"""),2000000.0)</f>
        <v>2000000</v>
      </c>
      <c r="E27" s="2"/>
      <c r="F27" s="2" t="str">
        <f>IFERROR(__xludf.DUMMYFUNCTION("""COMPUTED_VALUE"""),"DB")</f>
        <v>DB</v>
      </c>
      <c r="G27" s="2">
        <f>IFERROR(__xludf.DUMMYFUNCTION("""COMPUTED_VALUE"""),2.9147454109000003E8)</f>
        <v>291474541.1</v>
      </c>
      <c r="H27" s="2"/>
      <c r="I27" s="2" t="str">
        <f>IFERROR(__xludf.DUMMYFUNCTION("""COMPUTED_VALUE"""),"PRODUKSI")</f>
        <v>PRODUKSI</v>
      </c>
    </row>
    <row r="28">
      <c r="A28" s="7">
        <f>IFERROR(__xludf.DUMMYFUNCTION("""COMPUTED_VALUE"""),46309.0)</f>
        <v>46309</v>
      </c>
      <c r="B28" s="2" t="str">
        <f>IFERROR(__xludf.DUMMYFUNCTION("""COMPUTED_VALUE"""),"TRSF E-BANKING DB")</f>
        <v>TRSF E-BANKING DB</v>
      </c>
      <c r="C28" s="2" t="str">
        <f>IFERROR(__xludf.DUMMYFUNCTION("""COMPUTED_VALUE"""),"1410/FTSCY/WS95271 57000000.00 Mon Oct 12 2026 14:00:00 GMT+0700 (Western Indonesia Time) LAJU SATWA WISESA")</f>
        <v>1410/FTSCY/WS95271 57000000.00 Mon Oct 12 2026 14:00:00 GMT+0700 (Western Indonesia Time) LAJU SATWA WISESA</v>
      </c>
      <c r="D28" s="2">
        <f>IFERROR(__xludf.DUMMYFUNCTION("""COMPUTED_VALUE"""),5.7E7)</f>
        <v>57000000</v>
      </c>
      <c r="E28" s="2"/>
      <c r="F28" s="2" t="str">
        <f>IFERROR(__xludf.DUMMYFUNCTION("""COMPUTED_VALUE"""),"DB")</f>
        <v>DB</v>
      </c>
      <c r="G28" s="2">
        <f>IFERROR(__xludf.DUMMYFUNCTION("""COMPUTED_VALUE"""),2.3447454109000003E8)</f>
        <v>234474541.1</v>
      </c>
      <c r="H28" s="2"/>
      <c r="I28" s="2" t="str">
        <f>IFERROR(__xludf.DUMMYFUNCTION("""COMPUTED_VALUE"""),"PRODUKSI")</f>
        <v>PRODUKSI</v>
      </c>
    </row>
    <row r="29">
      <c r="A29" s="7">
        <f>IFERROR(__xludf.DUMMYFUNCTION("""COMPUTED_VALUE"""),46309.0)</f>
        <v>46309</v>
      </c>
      <c r="B29" s="2" t="str">
        <f>IFERROR(__xludf.DUMMYFUNCTION("""COMPUTED_VALUE"""),"TRSF E-BANKING DB")</f>
        <v>TRSF E-BANKING DB</v>
      </c>
      <c r="C29" s="2" t="str">
        <f>IFERROR(__xludf.DUMMYFUNCTION("""COMPUTED_VALUE"""),"1410/FTSCY/WS95011 228288300.00 Sun Oct 11 2026 14:00:00 GMT+0700 (Western Indonesia Time) BROILER MAKMUR TAN")</f>
        <v>1410/FTSCY/WS95011 228288300.00 Sun Oct 11 2026 14:00:00 GMT+0700 (Western Indonesia Time) BROILER MAKMUR TAN</v>
      </c>
      <c r="D29" s="2">
        <f>IFERROR(__xludf.DUMMYFUNCTION("""COMPUTED_VALUE"""),2.282883E8)</f>
        <v>228288300</v>
      </c>
      <c r="E29" s="2"/>
      <c r="F29" s="2" t="str">
        <f>IFERROR(__xludf.DUMMYFUNCTION("""COMPUTED_VALUE"""),"DB")</f>
        <v>DB</v>
      </c>
      <c r="G29" s="2">
        <f>IFERROR(__xludf.DUMMYFUNCTION("""COMPUTED_VALUE"""),6186241.090000033)</f>
        <v>6186241.09</v>
      </c>
      <c r="H29" s="2"/>
      <c r="I29" s="2" t="str">
        <f>IFERROR(__xludf.DUMMYFUNCTION("""COMPUTED_VALUE"""),"PRODUKSI")</f>
        <v>PRODUKSI</v>
      </c>
    </row>
    <row r="30">
      <c r="A30" s="7">
        <f>IFERROR(__xludf.DUMMYFUNCTION("""COMPUTED_VALUE"""),46309.0)</f>
        <v>46309</v>
      </c>
      <c r="B30" s="2" t="str">
        <f>IFERROR(__xludf.DUMMYFUNCTION("""COMPUTED_VALUE"""),"TRSF E-BANKING DB")</f>
        <v>TRSF E-BANKING DB</v>
      </c>
      <c r="C30" s="2" t="str">
        <f>IFERROR(__xludf.DUMMYFUNCTION("""COMPUTED_VALUE"""),"1410/FTSCY/WS95271 4783850.00 lunas DWI HERMANSYAH")</f>
        <v>1410/FTSCY/WS95271 4783850.00 lunas DWI HERMANSYAH</v>
      </c>
      <c r="D30" s="2">
        <f>IFERROR(__xludf.DUMMYFUNCTION("""COMPUTED_VALUE"""),4783850.0)</f>
        <v>4783850</v>
      </c>
      <c r="E30" s="2"/>
      <c r="F30" s="2" t="str">
        <f>IFERROR(__xludf.DUMMYFUNCTION("""COMPUTED_VALUE"""),"DB")</f>
        <v>DB</v>
      </c>
      <c r="G30" s="2">
        <f>IFERROR(__xludf.DUMMYFUNCTION("""COMPUTED_VALUE"""),1402391.0900000334)</f>
        <v>1402391.09</v>
      </c>
      <c r="H30" s="2">
        <f>IFERROR(__xludf.DUMMYFUNCTION("""COMPUTED_VALUE"""),1402391.09)</f>
        <v>1402391.09</v>
      </c>
      <c r="I30" s="2" t="str">
        <f>IFERROR(__xludf.DUMMYFUNCTION("""COMPUTED_VALUE"""),"PRODUKSI")</f>
        <v>PRODUKSI</v>
      </c>
    </row>
    <row r="31">
      <c r="A31" s="7">
        <f>IFERROR(__xludf.DUMMYFUNCTION("""COMPUTED_VALUE"""),46309.0)</f>
        <v>46309</v>
      </c>
      <c r="B31" s="2" t="str">
        <f>IFERROR(__xludf.DUMMYFUNCTION("""COMPUTED_VALUE"""),"TRSF E-BANKING DB")</f>
        <v>TRSF E-BANKING DB</v>
      </c>
      <c r="C31" s="2" t="str">
        <f>IFERROR(__xludf.DUMMYFUNCTION("""COMPUTED_VALUE"""),"1410/FTSCY/WS95271 67203000.00 Sat Nov 14 2026 15:00:00 GMT+0700 (Western Indonesia Time) BERLIAN UNGGUL JAY")</f>
        <v>1410/FTSCY/WS95271 67203000.00 Sat Nov 14 2026 15:00:00 GMT+0700 (Western Indonesia Time) BERLIAN UNGGUL JAY</v>
      </c>
      <c r="D31" s="2">
        <f>IFERROR(__xludf.DUMMYFUNCTION("""COMPUTED_VALUE"""),6.7203E7)</f>
        <v>67203000</v>
      </c>
      <c r="E31" s="2"/>
      <c r="F31" s="2" t="str">
        <f>IFERROR(__xludf.DUMMYFUNCTION("""COMPUTED_VALUE"""),"DB")</f>
        <v>DB</v>
      </c>
      <c r="G31" s="2">
        <f>IFERROR(__xludf.DUMMYFUNCTION("""COMPUTED_VALUE"""),1.0877289109000003E8)</f>
        <v>108772891.1</v>
      </c>
      <c r="H31" s="2"/>
      <c r="I31" s="2" t="str">
        <f>IFERROR(__xludf.DUMMYFUNCTION("""COMPUTED_VALUE"""),"PRODUKSI")</f>
        <v>PRODUKSI</v>
      </c>
    </row>
    <row r="32">
      <c r="A32" s="7">
        <f>IFERROR(__xludf.DUMMYFUNCTION("""COMPUTED_VALUE"""),46309.0)</f>
        <v>46309</v>
      </c>
      <c r="B32" s="2" t="str">
        <f>IFERROR(__xludf.DUMMYFUNCTION("""COMPUTED_VALUE"""),"TRSF E-BANKING DB")</f>
        <v>TRSF E-BANKING DB</v>
      </c>
      <c r="C32" s="2" t="str">
        <f>IFERROR(__xludf.DUMMYFUNCTION("""COMPUTED_VALUE"""),"1410/FTSCY/WS95031 66541800.00 Tue Oct 13 2026 14:00:00 GMT+0700 (Western Indonesia Time) ANUGERAH MAKMUR AR")</f>
        <v>1410/FTSCY/WS95031 66541800.00 Tue Oct 13 2026 14:00:00 GMT+0700 (Western Indonesia Time) ANUGERAH MAKMUR AR</v>
      </c>
      <c r="D32" s="2">
        <f>IFERROR(__xludf.DUMMYFUNCTION("""COMPUTED_VALUE"""),6.65418E7)</f>
        <v>66541800</v>
      </c>
      <c r="E32" s="2"/>
      <c r="F32" s="2" t="str">
        <f>IFERROR(__xludf.DUMMYFUNCTION("""COMPUTED_VALUE"""),"DB")</f>
        <v>DB</v>
      </c>
      <c r="G32" s="2">
        <f>IFERROR(__xludf.DUMMYFUNCTION("""COMPUTED_VALUE"""),1.7765289109000003E8)</f>
        <v>177652891.1</v>
      </c>
      <c r="H32" s="2"/>
      <c r="I32" s="2" t="str">
        <f>IFERROR(__xludf.DUMMYFUNCTION("""COMPUTED_VALUE"""),"PRODUKSI")</f>
        <v>PRODUKSI</v>
      </c>
    </row>
    <row r="33">
      <c r="A33" s="7">
        <f>IFERROR(__xludf.DUMMYFUNCTION("""COMPUTED_VALUE"""),46309.0)</f>
        <v>46309</v>
      </c>
      <c r="B33" s="2" t="str">
        <f>IFERROR(__xludf.DUMMYFUNCTION("""COMPUTED_VALUE"""),"TRSF E-BANKING DB")</f>
        <v>TRSF E-BANKING DB</v>
      </c>
      <c r="C33" s="2" t="str">
        <f>IFERROR(__xludf.DUMMYFUNCTION("""COMPUTED_VALUE"""),"1410/FTSCY/WS95031 10088950.00 EKO SETIYAWAN")</f>
        <v>1410/FTSCY/WS95031 10088950.00 EKO SETIYAWAN</v>
      </c>
      <c r="D33" s="2">
        <f>IFERROR(__xludf.DUMMYFUNCTION("""COMPUTED_VALUE"""),1.008895E7)</f>
        <v>10088950</v>
      </c>
      <c r="E33" s="2"/>
      <c r="F33" s="2" t="str">
        <f>IFERROR(__xludf.DUMMYFUNCTION("""COMPUTED_VALUE"""),"DB")</f>
        <v>DB</v>
      </c>
      <c r="G33" s="2">
        <f>IFERROR(__xludf.DUMMYFUNCTION("""COMPUTED_VALUE"""),1.6756394109000003E8)</f>
        <v>167563941.1</v>
      </c>
      <c r="H33" s="2">
        <f>IFERROR(__xludf.DUMMYFUNCTION("""COMPUTED_VALUE"""),1.6756394109E8)</f>
        <v>167563941.1</v>
      </c>
      <c r="I33" s="2" t="str">
        <f>IFERROR(__xludf.DUMMYFUNCTION("""COMPUTED_VALUE"""),"PRODUKSI")</f>
        <v>PRODUKSI</v>
      </c>
    </row>
    <row r="34">
      <c r="A34" s="7">
        <f>IFERROR(__xludf.DUMMYFUNCTION("""COMPUTED_VALUE"""),46310.0)</f>
        <v>46310</v>
      </c>
      <c r="B34" s="2" t="str">
        <f>IFERROR(__xludf.DUMMYFUNCTION("""COMPUTED_VALUE"""),"TRSF E-BANKING DB")</f>
        <v>TRSF E-BANKING DB</v>
      </c>
      <c r="C34" s="2" t="str">
        <f>IFERROR(__xludf.DUMMYFUNCTION("""COMPUTED_VALUE"""),"1510/FTSCY/WS95031 3298370.00 krg 10 jt FAJAR ANDREANZAH")</f>
        <v>1510/FTSCY/WS95031 3298370.00 krg 10 jt FAJAR ANDREANZAH</v>
      </c>
      <c r="D34" s="2">
        <f>IFERROR(__xludf.DUMMYFUNCTION("""COMPUTED_VALUE"""),3298370.0)</f>
        <v>3298370</v>
      </c>
      <c r="E34" s="2"/>
      <c r="F34" s="2" t="str">
        <f>IFERROR(__xludf.DUMMYFUNCTION("""COMPUTED_VALUE"""),"DB")</f>
        <v>DB</v>
      </c>
      <c r="G34" s="2">
        <f>IFERROR(__xludf.DUMMYFUNCTION("""COMPUTED_VALUE"""),2.9479987109000003E8)</f>
        <v>294799871.1</v>
      </c>
      <c r="H34" s="2"/>
      <c r="I34" s="2" t="str">
        <f>IFERROR(__xludf.DUMMYFUNCTION("""COMPUTED_VALUE"""),"PRODUKSI")</f>
        <v>PRODUKSI</v>
      </c>
    </row>
    <row r="35">
      <c r="A35" s="7">
        <f>IFERROR(__xludf.DUMMYFUNCTION("""COMPUTED_VALUE"""),46310.0)</f>
        <v>46310</v>
      </c>
      <c r="B35" s="2" t="str">
        <f>IFERROR(__xludf.DUMMYFUNCTION("""COMPUTED_VALUE"""),"TRSF E-BANKING DB")</f>
        <v>TRSF E-BANKING DB</v>
      </c>
      <c r="C35" s="2" t="str">
        <f>IFERROR(__xludf.DUMMYFUNCTION("""COMPUTED_VALUE"""),"1510/FTSCY/WS95031 1000000.00 SUNARTO")</f>
        <v>1510/FTSCY/WS95031 1000000.00 SUNARTO</v>
      </c>
      <c r="D35" s="2">
        <f>IFERROR(__xludf.DUMMYFUNCTION("""COMPUTED_VALUE"""),1000000.0)</f>
        <v>1000000</v>
      </c>
      <c r="E35" s="2"/>
      <c r="F35" s="2" t="str">
        <f>IFERROR(__xludf.DUMMYFUNCTION("""COMPUTED_VALUE"""),"DB")</f>
        <v>DB</v>
      </c>
      <c r="G35" s="2">
        <f>IFERROR(__xludf.DUMMYFUNCTION("""COMPUTED_VALUE"""),2.9379987109000003E8)</f>
        <v>293799871.1</v>
      </c>
      <c r="H35" s="2"/>
      <c r="I35" s="2" t="str">
        <f>IFERROR(__xludf.DUMMYFUNCTION("""COMPUTED_VALUE"""),"PRODUKSI")</f>
        <v>PRODUKSI</v>
      </c>
    </row>
    <row r="36">
      <c r="A36" s="7">
        <f>IFERROR(__xludf.DUMMYFUNCTION("""COMPUTED_VALUE"""),46310.0)</f>
        <v>46310</v>
      </c>
      <c r="B36" s="2" t="str">
        <f>IFERROR(__xludf.DUMMYFUNCTION("""COMPUTED_VALUE"""),"TRSF E-BANKING DB")</f>
        <v>TRSF E-BANKING DB</v>
      </c>
      <c r="C36" s="2" t="str">
        <f>IFERROR(__xludf.DUMMYFUNCTION("""COMPUTED_VALUE"""),"1510/FTSCY/WS95031 6169140.00 MUJIANTO")</f>
        <v>1510/FTSCY/WS95031 6169140.00 MUJIANTO</v>
      </c>
      <c r="D36" s="2">
        <f>IFERROR(__xludf.DUMMYFUNCTION("""COMPUTED_VALUE"""),6169140.0)</f>
        <v>6169140</v>
      </c>
      <c r="E36" s="2"/>
      <c r="F36" s="2" t="str">
        <f>IFERROR(__xludf.DUMMYFUNCTION("""COMPUTED_VALUE"""),"DB")</f>
        <v>DB</v>
      </c>
      <c r="G36" s="2">
        <f>IFERROR(__xludf.DUMMYFUNCTION("""COMPUTED_VALUE"""),2.8763073109000003E8)</f>
        <v>287630731.1</v>
      </c>
      <c r="H36" s="2"/>
      <c r="I36" s="2" t="str">
        <f>IFERROR(__xludf.DUMMYFUNCTION("""COMPUTED_VALUE"""),"PRODUKSI")</f>
        <v>PRODUKSI</v>
      </c>
    </row>
    <row r="37">
      <c r="A37" s="7">
        <f>IFERROR(__xludf.DUMMYFUNCTION("""COMPUTED_VALUE"""),46310.0)</f>
        <v>46310</v>
      </c>
      <c r="B37" s="2" t="str">
        <f>IFERROR(__xludf.DUMMYFUNCTION("""COMPUTED_VALUE"""),"TRSF E-BANKING DB")</f>
        <v>TRSF E-BANKING DB</v>
      </c>
      <c r="C37" s="2" t="str">
        <f>IFERROR(__xludf.DUMMYFUNCTION("""COMPUTED_VALUE"""),"1510/FTSCY/WS95031 2500000.00 BELA PRAMUDITA")</f>
        <v>1510/FTSCY/WS95031 2500000.00 BELA PRAMUDITA</v>
      </c>
      <c r="D37" s="2">
        <f>IFERROR(__xludf.DUMMYFUNCTION("""COMPUTED_VALUE"""),2500000.0)</f>
        <v>2500000</v>
      </c>
      <c r="E37" s="2"/>
      <c r="F37" s="2" t="str">
        <f>IFERROR(__xludf.DUMMYFUNCTION("""COMPUTED_VALUE"""),"DB")</f>
        <v>DB</v>
      </c>
      <c r="G37" s="2">
        <f>IFERROR(__xludf.DUMMYFUNCTION("""COMPUTED_VALUE"""),2.8513073109000003E8)</f>
        <v>285130731.1</v>
      </c>
      <c r="H37" s="2">
        <f>IFERROR(__xludf.DUMMYFUNCTION("""COMPUTED_VALUE"""),2.8513073109E8)</f>
        <v>285130731.1</v>
      </c>
      <c r="I37" s="2" t="str">
        <f>IFERROR(__xludf.DUMMYFUNCTION("""COMPUTED_VALUE"""),"PRODUKSI")</f>
        <v>PRODUKSI</v>
      </c>
    </row>
    <row r="38">
      <c r="A38" s="7">
        <f>IFERROR(__xludf.DUMMYFUNCTION("""COMPUTED_VALUE"""),46310.0)</f>
        <v>46310</v>
      </c>
      <c r="B38" s="2" t="str">
        <f>IFERROR(__xludf.DUMMYFUNCTION("""COMPUTED_VALUE"""),"TRSF E-BANKING DB")</f>
        <v>TRSF E-BANKING DB</v>
      </c>
      <c r="C38" s="2" t="str">
        <f>IFERROR(__xludf.DUMMYFUNCTION("""COMPUTED_VALUE"""),"1510/FTSCY/WS95031 6213870.00 krg 100 jt EKO SETIYAWAN")</f>
        <v>1510/FTSCY/WS95031 6213870.00 krg 100 jt EKO SETIYAWAN</v>
      </c>
      <c r="D38" s="2">
        <f>IFERROR(__xludf.DUMMYFUNCTION("""COMPUTED_VALUE"""),6213870.0)</f>
        <v>6213870</v>
      </c>
      <c r="E38" s="2"/>
      <c r="F38" s="2" t="str">
        <f>IFERROR(__xludf.DUMMYFUNCTION("""COMPUTED_VALUE"""),"DB")</f>
        <v>DB</v>
      </c>
      <c r="G38" s="2">
        <f>IFERROR(__xludf.DUMMYFUNCTION("""COMPUTED_VALUE"""),2.7891686109000003E8)</f>
        <v>278916861.1</v>
      </c>
      <c r="H38" s="2">
        <f>IFERROR(__xludf.DUMMYFUNCTION("""COMPUTED_VALUE"""),2.7891686109E8)</f>
        <v>278916861.1</v>
      </c>
      <c r="I38" s="2" t="str">
        <f>IFERROR(__xludf.DUMMYFUNCTION("""COMPUTED_VALUE"""),"PRODUKSI")</f>
        <v>PRODUKSI</v>
      </c>
    </row>
    <row r="39">
      <c r="A39" s="7">
        <f>IFERROR(__xludf.DUMMYFUNCTION("""COMPUTED_VALUE"""),46310.0)</f>
        <v>46310</v>
      </c>
      <c r="B39" s="2" t="str">
        <f>IFERROR(__xludf.DUMMYFUNCTION("""COMPUTED_VALUE"""),"TRSF E-BANKING DB")</f>
        <v>TRSF E-BANKING DB</v>
      </c>
      <c r="C39" s="2" t="str">
        <f>IFERROR(__xludf.DUMMYFUNCTION("""COMPUTED_VALUE"""),"1510/FTSCY/WS95271 183236550.00 Mon Oct 12 2026 14:00:00 GMT+0700 (Western Indonesia Time) TABASSAM AL HATTAK")</f>
        <v>1510/FTSCY/WS95271 183236550.00 Mon Oct 12 2026 14:00:00 GMT+0700 (Western Indonesia Time) TABASSAM AL HATTAK</v>
      </c>
      <c r="D39" s="2">
        <f>IFERROR(__xludf.DUMMYFUNCTION("""COMPUTED_VALUE"""),1.8323655E8)</f>
        <v>183236550</v>
      </c>
      <c r="E39" s="2"/>
      <c r="F39" s="2" t="str">
        <f>IFERROR(__xludf.DUMMYFUNCTION("""COMPUTED_VALUE"""),"DB")</f>
        <v>DB</v>
      </c>
      <c r="G39" s="2">
        <f>IFERROR(__xludf.DUMMYFUNCTION("""COMPUTED_VALUE"""),9.568031109000003E7)</f>
        <v>95680311.09</v>
      </c>
      <c r="H39" s="2"/>
      <c r="I39" s="2" t="str">
        <f>IFERROR(__xludf.DUMMYFUNCTION("""COMPUTED_VALUE"""),"PRODUKSI")</f>
        <v>PRODUKSI</v>
      </c>
    </row>
    <row r="40">
      <c r="A40" s="7">
        <f>IFERROR(__xludf.DUMMYFUNCTION("""COMPUTED_VALUE"""),46310.0)</f>
        <v>46310</v>
      </c>
      <c r="B40" s="2" t="str">
        <f>IFERROR(__xludf.DUMMYFUNCTION("""COMPUTED_VALUE"""),"TRSF E-BANKING DB")</f>
        <v>TRSF E-BANKING DB</v>
      </c>
      <c r="C40" s="2" t="str">
        <f>IFERROR(__xludf.DUMMYFUNCTION("""COMPUTED_VALUE"""),"1510/FTSCY/WS95271 80000000.00 Sun Oct 11 2026 14:00:00 GMT+0700 (Western Indonesia Time) BROILER MAKMUR TAN")</f>
        <v>1510/FTSCY/WS95271 80000000.00 Sun Oct 11 2026 14:00:00 GMT+0700 (Western Indonesia Time) BROILER MAKMUR TAN</v>
      </c>
      <c r="D40" s="2">
        <f>IFERROR(__xludf.DUMMYFUNCTION("""COMPUTED_VALUE"""),8.0E7)</f>
        <v>80000000</v>
      </c>
      <c r="E40" s="2"/>
      <c r="F40" s="2" t="str">
        <f>IFERROR(__xludf.DUMMYFUNCTION("""COMPUTED_VALUE"""),"DB")</f>
        <v>DB</v>
      </c>
      <c r="G40" s="2">
        <f>IFERROR(__xludf.DUMMYFUNCTION("""COMPUTED_VALUE"""),1.5680311090000033E7)</f>
        <v>15680311.09</v>
      </c>
      <c r="H40" s="2"/>
      <c r="I40" s="2" t="str">
        <f>IFERROR(__xludf.DUMMYFUNCTION("""COMPUTED_VALUE"""),"PRODUKSI")</f>
        <v>PRODUKSI</v>
      </c>
    </row>
    <row r="41">
      <c r="A41" s="7">
        <f>IFERROR(__xludf.DUMMYFUNCTION("""COMPUTED_VALUE"""),46310.0)</f>
        <v>46310</v>
      </c>
      <c r="B41" s="2" t="str">
        <f>IFERROR(__xludf.DUMMYFUNCTION("""COMPUTED_VALUE"""),"TRSF E-BANKING DB")</f>
        <v>TRSF E-BANKING DB</v>
      </c>
      <c r="C41" s="2" t="str">
        <f>IFERROR(__xludf.DUMMYFUNCTION("""COMPUTED_VALUE"""),"1510/FTFVA/WS95031 55569/PT PRIMA FAJ mlg - 40190")</f>
        <v>1510/FTFVA/WS95031 55569/PT PRIMA FAJ mlg - 40190</v>
      </c>
      <c r="D41" s="2">
        <f>IFERROR(__xludf.DUMMYFUNCTION("""COMPUTED_VALUE"""),1.218909E8)</f>
        <v>121890900</v>
      </c>
      <c r="E41" s="2"/>
      <c r="F41" s="2" t="str">
        <f>IFERROR(__xludf.DUMMYFUNCTION("""COMPUTED_VALUE"""),"DB")</f>
        <v>DB</v>
      </c>
      <c r="G41" s="2">
        <f>IFERROR(__xludf.DUMMYFUNCTION("""COMPUTED_VALUE"""),6.623641109000003E7)</f>
        <v>66236411.09</v>
      </c>
      <c r="H41" s="2">
        <f>IFERROR(__xludf.DUMMYFUNCTION("""COMPUTED_VALUE"""),6.623641109E7)</f>
        <v>66236411.09</v>
      </c>
      <c r="I41" s="2" t="str">
        <f>IFERROR(__xludf.DUMMYFUNCTION("""COMPUTED_VALUE"""),"PRODUKSI")</f>
        <v>PRODUKSI</v>
      </c>
    </row>
    <row r="42">
      <c r="A42" s="7">
        <f>IFERROR(__xludf.DUMMYFUNCTION("""COMPUTED_VALUE"""),46311.0)</f>
        <v>46311</v>
      </c>
      <c r="B42" s="2" t="str">
        <f>IFERROR(__xludf.DUMMYFUNCTION("""COMPUTED_VALUE"""),"BI-FAST DB TANGGAL :15/10")</f>
        <v>BI-FAST DB TANGGAL :15/10</v>
      </c>
      <c r="C42" s="2" t="str">
        <f>IFERROR(__xludf.DUMMYFUNCTION("""COMPUTED_VALUE"""),"BIF TRANSFER KE RODIYAH MyBCA")</f>
        <v>BIF TRANSFER KE RODIYAH MyBCA</v>
      </c>
      <c r="D42" s="2">
        <f>IFERROR(__xludf.DUMMYFUNCTION("""COMPUTED_VALUE"""),4187000.0)</f>
        <v>4187000</v>
      </c>
      <c r="E42" s="2"/>
      <c r="F42" s="2" t="str">
        <f>IFERROR(__xludf.DUMMYFUNCTION("""COMPUTED_VALUE"""),"DB")</f>
        <v>DB</v>
      </c>
      <c r="G42" s="2">
        <f>IFERROR(__xludf.DUMMYFUNCTION("""COMPUTED_VALUE"""),1.9704941109000003E8)</f>
        <v>197049411.1</v>
      </c>
      <c r="H42" s="2"/>
      <c r="I42" s="2" t="str">
        <f>IFERROR(__xludf.DUMMYFUNCTION("""COMPUTED_VALUE"""),"PRODUKSI")</f>
        <v>PRODUKSI</v>
      </c>
    </row>
    <row r="43">
      <c r="A43" s="7">
        <f>IFERROR(__xludf.DUMMYFUNCTION("""COMPUTED_VALUE"""),46311.0)</f>
        <v>46311</v>
      </c>
      <c r="B43" s="2" t="str">
        <f>IFERROR(__xludf.DUMMYFUNCTION("""COMPUTED_VALUE"""),"BI-FAST DB TANGGAL :15/10")</f>
        <v>BI-FAST DB TANGGAL :15/10</v>
      </c>
      <c r="C43" s="2" t="str">
        <f>IFERROR(__xludf.DUMMYFUNCTION("""COMPUTED_VALUE"""),"BIF BIAYA TXN KE RODIYAH MyBCA")</f>
        <v>BIF BIAYA TXN KE RODIYAH MyBCA</v>
      </c>
      <c r="D43" s="2">
        <f>IFERROR(__xludf.DUMMYFUNCTION("""COMPUTED_VALUE"""),2500.0)</f>
        <v>2500</v>
      </c>
      <c r="E43" s="2"/>
      <c r="F43" s="2" t="str">
        <f>IFERROR(__xludf.DUMMYFUNCTION("""COMPUTED_VALUE"""),"DB")</f>
        <v>DB</v>
      </c>
      <c r="G43" s="2">
        <f>IFERROR(__xludf.DUMMYFUNCTION("""COMPUTED_VALUE"""),1.9704691109000003E8)</f>
        <v>197046911.1</v>
      </c>
      <c r="H43" s="2"/>
      <c r="I43" s="2" t="str">
        <f>IFERROR(__xludf.DUMMYFUNCTION("""COMPUTED_VALUE"""),"PRODUKSI")</f>
        <v>PRODUKSI</v>
      </c>
    </row>
    <row r="44">
      <c r="A44" s="7">
        <f>IFERROR(__xludf.DUMMYFUNCTION("""COMPUTED_VALUE"""),46311.0)</f>
        <v>46311</v>
      </c>
      <c r="B44" s="2" t="str">
        <f>IFERROR(__xludf.DUMMYFUNCTION("""COMPUTED_VALUE"""),"TRSF E-BANKING DB TANGGAL :15/10")</f>
        <v>TRSF E-BANKING DB TANGGAL :15/10</v>
      </c>
      <c r="C44" s="2" t="str">
        <f>IFERROR(__xludf.DUMMYFUNCTION("""COMPUTED_VALUE"""),"1510/FTSCY/WS95031 Tue Oct 13 2026 14:00:00 GMT+0700 (Western Indonesia Time) GANESHA SATRIA NUS")</f>
        <v>1510/FTSCY/WS95031 Tue Oct 13 2026 14:00:00 GMT+0700 (Western Indonesia Time) GANESHA SATRIA NUS</v>
      </c>
      <c r="D44" s="2">
        <f>IFERROR(__xludf.DUMMYFUNCTION("""COMPUTED_VALUE"""),5.75938E7)</f>
        <v>57593800</v>
      </c>
      <c r="E44" s="2"/>
      <c r="F44" s="2" t="str">
        <f>IFERROR(__xludf.DUMMYFUNCTION("""COMPUTED_VALUE"""),"DB")</f>
        <v>DB</v>
      </c>
      <c r="G44" s="2">
        <f>IFERROR(__xludf.DUMMYFUNCTION("""COMPUTED_VALUE"""),1.3945311109000003E8)</f>
        <v>139453111.1</v>
      </c>
      <c r="H44" s="2"/>
      <c r="I44" s="2" t="str">
        <f>IFERROR(__xludf.DUMMYFUNCTION("""COMPUTED_VALUE"""),"PRODUKSI")</f>
        <v>PRODUKSI</v>
      </c>
    </row>
    <row r="45">
      <c r="A45" s="7">
        <f>IFERROR(__xludf.DUMMYFUNCTION("""COMPUTED_VALUE"""),46311.0)</f>
        <v>46311</v>
      </c>
      <c r="B45" s="2" t="str">
        <f>IFERROR(__xludf.DUMMYFUNCTION("""COMPUTED_VALUE"""),"TRSF E-BANKING DB TANGGAL :15/10")</f>
        <v>TRSF E-BANKING DB TANGGAL :15/10</v>
      </c>
      <c r="C45" s="2" t="str">
        <f>IFERROR(__xludf.DUMMYFUNCTION("""COMPUTED_VALUE"""),"1510/FTSCY/WS95011 Mon Oct 12 2026 14:00:00 GMT+0700 (Western Indonesia Time) PITIK DIGITAL INDO")</f>
        <v>1510/FTSCY/WS95011 Mon Oct 12 2026 14:00:00 GMT+0700 (Western Indonesia Time) PITIK DIGITAL INDO</v>
      </c>
      <c r="D45" s="2">
        <f>IFERROR(__xludf.DUMMYFUNCTION("""COMPUTED_VALUE"""),4.67016E7)</f>
        <v>46701600</v>
      </c>
      <c r="E45" s="2"/>
      <c r="F45" s="2" t="str">
        <f>IFERROR(__xludf.DUMMYFUNCTION("""COMPUTED_VALUE"""),"DB")</f>
        <v>DB</v>
      </c>
      <c r="G45" s="2">
        <f>IFERROR(__xludf.DUMMYFUNCTION("""COMPUTED_VALUE"""),9.275151109000003E7)</f>
        <v>92751511.09</v>
      </c>
      <c r="H45" s="2"/>
      <c r="I45" s="2" t="str">
        <f>IFERROR(__xludf.DUMMYFUNCTION("""COMPUTED_VALUE"""),"PRODUKSI")</f>
        <v>PRODUKSI</v>
      </c>
    </row>
    <row r="46">
      <c r="A46" s="7">
        <f>IFERROR(__xludf.DUMMYFUNCTION("""COMPUTED_VALUE"""),46311.0)</f>
        <v>46311</v>
      </c>
      <c r="B46" s="2" t="str">
        <f>IFERROR(__xludf.DUMMYFUNCTION("""COMPUTED_VALUE"""),"TRSF E-BANKING DB TANGGAL :15/10")</f>
        <v>TRSF E-BANKING DB TANGGAL :15/10</v>
      </c>
      <c r="C46" s="2" t="str">
        <f>IFERROR(__xludf.DUMMYFUNCTION("""COMPUTED_VALUE"""),"1510/FTSCY/WS95011 Mon Oct 12 2026 14:00:00 GMT+0700 (Western Indonesia Time) ANDALAN YASA MITRA")</f>
        <v>1510/FTSCY/WS95011 Mon Oct 12 2026 14:00:00 GMT+0700 (Western Indonesia Time) ANDALAN YASA MITRA</v>
      </c>
      <c r="D46" s="2">
        <f>IFERROR(__xludf.DUMMYFUNCTION("""COMPUTED_VALUE"""),1.054759E8)</f>
        <v>105475900</v>
      </c>
      <c r="E46" s="2"/>
      <c r="F46" s="2" t="str">
        <f>IFERROR(__xludf.DUMMYFUNCTION("""COMPUTED_VALUE"""),"DB")</f>
        <v>DB</v>
      </c>
      <c r="G46" s="2">
        <f>IFERROR(__xludf.DUMMYFUNCTION("""COMPUTED_VALUE"""),5.128281109000003E7)</f>
        <v>51282811.09</v>
      </c>
      <c r="H46" s="2"/>
      <c r="I46" s="2" t="str">
        <f>IFERROR(__xludf.DUMMYFUNCTION("""COMPUTED_VALUE"""),"PRODUKSI")</f>
        <v>PRODUKSI</v>
      </c>
    </row>
    <row r="47">
      <c r="A47" s="7">
        <f>IFERROR(__xludf.DUMMYFUNCTION("""COMPUTED_VALUE"""),46311.0)</f>
        <v>46311</v>
      </c>
      <c r="B47" s="2" t="str">
        <f>IFERROR(__xludf.DUMMYFUNCTION("""COMPUTED_VALUE"""),"TRSF E-BANKING DB TANGGAL :15/10")</f>
        <v>TRSF E-BANKING DB TANGGAL :15/10</v>
      </c>
      <c r="C47" s="2" t="str">
        <f>IFERROR(__xludf.DUMMYFUNCTION("""COMPUTED_VALUE"""),"1510/FTSCY/WS95011 Mon Oct 12 2026 14:00:00 GMT+0700 (Western Indonesia Time) ANUGERAH KARTIKA A")</f>
        <v>1510/FTSCY/WS95011 Mon Oct 12 2026 14:00:00 GMT+0700 (Western Indonesia Time) ANUGERAH KARTIKA A</v>
      </c>
      <c r="D47" s="2">
        <f>IFERROR(__xludf.DUMMYFUNCTION("""COMPUTED_VALUE"""),4.098465E7)</f>
        <v>40984650</v>
      </c>
      <c r="E47" s="2"/>
      <c r="F47" s="2" t="str">
        <f>IFERROR(__xludf.DUMMYFUNCTION("""COMPUTED_VALUE"""),"DB")</f>
        <v>DB</v>
      </c>
      <c r="G47" s="2">
        <f>IFERROR(__xludf.DUMMYFUNCTION("""COMPUTED_VALUE"""),1.0298161090000033E7)</f>
        <v>10298161.09</v>
      </c>
      <c r="H47" s="2"/>
      <c r="I47" s="2" t="str">
        <f>IFERROR(__xludf.DUMMYFUNCTION("""COMPUTED_VALUE"""),"PRODUKSI")</f>
        <v>PRODUKSI</v>
      </c>
    </row>
    <row r="48">
      <c r="A48" s="7">
        <f>IFERROR(__xludf.DUMMYFUNCTION("""COMPUTED_VALUE"""),46311.0)</f>
        <v>46311</v>
      </c>
      <c r="B48" s="2" t="str">
        <f>IFERROR(__xludf.DUMMYFUNCTION("""COMPUTED_VALUE"""),"TRSF E-BANKING DB")</f>
        <v>TRSF E-BANKING DB</v>
      </c>
      <c r="C48" s="2" t="str">
        <f>IFERROR(__xludf.DUMMYFUNCTION("""COMPUTED_VALUE"""),"1610/FTSCY/WS95031 8465830.00 krg 2 jt HERMAWAN")</f>
        <v>1610/FTSCY/WS95031 8465830.00 krg 2 jt HERMAWAN</v>
      </c>
      <c r="D48" s="2">
        <f>IFERROR(__xludf.DUMMYFUNCTION("""COMPUTED_VALUE"""),8465830.0)</f>
        <v>8465830</v>
      </c>
      <c r="E48" s="2"/>
      <c r="F48" s="2" t="str">
        <f>IFERROR(__xludf.DUMMYFUNCTION("""COMPUTED_VALUE"""),"DB")</f>
        <v>DB</v>
      </c>
      <c r="G48" s="2">
        <f>IFERROR(__xludf.DUMMYFUNCTION("""COMPUTED_VALUE"""),1832331.0900000334)</f>
        <v>1832331.09</v>
      </c>
      <c r="H48" s="2"/>
      <c r="I48" s="2" t="str">
        <f>IFERROR(__xludf.DUMMYFUNCTION("""COMPUTED_VALUE"""),"PRODUKSI")</f>
        <v>PRODUKSI</v>
      </c>
    </row>
    <row r="49">
      <c r="A49" s="7">
        <f>IFERROR(__xludf.DUMMYFUNCTION("""COMPUTED_VALUE"""),46311.0)</f>
        <v>46311</v>
      </c>
      <c r="B49" s="2" t="str">
        <f>IFERROR(__xludf.DUMMYFUNCTION("""COMPUTED_VALUE"""),"TRSF E-BANKING DB")</f>
        <v>TRSF E-BANKING DB</v>
      </c>
      <c r="C49" s="2" t="str">
        <f>IFERROR(__xludf.DUMMYFUNCTION("""COMPUTED_VALUE"""),"1610/FTSCY/WS95011 111658050.00 Mon Oct 12 2026 14:00:00 GMT+0700 (Western Indonesia Time) BROILER MAKMUR TAN")</f>
        <v>1610/FTSCY/WS95011 111658050.00 Mon Oct 12 2026 14:00:00 GMT+0700 (Western Indonesia Time) BROILER MAKMUR TAN</v>
      </c>
      <c r="D49" s="2">
        <f>IFERROR(__xludf.DUMMYFUNCTION("""COMPUTED_VALUE"""),1.1165805E8)</f>
        <v>111658050</v>
      </c>
      <c r="E49" s="2"/>
      <c r="F49" s="2" t="str">
        <f>IFERROR(__xludf.DUMMYFUNCTION("""COMPUTED_VALUE"""),"DB")</f>
        <v>DB</v>
      </c>
      <c r="G49" s="2">
        <f>IFERROR(__xludf.DUMMYFUNCTION("""COMPUTED_VALUE"""),1.3448828109000003E8)</f>
        <v>134488281.1</v>
      </c>
      <c r="H49" s="2"/>
      <c r="I49" s="2" t="str">
        <f>IFERROR(__xludf.DUMMYFUNCTION("""COMPUTED_VALUE"""),"PRODUKSI")</f>
        <v>PRODUKSI</v>
      </c>
    </row>
    <row r="50">
      <c r="A50" s="7">
        <f>IFERROR(__xludf.DUMMYFUNCTION("""COMPUTED_VALUE"""),46311.0)</f>
        <v>46311</v>
      </c>
      <c r="B50" s="2" t="str">
        <f>IFERROR(__xludf.DUMMYFUNCTION("""COMPUTED_VALUE"""),"TRSF E-BANKING DB")</f>
        <v>TRSF E-BANKING DB</v>
      </c>
      <c r="C50" s="2" t="str">
        <f>IFERROR(__xludf.DUMMYFUNCTION("""COMPUTED_VALUE"""),"1610/FTSCY/WS95031 2000000.00 lunas HERMAWAN")</f>
        <v>1610/FTSCY/WS95031 2000000.00 lunas HERMAWAN</v>
      </c>
      <c r="D50" s="2">
        <f>IFERROR(__xludf.DUMMYFUNCTION("""COMPUTED_VALUE"""),2000000.0)</f>
        <v>2000000</v>
      </c>
      <c r="E50" s="2"/>
      <c r="F50" s="2" t="str">
        <f>IFERROR(__xludf.DUMMYFUNCTION("""COMPUTED_VALUE"""),"DB")</f>
        <v>DB</v>
      </c>
      <c r="G50" s="2">
        <f>IFERROR(__xludf.DUMMYFUNCTION("""COMPUTED_VALUE"""),1.3248828109000003E8)</f>
        <v>132488281.1</v>
      </c>
      <c r="H50" s="2"/>
      <c r="I50" s="2" t="str">
        <f>IFERROR(__xludf.DUMMYFUNCTION("""COMPUTED_VALUE"""),"PRODUKSI")</f>
        <v>PRODUKSI</v>
      </c>
    </row>
    <row r="51">
      <c r="A51" s="7">
        <f>IFERROR(__xludf.DUMMYFUNCTION("""COMPUTED_VALUE"""),46311.0)</f>
        <v>46311</v>
      </c>
      <c r="B51" s="2" t="str">
        <f>IFERROR(__xludf.DUMMYFUNCTION("""COMPUTED_VALUE"""),"TRSF E-BANKING DB")</f>
        <v>TRSF E-BANKING DB</v>
      </c>
      <c r="C51" s="2" t="str">
        <f>IFERROR(__xludf.DUMMYFUNCTION("""COMPUTED_VALUE"""),"1610/FTSCY/WS95031 1861640.00 DWI HERMANSYAH")</f>
        <v>1610/FTSCY/WS95031 1861640.00 DWI HERMANSYAH</v>
      </c>
      <c r="D51" s="2">
        <f>IFERROR(__xludf.DUMMYFUNCTION("""COMPUTED_VALUE"""),1861640.0)</f>
        <v>1861640</v>
      </c>
      <c r="E51" s="2"/>
      <c r="F51" s="2" t="str">
        <f>IFERROR(__xludf.DUMMYFUNCTION("""COMPUTED_VALUE"""),"DB")</f>
        <v>DB</v>
      </c>
      <c r="G51" s="2">
        <f>IFERROR(__xludf.DUMMYFUNCTION("""COMPUTED_VALUE"""),1.3062664109000003E8)</f>
        <v>130626641.1</v>
      </c>
      <c r="H51" s="2"/>
      <c r="I51" s="2" t="str">
        <f>IFERROR(__xludf.DUMMYFUNCTION("""COMPUTED_VALUE"""),"PRODUKSI")</f>
        <v>PRODUKSI</v>
      </c>
    </row>
    <row r="52">
      <c r="A52" s="7">
        <f>IFERROR(__xludf.DUMMYFUNCTION("""COMPUTED_VALUE"""),46311.0)</f>
        <v>46311</v>
      </c>
      <c r="B52" s="2" t="str">
        <f>IFERROR(__xludf.DUMMYFUNCTION("""COMPUTED_VALUE"""),"KARTU DEBIT")</f>
        <v>KARTU DEBIT</v>
      </c>
      <c r="C52" s="2" t="str">
        <f>IFERROR(__xludf.DUMMYFUNCTION("""COMPUTED_VALUE"""),"ALFAMRT Y073 SUDI 6019009510239343")</f>
        <v>ALFAMRT Y073 SUDI 6019009510239343</v>
      </c>
      <c r="D52" s="2">
        <f>IFERROR(__xludf.DUMMYFUNCTION("""COMPUTED_VALUE"""),91300.0)</f>
        <v>91300</v>
      </c>
      <c r="E52" s="2"/>
      <c r="F52" s="2"/>
      <c r="G52" s="2">
        <f>IFERROR(__xludf.DUMMYFUNCTION("""COMPUTED_VALUE"""),1.3053534109000003E8)</f>
        <v>130535341.1</v>
      </c>
      <c r="H52" s="2"/>
      <c r="I52" s="2" t="str">
        <f>IFERROR(__xludf.DUMMYFUNCTION("""COMPUTED_VALUE"""),"PRODUKSI")</f>
        <v>PRODUKSI</v>
      </c>
    </row>
    <row r="53">
      <c r="A53" s="7">
        <f>IFERROR(__xludf.DUMMYFUNCTION("""COMPUTED_VALUE"""),46311.0)</f>
        <v>46311</v>
      </c>
      <c r="B53" s="2" t="str">
        <f>IFERROR(__xludf.DUMMYFUNCTION("""COMPUTED_VALUE"""),"TRSF E-BANKING DB")</f>
        <v>TRSF E-BANKING DB</v>
      </c>
      <c r="C53" s="2" t="str">
        <f>IFERROR(__xludf.DUMMYFUNCTION("""COMPUTED_VALUE"""),"1610/FTSCY/WS95271 69480000.00 Tue Oct 13 2026 14:00:00 GMT+0700 (Western Indonesia Time) ANDALAN YASA MITRA")</f>
        <v>1610/FTSCY/WS95271 69480000.00 Tue Oct 13 2026 14:00:00 GMT+0700 (Western Indonesia Time) ANDALAN YASA MITRA</v>
      </c>
      <c r="D53" s="2">
        <f>IFERROR(__xludf.DUMMYFUNCTION("""COMPUTED_VALUE"""),6.948E7)</f>
        <v>69480000</v>
      </c>
      <c r="E53" s="2"/>
      <c r="F53" s="2" t="str">
        <f>IFERROR(__xludf.DUMMYFUNCTION("""COMPUTED_VALUE"""),"DB")</f>
        <v>DB</v>
      </c>
      <c r="G53" s="2">
        <f>IFERROR(__xludf.DUMMYFUNCTION("""COMPUTED_VALUE"""),6.105534109000003E7)</f>
        <v>61055341.09</v>
      </c>
      <c r="H53" s="2"/>
      <c r="I53" s="2" t="str">
        <f>IFERROR(__xludf.DUMMYFUNCTION("""COMPUTED_VALUE"""),"PRODUKSI")</f>
        <v>PRODUKSI</v>
      </c>
    </row>
    <row r="54">
      <c r="A54" s="7">
        <f>IFERROR(__xludf.DUMMYFUNCTION("""COMPUTED_VALUE"""),46311.0)</f>
        <v>46311</v>
      </c>
      <c r="B54" s="2" t="str">
        <f>IFERROR(__xludf.DUMMYFUNCTION("""COMPUTED_VALUE"""),"TRSF E-BANKING DB")</f>
        <v>TRSF E-BANKING DB</v>
      </c>
      <c r="C54" s="2" t="str">
        <f>IFERROR(__xludf.DUMMYFUNCTION("""COMPUTED_VALUE"""),"1610/FTSCY/WS95271 250000.00 TYSA EKA MAHARANI")</f>
        <v>1610/FTSCY/WS95271 250000.00 TYSA EKA MAHARANI</v>
      </c>
      <c r="D54" s="2">
        <f>IFERROR(__xludf.DUMMYFUNCTION("""COMPUTED_VALUE"""),250000.0)</f>
        <v>250000</v>
      </c>
      <c r="E54" s="2"/>
      <c r="F54" s="2" t="str">
        <f>IFERROR(__xludf.DUMMYFUNCTION("""COMPUTED_VALUE"""),"DB")</f>
        <v>DB</v>
      </c>
      <c r="G54" s="2">
        <f>IFERROR(__xludf.DUMMYFUNCTION("""COMPUTED_VALUE"""),3.1792665109000003E8)</f>
        <v>317926651.1</v>
      </c>
      <c r="H54" s="2">
        <f>IFERROR(__xludf.DUMMYFUNCTION("""COMPUTED_VALUE"""),3.1792665109E8)</f>
        <v>317926651.1</v>
      </c>
      <c r="I54" s="2" t="str">
        <f>IFERROR(__xludf.DUMMYFUNCTION("""COMPUTED_VALUE"""),"PRODUKSI")</f>
        <v>PRODUKSI</v>
      </c>
    </row>
    <row r="55">
      <c r="A55" s="7">
        <f>IFERROR(__xludf.DUMMYFUNCTION("""COMPUTED_VALUE"""),46311.0)</f>
        <v>46311</v>
      </c>
      <c r="B55" s="2" t="str">
        <f>IFERROR(__xludf.DUMMYFUNCTION("""COMPUTED_VALUE"""),"TRSF E-BANKING DB")</f>
        <v>TRSF E-BANKING DB</v>
      </c>
      <c r="C55" s="2" t="str">
        <f>IFERROR(__xludf.DUMMYFUNCTION("""COMPUTED_VALUE"""),"1610/FTSCY/WS95271 61950000.00 Tue Oct 13 2026 14:00:00 GMT+0700 (Western Indonesia Time) TUMBUH OPTIMAL PRI")</f>
        <v>1610/FTSCY/WS95271 61950000.00 Tue Oct 13 2026 14:00:00 GMT+0700 (Western Indonesia Time) TUMBUH OPTIMAL PRI</v>
      </c>
      <c r="D55" s="2">
        <f>IFERROR(__xludf.DUMMYFUNCTION("""COMPUTED_VALUE"""),6.195E7)</f>
        <v>61950000</v>
      </c>
      <c r="E55" s="2"/>
      <c r="F55" s="2" t="str">
        <f>IFERROR(__xludf.DUMMYFUNCTION("""COMPUTED_VALUE"""),"DB")</f>
        <v>DB</v>
      </c>
      <c r="G55" s="2">
        <f>IFERROR(__xludf.DUMMYFUNCTION("""COMPUTED_VALUE"""),6.5240571109E8)</f>
        <v>652405711.1</v>
      </c>
      <c r="H55" s="2"/>
      <c r="I55" s="2" t="str">
        <f>IFERROR(__xludf.DUMMYFUNCTION("""COMPUTED_VALUE"""),"PRODUKSI")</f>
        <v>PRODUKSI</v>
      </c>
    </row>
    <row r="56">
      <c r="A56" s="7">
        <f>IFERROR(__xludf.DUMMYFUNCTION("""COMPUTED_VALUE"""),46311.0)</f>
        <v>46311</v>
      </c>
      <c r="B56" s="2" t="str">
        <f>IFERROR(__xludf.DUMMYFUNCTION("""COMPUTED_VALUE"""),"TRSF E-BANKING DB")</f>
        <v>TRSF E-BANKING DB</v>
      </c>
      <c r="C56" s="2" t="str">
        <f>IFERROR(__xludf.DUMMYFUNCTION("""COMPUTED_VALUE"""),"1610/FTSCY/WS95271 62857800.00 Tue Oct 06 2026 14:00:00 GMT+0700 (Western Indonesia Time) SUGENG RIADI")</f>
        <v>1610/FTSCY/WS95271 62857800.00 Tue Oct 06 2026 14:00:00 GMT+0700 (Western Indonesia Time) SUGENG RIADI</v>
      </c>
      <c r="D56" s="2">
        <f>IFERROR(__xludf.DUMMYFUNCTION("""COMPUTED_VALUE"""),6.28578E7)</f>
        <v>62857800</v>
      </c>
      <c r="E56" s="2"/>
      <c r="F56" s="2" t="str">
        <f>IFERROR(__xludf.DUMMYFUNCTION("""COMPUTED_VALUE"""),"DB")</f>
        <v>DB</v>
      </c>
      <c r="G56" s="2">
        <f>IFERROR(__xludf.DUMMYFUNCTION("""COMPUTED_VALUE"""),5.8954791109E8)</f>
        <v>589547911.1</v>
      </c>
      <c r="H56" s="2"/>
      <c r="I56" s="2" t="str">
        <f>IFERROR(__xludf.DUMMYFUNCTION("""COMPUTED_VALUE"""),"PRODUKSI")</f>
        <v>PRODUKSI</v>
      </c>
    </row>
    <row r="57">
      <c r="A57" s="7">
        <f>IFERROR(__xludf.DUMMYFUNCTION("""COMPUTED_VALUE"""),46311.0)</f>
        <v>46311</v>
      </c>
      <c r="B57" s="2" t="str">
        <f>IFERROR(__xludf.DUMMYFUNCTION("""COMPUTED_VALUE"""),"TRSF E-BANKING DB")</f>
        <v>TRSF E-BANKING DB</v>
      </c>
      <c r="C57" s="2" t="str">
        <f>IFERROR(__xludf.DUMMYFUNCTION("""COMPUTED_VALUE"""),"1610/FTSCY/WS95271 20000000.00 EKO SETIYAWAN")</f>
        <v>1610/FTSCY/WS95271 20000000.00 EKO SETIYAWAN</v>
      </c>
      <c r="D57" s="2">
        <f>IFERROR(__xludf.DUMMYFUNCTION("""COMPUTED_VALUE"""),2.0E7)</f>
        <v>20000000</v>
      </c>
      <c r="E57" s="2"/>
      <c r="F57" s="2" t="str">
        <f>IFERROR(__xludf.DUMMYFUNCTION("""COMPUTED_VALUE"""),"DB")</f>
        <v>DB</v>
      </c>
      <c r="G57" s="2">
        <f>IFERROR(__xludf.DUMMYFUNCTION("""COMPUTED_VALUE"""),5.6954791109E8)</f>
        <v>569547911.1</v>
      </c>
      <c r="H57" s="2"/>
      <c r="I57" s="2" t="str">
        <f>IFERROR(__xludf.DUMMYFUNCTION("""COMPUTED_VALUE"""),"PRODUKSI")</f>
        <v>PRODUKSI</v>
      </c>
    </row>
    <row r="58">
      <c r="A58" s="7">
        <f>IFERROR(__xludf.DUMMYFUNCTION("""COMPUTED_VALUE"""),46311.0)</f>
        <v>46311</v>
      </c>
      <c r="B58" s="2" t="str">
        <f>IFERROR(__xludf.DUMMYFUNCTION("""COMPUTED_VALUE"""),"TRSF E-BANKING DB")</f>
        <v>TRSF E-BANKING DB</v>
      </c>
      <c r="C58" s="2" t="str">
        <f>IFERROR(__xludf.DUMMYFUNCTION("""COMPUTED_VALUE"""),"1610/FTSCY/WS95011 114591400.00 Tue Oct 13 2026 14:00:00 GMT+0700 (Western Indonesia Time) SUPER UNGGAS JAYA")</f>
        <v>1610/FTSCY/WS95011 114591400.00 Tue Oct 13 2026 14:00:00 GMT+0700 (Western Indonesia Time) SUPER UNGGAS JAYA</v>
      </c>
      <c r="D58" s="2">
        <f>IFERROR(__xludf.DUMMYFUNCTION("""COMPUTED_VALUE"""),1.145914E8)</f>
        <v>114591400</v>
      </c>
      <c r="E58" s="2"/>
      <c r="F58" s="2" t="str">
        <f>IFERROR(__xludf.DUMMYFUNCTION("""COMPUTED_VALUE"""),"DB")</f>
        <v>DB</v>
      </c>
      <c r="G58" s="2">
        <f>IFERROR(__xludf.DUMMYFUNCTION("""COMPUTED_VALUE"""),4.6922895109000003E8)</f>
        <v>469228951.1</v>
      </c>
      <c r="H58" s="2"/>
      <c r="I58" s="2" t="str">
        <f>IFERROR(__xludf.DUMMYFUNCTION("""COMPUTED_VALUE"""),"PRODUKSI")</f>
        <v>PRODUKSI</v>
      </c>
    </row>
    <row r="59">
      <c r="A59" s="7">
        <f>IFERROR(__xludf.DUMMYFUNCTION("""COMPUTED_VALUE"""),46311.0)</f>
        <v>46311</v>
      </c>
      <c r="B59" s="2" t="str">
        <f>IFERROR(__xludf.DUMMYFUNCTION("""COMPUTED_VALUE"""),"TRSF E-BANKING DB")</f>
        <v>TRSF E-BANKING DB</v>
      </c>
      <c r="C59" s="2" t="str">
        <f>IFERROR(__xludf.DUMMYFUNCTION("""COMPUTED_VALUE"""),"1610/FTSCY/WS95011 53742500.00 Wed Oct 14 2026 14:00:00 GMT+0700 (Western Indonesia Time) ANUGERAH KARTIKA A")</f>
        <v>1610/FTSCY/WS95011 53742500.00 Wed Oct 14 2026 14:00:00 GMT+0700 (Western Indonesia Time) ANUGERAH KARTIKA A</v>
      </c>
      <c r="D59" s="2">
        <f>IFERROR(__xludf.DUMMYFUNCTION("""COMPUTED_VALUE"""),5.37425E7)</f>
        <v>53742500</v>
      </c>
      <c r="E59" s="2"/>
      <c r="F59" s="2" t="str">
        <f>IFERROR(__xludf.DUMMYFUNCTION("""COMPUTED_VALUE"""),"DB")</f>
        <v>DB</v>
      </c>
      <c r="G59" s="2">
        <f>IFERROR(__xludf.DUMMYFUNCTION("""COMPUTED_VALUE"""),4.1548645109000003E8)</f>
        <v>415486451.1</v>
      </c>
      <c r="H59" s="2"/>
      <c r="I59" s="2" t="str">
        <f>IFERROR(__xludf.DUMMYFUNCTION("""COMPUTED_VALUE"""),"PRODUKSI")</f>
        <v>PRODUKSI</v>
      </c>
    </row>
    <row r="60">
      <c r="A60" s="7">
        <f>IFERROR(__xludf.DUMMYFUNCTION("""COMPUTED_VALUE"""),46311.0)</f>
        <v>46311</v>
      </c>
      <c r="B60" s="2" t="str">
        <f>IFERROR(__xludf.DUMMYFUNCTION("""COMPUTED_VALUE"""),"TRSF E-BANKING DB")</f>
        <v>TRSF E-BANKING DB</v>
      </c>
      <c r="C60" s="2" t="str">
        <f>IFERROR(__xludf.DUMMYFUNCTION("""COMPUTED_VALUE"""),"1610/FTSCY/WS95011 21971740.00 Tue Oct 13 2026 14:00:00 GMT+0700 (Western Indonesia Time) BROILER MAKMUR TAN")</f>
        <v>1610/FTSCY/WS95011 21971740.00 Tue Oct 13 2026 14:00:00 GMT+0700 (Western Indonesia Time) BROILER MAKMUR TAN</v>
      </c>
      <c r="D60" s="2">
        <f>IFERROR(__xludf.DUMMYFUNCTION("""COMPUTED_VALUE"""),2.197174E7)</f>
        <v>21971740</v>
      </c>
      <c r="E60" s="2"/>
      <c r="F60" s="2" t="str">
        <f>IFERROR(__xludf.DUMMYFUNCTION("""COMPUTED_VALUE"""),"DB")</f>
        <v>DB</v>
      </c>
      <c r="G60" s="2">
        <f>IFERROR(__xludf.DUMMYFUNCTION("""COMPUTED_VALUE"""),3.9351471109000003E8)</f>
        <v>393514711.1</v>
      </c>
      <c r="H60" s="2"/>
      <c r="I60" s="2" t="str">
        <f>IFERROR(__xludf.DUMMYFUNCTION("""COMPUTED_VALUE"""),"PRODUKSI")</f>
        <v>PRODUKSI</v>
      </c>
    </row>
    <row r="61">
      <c r="A61" s="7">
        <f>IFERROR(__xludf.DUMMYFUNCTION("""COMPUTED_VALUE"""),46311.0)</f>
        <v>46311</v>
      </c>
      <c r="B61" s="2" t="str">
        <f>IFERROR(__xludf.DUMMYFUNCTION("""COMPUTED_VALUE"""),"TRSF E-BANKING DB")</f>
        <v>TRSF E-BANKING DB</v>
      </c>
      <c r="C61" s="2" t="str">
        <f>IFERROR(__xludf.DUMMYFUNCTION("""COMPUTED_VALUE"""),"1610/FTSCY/WS95011 197745660.00 13/10 krg 125 jt BROILER MAKMUR TAN")</f>
        <v>1610/FTSCY/WS95011 197745660.00 13/10 krg 125 jt BROILER MAKMUR TAN</v>
      </c>
      <c r="D61" s="2">
        <f>IFERROR(__xludf.DUMMYFUNCTION("""COMPUTED_VALUE"""),1.9774566E8)</f>
        <v>197745660</v>
      </c>
      <c r="E61" s="2"/>
      <c r="F61" s="2" t="str">
        <f>IFERROR(__xludf.DUMMYFUNCTION("""COMPUTED_VALUE"""),"DB")</f>
        <v>DB</v>
      </c>
      <c r="G61" s="2">
        <f>IFERROR(__xludf.DUMMYFUNCTION("""COMPUTED_VALUE"""),1.9576905109000003E8)</f>
        <v>195769051.1</v>
      </c>
      <c r="H61" s="2"/>
      <c r="I61" s="2" t="str">
        <f>IFERROR(__xludf.DUMMYFUNCTION("""COMPUTED_VALUE"""),"PRODUKSI")</f>
        <v>PRODUKSI</v>
      </c>
    </row>
    <row r="62">
      <c r="A62" s="7">
        <f>IFERROR(__xludf.DUMMYFUNCTION("""COMPUTED_VALUE"""),46311.0)</f>
        <v>46311</v>
      </c>
      <c r="B62" s="2" t="str">
        <f>IFERROR(__xludf.DUMMYFUNCTION("""COMPUTED_VALUE"""),"TRSF E-BANKING DB")</f>
        <v>TRSF E-BANKING DB</v>
      </c>
      <c r="C62" s="2" t="str">
        <f>IFERROR(__xludf.DUMMYFUNCTION("""COMPUTED_VALUE"""),"1610/FTSCY/WS95271 85000000.00 Tue Oct 13 2026 14:00:00 GMT+0700 (Western Indonesia Time) BROILER MAKMUR TAN")</f>
        <v>1610/FTSCY/WS95271 85000000.00 Tue Oct 13 2026 14:00:00 GMT+0700 (Western Indonesia Time) BROILER MAKMUR TAN</v>
      </c>
      <c r="D62" s="2">
        <f>IFERROR(__xludf.DUMMYFUNCTION("""COMPUTED_VALUE"""),8.5E7)</f>
        <v>85000000</v>
      </c>
      <c r="E62" s="2"/>
      <c r="F62" s="2" t="str">
        <f>IFERROR(__xludf.DUMMYFUNCTION("""COMPUTED_VALUE"""),"DB")</f>
        <v>DB</v>
      </c>
      <c r="G62" s="2">
        <f>IFERROR(__xludf.DUMMYFUNCTION("""COMPUTED_VALUE"""),1.1076905109000003E8)</f>
        <v>110769051.1</v>
      </c>
      <c r="H62" s="2"/>
      <c r="I62" s="2" t="str">
        <f>IFERROR(__xludf.DUMMYFUNCTION("""COMPUTED_VALUE"""),"PRODUKSI")</f>
        <v>PRODUKSI</v>
      </c>
    </row>
    <row r="63">
      <c r="A63" s="7">
        <f>IFERROR(__xludf.DUMMYFUNCTION("""COMPUTED_VALUE"""),46311.0)</f>
        <v>46311</v>
      </c>
      <c r="B63" s="2" t="str">
        <f>IFERROR(__xludf.DUMMYFUNCTION("""COMPUTED_VALUE"""),"TRSF E-BANKING DB")</f>
        <v>TRSF E-BANKING DB</v>
      </c>
      <c r="C63" s="2" t="str">
        <f>IFERROR(__xludf.DUMMYFUNCTION("""COMPUTED_VALUE"""),"1610/FTSCY/WS95031 40000000.00 pelunasan 13.10 BROILER MAKMUR TAN")</f>
        <v>1610/FTSCY/WS95031 40000000.00 pelunasan 13.10 BROILER MAKMUR TAN</v>
      </c>
      <c r="D63" s="2">
        <f>IFERROR(__xludf.DUMMYFUNCTION("""COMPUTED_VALUE"""),4.0E7)</f>
        <v>40000000</v>
      </c>
      <c r="E63" s="2"/>
      <c r="F63" s="2" t="str">
        <f>IFERROR(__xludf.DUMMYFUNCTION("""COMPUTED_VALUE"""),"DB")</f>
        <v>DB</v>
      </c>
      <c r="G63" s="2">
        <f>IFERROR(__xludf.DUMMYFUNCTION("""COMPUTED_VALUE"""),7.076905109000003E7)</f>
        <v>70769051.09</v>
      </c>
      <c r="H63" s="2">
        <f>IFERROR(__xludf.DUMMYFUNCTION("""COMPUTED_VALUE"""),7.076905109E7)</f>
        <v>70769051.09</v>
      </c>
      <c r="I63" s="2" t="str">
        <f>IFERROR(__xludf.DUMMYFUNCTION("""COMPUTED_VALUE"""),"PRODUKSI")</f>
        <v>PRODUKSI</v>
      </c>
    </row>
    <row r="64">
      <c r="A64" s="7">
        <f>IFERROR(__xludf.DUMMYFUNCTION("""COMPUTED_VALUE"""),46311.0)</f>
        <v>46311</v>
      </c>
      <c r="B64" s="2" t="str">
        <f>IFERROR(__xludf.DUMMYFUNCTION("""COMPUTED_VALUE"""),"TRSF E-BANKING DB")</f>
        <v>TRSF E-BANKING DB</v>
      </c>
      <c r="C64" s="2" t="str">
        <f>IFERROR(__xludf.DUMMYFUNCTION("""COMPUTED_VALUE"""),"1610/FTSCY/WS95031 47459600.00 ANDALAN YASA MITRA")</f>
        <v>1610/FTSCY/WS95031 47459600.00 ANDALAN YASA MITRA</v>
      </c>
      <c r="D64" s="2">
        <f>IFERROR(__xludf.DUMMYFUNCTION("""COMPUTED_VALUE"""),4.74596E7)</f>
        <v>47459600</v>
      </c>
      <c r="E64" s="2"/>
      <c r="F64" s="2" t="str">
        <f>IFERROR(__xludf.DUMMYFUNCTION("""COMPUTED_VALUE"""),"DB")</f>
        <v>DB</v>
      </c>
      <c r="G64" s="2">
        <f>IFERROR(__xludf.DUMMYFUNCTION("""COMPUTED_VALUE"""),3.8150805109000003E8)</f>
        <v>381508051.1</v>
      </c>
      <c r="H64" s="2">
        <f>IFERROR(__xludf.DUMMYFUNCTION("""COMPUTED_VALUE"""),3.8150805109E8)</f>
        <v>381508051.1</v>
      </c>
      <c r="I64" s="2" t="str">
        <f>IFERROR(__xludf.DUMMYFUNCTION("""COMPUTED_VALUE"""),"PRODUKSI")</f>
        <v>PRODUKSI</v>
      </c>
    </row>
    <row r="65">
      <c r="A65" s="7">
        <f>IFERROR(__xludf.DUMMYFUNCTION("""COMPUTED_VALUE"""),46312.0)</f>
        <v>46312</v>
      </c>
      <c r="B65" s="2" t="str">
        <f>IFERROR(__xludf.DUMMYFUNCTION("""COMPUTED_VALUE"""),"TRSF E-BANKING DB")</f>
        <v>TRSF E-BANKING DB</v>
      </c>
      <c r="C65" s="2" t="str">
        <f>IFERROR(__xludf.DUMMYFUNCTION("""COMPUTED_VALUE"""),"1710/FTSCY/WS95031 1700000.00 SUNARTO")</f>
        <v>1710/FTSCY/WS95031 1700000.00 SUNARTO</v>
      </c>
      <c r="D65" s="2">
        <f>IFERROR(__xludf.DUMMYFUNCTION("""COMPUTED_VALUE"""),1700000.0)</f>
        <v>1700000</v>
      </c>
      <c r="E65" s="2"/>
      <c r="F65" s="2" t="str">
        <f>IFERROR(__xludf.DUMMYFUNCTION("""COMPUTED_VALUE"""),"DB")</f>
        <v>DB</v>
      </c>
      <c r="G65" s="2">
        <f>IFERROR(__xludf.DUMMYFUNCTION("""COMPUTED_VALUE"""),4.6390805109000003E8)</f>
        <v>463908051.1</v>
      </c>
      <c r="H65" s="2"/>
      <c r="I65" s="2" t="str">
        <f>IFERROR(__xludf.DUMMYFUNCTION("""COMPUTED_VALUE"""),"PRODUKSI")</f>
        <v>PRODUKSI</v>
      </c>
    </row>
    <row r="66">
      <c r="A66" s="7">
        <f>IFERROR(__xludf.DUMMYFUNCTION("""COMPUTED_VALUE"""),46312.0)</f>
        <v>46312</v>
      </c>
      <c r="B66" s="2" t="str">
        <f>IFERROR(__xludf.DUMMYFUNCTION("""COMPUTED_VALUE"""),"TRSF E-BANKING DB")</f>
        <v>TRSF E-BANKING DB</v>
      </c>
      <c r="C66" s="2" t="str">
        <f>IFERROR(__xludf.DUMMYFUNCTION("""COMPUTED_VALUE"""),"1710/FTSCY/WS95031 14115600.00 Tue Oct 13 2026 14:00:00 GMT+0700 (Western Indonesia Time) ANDALAN YASA MITRA")</f>
        <v>1710/FTSCY/WS95031 14115600.00 Tue Oct 13 2026 14:00:00 GMT+0700 (Western Indonesia Time) ANDALAN YASA MITRA</v>
      </c>
      <c r="D66" s="2">
        <f>IFERROR(__xludf.DUMMYFUNCTION("""COMPUTED_VALUE"""),1.41156E7)</f>
        <v>14115600</v>
      </c>
      <c r="E66" s="2"/>
      <c r="F66" s="2" t="str">
        <f>IFERROR(__xludf.DUMMYFUNCTION("""COMPUTED_VALUE"""),"DB")</f>
        <v>DB</v>
      </c>
      <c r="G66" s="2">
        <f>IFERROR(__xludf.DUMMYFUNCTION("""COMPUTED_VALUE"""),4.4979245109000003E8)</f>
        <v>449792451.1</v>
      </c>
      <c r="H66" s="2"/>
      <c r="I66" s="2" t="str">
        <f>IFERROR(__xludf.DUMMYFUNCTION("""COMPUTED_VALUE"""),"PRODUKSI")</f>
        <v>PRODUKSI</v>
      </c>
    </row>
    <row r="67">
      <c r="A67" s="7">
        <f>IFERROR(__xludf.DUMMYFUNCTION("""COMPUTED_VALUE"""),46312.0)</f>
        <v>46312</v>
      </c>
      <c r="B67" s="2" t="str">
        <f>IFERROR(__xludf.DUMMYFUNCTION("""COMPUTED_VALUE"""),"TRSF E-BANKING DB")</f>
        <v>TRSF E-BANKING DB</v>
      </c>
      <c r="C67" s="2" t="str">
        <f>IFERROR(__xludf.DUMMYFUNCTION("""COMPUTED_VALUE"""),"1710/FTSCY/WS95011 53226000.00 Tue Oct 13 2026 14:00:00 GMT+0700 (Western Indonesia Time) ANUGERAH KARTIKA A")</f>
        <v>1710/FTSCY/WS95011 53226000.00 Tue Oct 13 2026 14:00:00 GMT+0700 (Western Indonesia Time) ANUGERAH KARTIKA A</v>
      </c>
      <c r="D67" s="2">
        <f>IFERROR(__xludf.DUMMYFUNCTION("""COMPUTED_VALUE"""),5.3226E7)</f>
        <v>53226000</v>
      </c>
      <c r="E67" s="2"/>
      <c r="F67" s="2" t="str">
        <f>IFERROR(__xludf.DUMMYFUNCTION("""COMPUTED_VALUE"""),"DB")</f>
        <v>DB</v>
      </c>
      <c r="G67" s="2">
        <f>IFERROR(__xludf.DUMMYFUNCTION("""COMPUTED_VALUE"""),3.9656645109000003E8)</f>
        <v>396566451.1</v>
      </c>
      <c r="H67" s="2"/>
      <c r="I67" s="2" t="str">
        <f>IFERROR(__xludf.DUMMYFUNCTION("""COMPUTED_VALUE"""),"PRODUKSI")</f>
        <v>PRODUKSI</v>
      </c>
    </row>
    <row r="68">
      <c r="A68" s="7">
        <f>IFERROR(__xludf.DUMMYFUNCTION("""COMPUTED_VALUE"""),46312.0)</f>
        <v>46312</v>
      </c>
      <c r="B68" s="2" t="str">
        <f>IFERROR(__xludf.DUMMYFUNCTION("""COMPUTED_VALUE"""),"TRSF E-BANKING DB")</f>
        <v>TRSF E-BANKING DB</v>
      </c>
      <c r="C68" s="2" t="str">
        <f>IFERROR(__xludf.DUMMYFUNCTION("""COMPUTED_VALUE"""),"1710/FTSCY/WS95011 107537400.00 Wed Oct 14 2026 14:00:00 GMT+0700 (Western Indonesia Time) BRANTAS ABADI SENT")</f>
        <v>1710/FTSCY/WS95011 107537400.00 Wed Oct 14 2026 14:00:00 GMT+0700 (Western Indonesia Time) BRANTAS ABADI SENT</v>
      </c>
      <c r="D68" s="2">
        <f>IFERROR(__xludf.DUMMYFUNCTION("""COMPUTED_VALUE"""),1.075374E8)</f>
        <v>107537400</v>
      </c>
      <c r="E68" s="2"/>
      <c r="F68" s="2" t="str">
        <f>IFERROR(__xludf.DUMMYFUNCTION("""COMPUTED_VALUE"""),"DB")</f>
        <v>DB</v>
      </c>
      <c r="G68" s="2">
        <f>IFERROR(__xludf.DUMMYFUNCTION("""COMPUTED_VALUE"""),2.8902905109000003E8)</f>
        <v>289029051.1</v>
      </c>
      <c r="H68" s="2"/>
      <c r="I68" s="2" t="str">
        <f>IFERROR(__xludf.DUMMYFUNCTION("""COMPUTED_VALUE"""),"PRODUKSI")</f>
        <v>PRODUKSI</v>
      </c>
    </row>
    <row r="69">
      <c r="A69" s="7">
        <f>IFERROR(__xludf.DUMMYFUNCTION("""COMPUTED_VALUE"""),46312.0)</f>
        <v>46312</v>
      </c>
      <c r="B69" s="2" t="str">
        <f>IFERROR(__xludf.DUMMYFUNCTION("""COMPUTED_VALUE"""),"TRSF E-BANKING DB")</f>
        <v>TRSF E-BANKING DB</v>
      </c>
      <c r="C69" s="2" t="str">
        <f>IFERROR(__xludf.DUMMYFUNCTION("""COMPUTED_VALUE"""),"1710/FTSCY/WS95011 53346600.00 Thu Oct 15 2026 14:00:00 GMT+0700 (Western Indonesia Time) BRANTAS ABADI SENT")</f>
        <v>1710/FTSCY/WS95011 53346600.00 Thu Oct 15 2026 14:00:00 GMT+0700 (Western Indonesia Time) BRANTAS ABADI SENT</v>
      </c>
      <c r="D69" s="2">
        <f>IFERROR(__xludf.DUMMYFUNCTION("""COMPUTED_VALUE"""),5.33466E7)</f>
        <v>53346600</v>
      </c>
      <c r="E69" s="2"/>
      <c r="F69" s="2" t="str">
        <f>IFERROR(__xludf.DUMMYFUNCTION("""COMPUTED_VALUE"""),"DB")</f>
        <v>DB</v>
      </c>
      <c r="G69" s="2">
        <f>IFERROR(__xludf.DUMMYFUNCTION("""COMPUTED_VALUE"""),2.3568245109000003E8)</f>
        <v>235682451.1</v>
      </c>
      <c r="H69" s="2"/>
      <c r="I69" s="2" t="str">
        <f>IFERROR(__xludf.DUMMYFUNCTION("""COMPUTED_VALUE"""),"PRODUKSI")</f>
        <v>PRODUKSI</v>
      </c>
    </row>
    <row r="70">
      <c r="A70" s="7">
        <f>IFERROR(__xludf.DUMMYFUNCTION("""COMPUTED_VALUE"""),46312.0)</f>
        <v>46312</v>
      </c>
      <c r="B70" s="2" t="str">
        <f>IFERROR(__xludf.DUMMYFUNCTION("""COMPUTED_VALUE"""),"TRSF E-BANKING DB")</f>
        <v>TRSF E-BANKING DB</v>
      </c>
      <c r="C70" s="2" t="str">
        <f>IFERROR(__xludf.DUMMYFUNCTION("""COMPUTED_VALUE"""),"1710/FTSCY/WS95011 72019800.00 Thu Oct 15 2026 14:00:00 GMT+0700 (Western Indonesia Time) LAJU SATWA WISESA")</f>
        <v>1710/FTSCY/WS95011 72019800.00 Thu Oct 15 2026 14:00:00 GMT+0700 (Western Indonesia Time) LAJU SATWA WISESA</v>
      </c>
      <c r="D70" s="2">
        <f>IFERROR(__xludf.DUMMYFUNCTION("""COMPUTED_VALUE"""),7.20198E7)</f>
        <v>72019800</v>
      </c>
      <c r="E70" s="2"/>
      <c r="F70" s="2" t="str">
        <f>IFERROR(__xludf.DUMMYFUNCTION("""COMPUTED_VALUE"""),"DB")</f>
        <v>DB</v>
      </c>
      <c r="G70" s="2">
        <f>IFERROR(__xludf.DUMMYFUNCTION("""COMPUTED_VALUE"""),1.6366265109000003E8)</f>
        <v>163662651.1</v>
      </c>
      <c r="H70" s="2"/>
      <c r="I70" s="2" t="str">
        <f>IFERROR(__xludf.DUMMYFUNCTION("""COMPUTED_VALUE"""),"PRODUKSI")</f>
        <v>PRODUKSI</v>
      </c>
    </row>
    <row r="71">
      <c r="A71" s="7">
        <f>IFERROR(__xludf.DUMMYFUNCTION("""COMPUTED_VALUE"""),46312.0)</f>
        <v>46312</v>
      </c>
      <c r="B71" s="2" t="str">
        <f>IFERROR(__xludf.DUMMYFUNCTION("""COMPUTED_VALUE"""),"TRSF E-BANKING DB")</f>
        <v>TRSF E-BANKING DB</v>
      </c>
      <c r="C71" s="2" t="str">
        <f>IFERROR(__xludf.DUMMYFUNCTION("""COMPUTED_VALUE"""),"1710/FTSCY/WS95011 161063000.00 Thu Oct 15 2026 14:00:00 GMT+0700 (Western Indonesia Time) GANESHA SATRIA NUS")</f>
        <v>1710/FTSCY/WS95011 161063000.00 Thu Oct 15 2026 14:00:00 GMT+0700 (Western Indonesia Time) GANESHA SATRIA NUS</v>
      </c>
      <c r="D71" s="2">
        <f>IFERROR(__xludf.DUMMYFUNCTION("""COMPUTED_VALUE"""),1.61063E8)</f>
        <v>161063000</v>
      </c>
      <c r="E71" s="2"/>
      <c r="F71" s="2" t="str">
        <f>IFERROR(__xludf.DUMMYFUNCTION("""COMPUTED_VALUE"""),"DB")</f>
        <v>DB</v>
      </c>
      <c r="G71" s="2">
        <f>IFERROR(__xludf.DUMMYFUNCTION("""COMPUTED_VALUE"""),2599651.0900000334)</f>
        <v>2599651.09</v>
      </c>
      <c r="H71" s="2"/>
      <c r="I71" s="2" t="str">
        <f>IFERROR(__xludf.DUMMYFUNCTION("""COMPUTED_VALUE"""),"PRODUKSI")</f>
        <v>PRODUKSI</v>
      </c>
    </row>
    <row r="72">
      <c r="A72" s="7">
        <f>IFERROR(__xludf.DUMMYFUNCTION("""COMPUTED_VALUE"""),46312.0)</f>
        <v>46312</v>
      </c>
      <c r="B72" s="2" t="str">
        <f>IFERROR(__xludf.DUMMYFUNCTION("""COMPUTED_VALUE"""),"TRSF E-BANKING DB")</f>
        <v>TRSF E-BANKING DB</v>
      </c>
      <c r="C72" s="2" t="str">
        <f>IFERROR(__xludf.DUMMYFUNCTION("""COMPUTED_VALUE"""),"1710/FTSCY/WS95031 2536600.00 NURHAYATI")</f>
        <v>1710/FTSCY/WS95031 2536600.00 NURHAYATI</v>
      </c>
      <c r="D72" s="2">
        <f>IFERROR(__xludf.DUMMYFUNCTION("""COMPUTED_VALUE"""),2536600.0)</f>
        <v>2536600</v>
      </c>
      <c r="E72" s="2"/>
      <c r="F72" s="2" t="str">
        <f>IFERROR(__xludf.DUMMYFUNCTION("""COMPUTED_VALUE"""),"DB")</f>
        <v>DB</v>
      </c>
      <c r="G72" s="2">
        <f>IFERROR(__xludf.DUMMYFUNCTION("""COMPUTED_VALUE"""),63051.09000003338)</f>
        <v>63051.09</v>
      </c>
      <c r="H72" s="2"/>
      <c r="I72" s="2" t="str">
        <f>IFERROR(__xludf.DUMMYFUNCTION("""COMPUTED_VALUE"""),"PRODUKSI")</f>
        <v>PRODUKSI</v>
      </c>
    </row>
    <row r="73">
      <c r="A73" s="7">
        <f>IFERROR(__xludf.DUMMYFUNCTION("""COMPUTED_VALUE"""),46312.0)</f>
        <v>46312</v>
      </c>
      <c r="B73" s="2" t="str">
        <f>IFERROR(__xludf.DUMMYFUNCTION("""COMPUTED_VALUE"""),"TRSF E-BANKING DB")</f>
        <v>TRSF E-BANKING DB</v>
      </c>
      <c r="C73" s="2" t="str">
        <f>IFERROR(__xludf.DUMMYFUNCTION("""COMPUTED_VALUE"""),"1710/FTSCY/WS95031 6616060.00 FAJAR ANDREANZAH")</f>
        <v>1710/FTSCY/WS95031 6616060.00 FAJAR ANDREANZAH</v>
      </c>
      <c r="D73" s="2">
        <f>IFERROR(__xludf.DUMMYFUNCTION("""COMPUTED_VALUE"""),6616060.0)</f>
        <v>6616060</v>
      </c>
      <c r="E73" s="2"/>
      <c r="F73" s="2" t="str">
        <f>IFERROR(__xludf.DUMMYFUNCTION("""COMPUTED_VALUE"""),"DB")</f>
        <v>DB</v>
      </c>
      <c r="G73" s="2">
        <f>IFERROR(__xludf.DUMMYFUNCTION("""COMPUTED_VALUE"""),8546991.090000033)</f>
        <v>8546991.09</v>
      </c>
      <c r="H73" s="2">
        <f>IFERROR(__xludf.DUMMYFUNCTION("""COMPUTED_VALUE"""),8546991.09)</f>
        <v>8546991.09</v>
      </c>
      <c r="I73" s="2" t="str">
        <f>IFERROR(__xludf.DUMMYFUNCTION("""COMPUTED_VALUE"""),"PRODUKSI")</f>
        <v>PRODUKSI</v>
      </c>
    </row>
    <row r="74">
      <c r="A74" s="7">
        <f>IFERROR(__xludf.DUMMYFUNCTION("""COMPUTED_VALUE"""),46312.0)</f>
        <v>46312</v>
      </c>
      <c r="B74" s="2" t="str">
        <f>IFERROR(__xludf.DUMMYFUNCTION("""COMPUTED_VALUE"""),"TRSF E-BANKING DB")</f>
        <v>TRSF E-BANKING DB</v>
      </c>
      <c r="C74" s="2" t="str">
        <f>IFERROR(__xludf.DUMMYFUNCTION("""COMPUTED_VALUE"""),"1710/FTSCY/WS95031 4100000.00 BELA PRAMUDITA")</f>
        <v>1710/FTSCY/WS95031 4100000.00 BELA PRAMUDITA</v>
      </c>
      <c r="D74" s="2">
        <f>IFERROR(__xludf.DUMMYFUNCTION("""COMPUTED_VALUE"""),4100000.0)</f>
        <v>4100000</v>
      </c>
      <c r="E74" s="2"/>
      <c r="F74" s="2" t="str">
        <f>IFERROR(__xludf.DUMMYFUNCTION("""COMPUTED_VALUE"""),"DB")</f>
        <v>DB</v>
      </c>
      <c r="G74" s="2">
        <f>IFERROR(__xludf.DUMMYFUNCTION("""COMPUTED_VALUE"""),4446991.090000033)</f>
        <v>4446991.09</v>
      </c>
      <c r="H74" s="2">
        <f>IFERROR(__xludf.DUMMYFUNCTION("""COMPUTED_VALUE"""),4446991.09)</f>
        <v>4446991.09</v>
      </c>
      <c r="I74" s="2" t="str">
        <f>IFERROR(__xludf.DUMMYFUNCTION("""COMPUTED_VALUE"""),"PRODUKSI")</f>
        <v>PRODUKSI</v>
      </c>
    </row>
    <row r="75">
      <c r="A75" s="7">
        <f>IFERROR(__xludf.DUMMYFUNCTION("""COMPUTED_VALUE"""),46312.0)</f>
        <v>46312</v>
      </c>
      <c r="B75" s="2" t="str">
        <f>IFERROR(__xludf.DUMMYFUNCTION("""COMPUTED_VALUE"""),"TRSF E-BANKING DB")</f>
        <v>TRSF E-BANKING DB</v>
      </c>
      <c r="C75" s="2" t="str">
        <f>IFERROR(__xludf.DUMMYFUNCTION("""COMPUTED_VALUE"""),"1710/FTSCY/WS95031 1244870.00 HERMAWAN")</f>
        <v>1710/FTSCY/WS95031 1244870.00 HERMAWAN</v>
      </c>
      <c r="D75" s="2">
        <f>IFERROR(__xludf.DUMMYFUNCTION("""COMPUTED_VALUE"""),1244870.0)</f>
        <v>1244870</v>
      </c>
      <c r="E75" s="2"/>
      <c r="F75" s="2" t="str">
        <f>IFERROR(__xludf.DUMMYFUNCTION("""COMPUTED_VALUE"""),"DB")</f>
        <v>DB</v>
      </c>
      <c r="G75" s="2">
        <f>IFERROR(__xludf.DUMMYFUNCTION("""COMPUTED_VALUE"""),3202121.0900000334)</f>
        <v>3202121.09</v>
      </c>
      <c r="H75" s="2"/>
      <c r="I75" s="2" t="str">
        <f>IFERROR(__xludf.DUMMYFUNCTION("""COMPUTED_VALUE"""),"PRODUKSI")</f>
        <v>PRODUKSI</v>
      </c>
    </row>
    <row r="76">
      <c r="A76" s="7">
        <f>IFERROR(__xludf.DUMMYFUNCTION("""COMPUTED_VALUE"""),46312.0)</f>
        <v>46312</v>
      </c>
      <c r="B76" s="2" t="str">
        <f>IFERROR(__xludf.DUMMYFUNCTION("""COMPUTED_VALUE"""),"TRSF E-BANKING DB")</f>
        <v>TRSF E-BANKING DB</v>
      </c>
      <c r="C76" s="2" t="str">
        <f>IFERROR(__xludf.DUMMYFUNCTION("""COMPUTED_VALUE"""),"1710/FTSCY/WS95031 3076400.00 krg 14.3 jt MUJIANTO")</f>
        <v>1710/FTSCY/WS95031 3076400.00 krg 14.3 jt MUJIANTO</v>
      </c>
      <c r="D76" s="2">
        <f>IFERROR(__xludf.DUMMYFUNCTION("""COMPUTED_VALUE"""),3076400.0)</f>
        <v>3076400</v>
      </c>
      <c r="E76" s="2"/>
      <c r="F76" s="2" t="str">
        <f>IFERROR(__xludf.DUMMYFUNCTION("""COMPUTED_VALUE"""),"DB")</f>
        <v>DB</v>
      </c>
      <c r="G76" s="2">
        <f>IFERROR(__xludf.DUMMYFUNCTION("""COMPUTED_VALUE"""),125721.09000003338)</f>
        <v>125721.09</v>
      </c>
      <c r="H76" s="2"/>
      <c r="I76" s="2" t="str">
        <f>IFERROR(__xludf.DUMMYFUNCTION("""COMPUTED_VALUE"""),"PRODUKSI")</f>
        <v>PRODUKSI</v>
      </c>
    </row>
    <row r="77">
      <c r="A77" s="7">
        <f>IFERROR(__xludf.DUMMYFUNCTION("""COMPUTED_VALUE"""),46312.0)</f>
        <v>46312</v>
      </c>
      <c r="B77" s="2" t="str">
        <f>IFERROR(__xludf.DUMMYFUNCTION("""COMPUTED_VALUE"""),"TRSF E-BANKING DB")</f>
        <v>TRSF E-BANKING DB</v>
      </c>
      <c r="C77" s="2" t="str">
        <f>IFERROR(__xludf.DUMMYFUNCTION("""COMPUTED_VALUE"""),"1710/FTSCY/WS95271 110000000.00 titip BRANTAS ABADI SENT")</f>
        <v>1710/FTSCY/WS95271 110000000.00 titip BRANTAS ABADI SENT</v>
      </c>
      <c r="D77" s="2">
        <f>IFERROR(__xludf.DUMMYFUNCTION("""COMPUTED_VALUE"""),1.1E8)</f>
        <v>110000000</v>
      </c>
      <c r="E77" s="2"/>
      <c r="F77" s="2" t="str">
        <f>IFERROR(__xludf.DUMMYFUNCTION("""COMPUTED_VALUE"""),"DB")</f>
        <v>DB</v>
      </c>
      <c r="G77" s="2">
        <f>IFERROR(__xludf.DUMMYFUNCTION("""COMPUTED_VALUE"""),714421.0900000334)</f>
        <v>714421.09</v>
      </c>
      <c r="H77" s="2"/>
      <c r="I77" s="2" t="str">
        <f>IFERROR(__xludf.DUMMYFUNCTION("""COMPUTED_VALUE"""),"PRODUKSI")</f>
        <v>PRODUKSI</v>
      </c>
    </row>
    <row r="78">
      <c r="A78" s="7">
        <f>IFERROR(__xludf.DUMMYFUNCTION("""COMPUTED_VALUE"""),46312.0)</f>
        <v>46312</v>
      </c>
      <c r="B78" s="2" t="str">
        <f>IFERROR(__xludf.DUMMYFUNCTION("""COMPUTED_VALUE"""),"TARIKAN ATM 17/10")</f>
        <v>TARIKAN ATM 17/10</v>
      </c>
      <c r="C78" s="2" t="str">
        <f>IFERROR(__xludf.DUMMYFUNCTION("""COMPUTED_VALUE"""),"TARIKAN ATM 17/10")</f>
        <v>TARIKAN ATM 17/10</v>
      </c>
      <c r="D78" s="2">
        <f>IFERROR(__xludf.DUMMYFUNCTION("""COMPUTED_VALUE"""),400000.0)</f>
        <v>400000</v>
      </c>
      <c r="E78" s="2"/>
      <c r="F78" s="2"/>
      <c r="G78" s="2">
        <f>IFERROR(__xludf.DUMMYFUNCTION("""COMPUTED_VALUE"""),314421.0900000334)</f>
        <v>314421.09</v>
      </c>
      <c r="H78" s="2"/>
      <c r="I78" s="2" t="str">
        <f>IFERROR(__xludf.DUMMYFUNCTION("""COMPUTED_VALUE"""),"PRODUKSI")</f>
        <v>PRODUKSI</v>
      </c>
    </row>
    <row r="79">
      <c r="A79" s="7">
        <f>IFERROR(__xludf.DUMMYFUNCTION("""COMPUTED_VALUE"""),46312.0)</f>
        <v>46312</v>
      </c>
      <c r="B79" s="2" t="str">
        <f>IFERROR(__xludf.DUMMYFUNCTION("""COMPUTED_VALUE"""),"TRSF E-BANKING DB")</f>
        <v>TRSF E-BANKING DB</v>
      </c>
      <c r="C79" s="2" t="str">
        <f>IFERROR(__xludf.DUMMYFUNCTION("""COMPUTED_VALUE"""),"1710/FTSCY/WS95031 6000000.00 NURUL AINI")</f>
        <v>1710/FTSCY/WS95031 6000000.00 NURUL AINI</v>
      </c>
      <c r="D79" s="2">
        <f>IFERROR(__xludf.DUMMYFUNCTION("""COMPUTED_VALUE"""),6000000.0)</f>
        <v>6000000</v>
      </c>
      <c r="E79" s="2"/>
      <c r="F79" s="2" t="str">
        <f>IFERROR(__xludf.DUMMYFUNCTION("""COMPUTED_VALUE"""),"DB")</f>
        <v>DB</v>
      </c>
      <c r="G79" s="2">
        <f>IFERROR(__xludf.DUMMYFUNCTION("""COMPUTED_VALUE"""),4314421.090000033)</f>
        <v>4314421.09</v>
      </c>
      <c r="H79" s="2"/>
      <c r="I79" s="2" t="str">
        <f>IFERROR(__xludf.DUMMYFUNCTION("""COMPUTED_VALUE"""),"PRODUKSI")</f>
        <v>PRODUKSI</v>
      </c>
    </row>
    <row r="80">
      <c r="A80" s="7">
        <f>IFERROR(__xludf.DUMMYFUNCTION("""COMPUTED_VALUE"""),46312.0)</f>
        <v>46312</v>
      </c>
      <c r="B80" s="2" t="str">
        <f>IFERROR(__xludf.DUMMYFUNCTION("""COMPUTED_VALUE"""),"TRSF E-BANKING DB")</f>
        <v>TRSF E-BANKING DB</v>
      </c>
      <c r="C80" s="2" t="str">
        <f>IFERROR(__xludf.DUMMYFUNCTION("""COMPUTED_VALUE"""),"1710/FTSCY/WS95031 15463780.00 ktg 90 jt EKO SETIYAWAN")</f>
        <v>1710/FTSCY/WS95031 15463780.00 ktg 90 jt EKO SETIYAWAN</v>
      </c>
      <c r="D80" s="2">
        <f>IFERROR(__xludf.DUMMYFUNCTION("""COMPUTED_VALUE"""),1.546378E7)</f>
        <v>15463780</v>
      </c>
      <c r="E80" s="2"/>
      <c r="F80" s="2" t="str">
        <f>IFERROR(__xludf.DUMMYFUNCTION("""COMPUTED_VALUE"""),"DB")</f>
        <v>DB</v>
      </c>
      <c r="G80" s="2">
        <f>IFERROR(__xludf.DUMMYFUNCTION("""COMPUTED_VALUE"""),7.2834146109E8)</f>
        <v>728341461.1</v>
      </c>
      <c r="H80" s="2">
        <f>IFERROR(__xludf.DUMMYFUNCTION("""COMPUTED_VALUE"""),7.2834146109E8)</f>
        <v>728341461.1</v>
      </c>
      <c r="I80" s="2" t="str">
        <f>IFERROR(__xludf.DUMMYFUNCTION("""COMPUTED_VALUE"""),"PRODUKSI")</f>
        <v>PRODUKSI</v>
      </c>
    </row>
    <row r="81">
      <c r="A81" s="7">
        <f>IFERROR(__xludf.DUMMYFUNCTION("""COMPUTED_VALUE"""),46312.0)</f>
        <v>46312</v>
      </c>
      <c r="B81" s="2" t="str">
        <f>IFERROR(__xludf.DUMMYFUNCTION("""COMPUTED_VALUE"""),"TRSF E-BANKING DB")</f>
        <v>TRSF E-BANKING DB</v>
      </c>
      <c r="C81" s="2" t="str">
        <f>IFERROR(__xludf.DUMMYFUNCTION("""COMPUTED_VALUE"""),"1710/FTSCY/WS95031 2300000.00 BELA PRAMUDITA")</f>
        <v>1710/FTSCY/WS95031 2300000.00 BELA PRAMUDITA</v>
      </c>
      <c r="D81" s="2">
        <f>IFERROR(__xludf.DUMMYFUNCTION("""COMPUTED_VALUE"""),2300000.0)</f>
        <v>2300000</v>
      </c>
      <c r="E81" s="2"/>
      <c r="F81" s="2" t="str">
        <f>IFERROR(__xludf.DUMMYFUNCTION("""COMPUTED_VALUE"""),"DB")</f>
        <v>DB</v>
      </c>
      <c r="G81" s="2">
        <f>IFERROR(__xludf.DUMMYFUNCTION("""COMPUTED_VALUE"""),7.2604146109E8)</f>
        <v>726041461.1</v>
      </c>
      <c r="H81" s="2">
        <f>IFERROR(__xludf.DUMMYFUNCTION("""COMPUTED_VALUE"""),7.2604146109E8)</f>
        <v>726041461.1</v>
      </c>
      <c r="I81" s="2" t="str">
        <f>IFERROR(__xludf.DUMMYFUNCTION("""COMPUTED_VALUE"""),"PRODUKSI")</f>
        <v>PRODUKSI</v>
      </c>
    </row>
    <row r="82">
      <c r="A82" s="7">
        <f>IFERROR(__xludf.DUMMYFUNCTION("""COMPUTED_VALUE"""),46312.0)</f>
        <v>46312</v>
      </c>
      <c r="B82" s="2" t="str">
        <f>IFERROR(__xludf.DUMMYFUNCTION("""COMPUTED_VALUE"""),"TRSF E-BANKING DB")</f>
        <v>TRSF E-BANKING DB</v>
      </c>
      <c r="C82" s="2" t="str">
        <f>IFERROR(__xludf.DUMMYFUNCTION("""COMPUTED_VALUE"""),"1710/FTSCY/WS95271 154446250.00 Fri Oct 16 2026 14:00:00 GMT+0700 (Western Indonesia Time) ANDALAN YASA MITRA")</f>
        <v>1710/FTSCY/WS95271 154446250.00 Fri Oct 16 2026 14:00:00 GMT+0700 (Western Indonesia Time) ANDALAN YASA MITRA</v>
      </c>
      <c r="D82" s="2">
        <f>IFERROR(__xludf.DUMMYFUNCTION("""COMPUTED_VALUE"""),1.5444625E8)</f>
        <v>154446250</v>
      </c>
      <c r="E82" s="2"/>
      <c r="F82" s="2" t="str">
        <f>IFERROR(__xludf.DUMMYFUNCTION("""COMPUTED_VALUE"""),"DB")</f>
        <v>DB</v>
      </c>
      <c r="G82" s="2">
        <f>IFERROR(__xludf.DUMMYFUNCTION("""COMPUTED_VALUE"""),5.7159521109E8)</f>
        <v>571595211.1</v>
      </c>
      <c r="H82" s="2"/>
      <c r="I82" s="2" t="str">
        <f>IFERROR(__xludf.DUMMYFUNCTION("""COMPUTED_VALUE"""),"PRODUKSI")</f>
        <v>PRODUKSI</v>
      </c>
    </row>
    <row r="83">
      <c r="A83" s="7">
        <f>IFERROR(__xludf.DUMMYFUNCTION("""COMPUTED_VALUE"""),46312.0)</f>
        <v>46312</v>
      </c>
      <c r="B83" s="2" t="str">
        <f>IFERROR(__xludf.DUMMYFUNCTION("""COMPUTED_VALUE"""),"TRSF E-BANKING DB")</f>
        <v>TRSF E-BANKING DB</v>
      </c>
      <c r="C83" s="2" t="str">
        <f>IFERROR(__xludf.DUMMYFUNCTION("""COMPUTED_VALUE"""),"1710/FTSCY/WS95271 26315000.00 pelunasan GANESHA SATRIA NUS")</f>
        <v>1710/FTSCY/WS95271 26315000.00 pelunasan GANESHA SATRIA NUS</v>
      </c>
      <c r="D83" s="2">
        <f>IFERROR(__xludf.DUMMYFUNCTION("""COMPUTED_VALUE"""),2.6315E7)</f>
        <v>26315000</v>
      </c>
      <c r="E83" s="2"/>
      <c r="F83" s="2" t="str">
        <f>IFERROR(__xludf.DUMMYFUNCTION("""COMPUTED_VALUE"""),"DB")</f>
        <v>DB</v>
      </c>
      <c r="G83" s="2">
        <f>IFERROR(__xludf.DUMMYFUNCTION("""COMPUTED_VALUE"""),5.4528021109E8)</f>
        <v>545280211.1</v>
      </c>
      <c r="H83" s="2"/>
      <c r="I83" s="2" t="str">
        <f>IFERROR(__xludf.DUMMYFUNCTION("""COMPUTED_VALUE"""),"PRODUKSI")</f>
        <v>PRODUKSI</v>
      </c>
    </row>
    <row r="84">
      <c r="A84" s="7">
        <f>IFERROR(__xludf.DUMMYFUNCTION("""COMPUTED_VALUE"""),46312.0)</f>
        <v>46312</v>
      </c>
      <c r="B84" s="2" t="str">
        <f>IFERROR(__xludf.DUMMYFUNCTION("""COMPUTED_VALUE"""),"TRSF E-BANKING DB")</f>
        <v>TRSF E-BANKING DB</v>
      </c>
      <c r="C84" s="2" t="str">
        <f>IFERROR(__xludf.DUMMYFUNCTION("""COMPUTED_VALUE"""),"1710/FTSCY/WS95271 2000000.00 prob. SUNARTO")</f>
        <v>1710/FTSCY/WS95271 2000000.00 prob. SUNARTO</v>
      </c>
      <c r="D84" s="2">
        <f>IFERROR(__xludf.DUMMYFUNCTION("""COMPUTED_VALUE"""),2000000.0)</f>
        <v>2000000</v>
      </c>
      <c r="E84" s="2"/>
      <c r="F84" s="2" t="str">
        <f>IFERROR(__xludf.DUMMYFUNCTION("""COMPUTED_VALUE"""),"DB")</f>
        <v>DB</v>
      </c>
      <c r="G84" s="2">
        <f>IFERROR(__xludf.DUMMYFUNCTION("""COMPUTED_VALUE"""),5.4328021109E8)</f>
        <v>543280211.1</v>
      </c>
      <c r="H84" s="2"/>
      <c r="I84" s="2" t="str">
        <f>IFERROR(__xludf.DUMMYFUNCTION("""COMPUTED_VALUE"""),"PRODUKSI")</f>
        <v>PRODUKSI</v>
      </c>
    </row>
    <row r="85">
      <c r="A85" s="7">
        <f>IFERROR(__xludf.DUMMYFUNCTION("""COMPUTED_VALUE"""),46312.0)</f>
        <v>46312</v>
      </c>
      <c r="B85" s="2" t="str">
        <f>IFERROR(__xludf.DUMMYFUNCTION("""COMPUTED_VALUE"""),"TRSF E-BANKING DB")</f>
        <v>TRSF E-BANKING DB</v>
      </c>
      <c r="C85" s="2" t="str">
        <f>IFERROR(__xludf.DUMMYFUNCTION("""COMPUTED_VALUE"""),"1710/FTSCY/WS95031 30000000.00 GANESHA SATRIA NUS")</f>
        <v>1710/FTSCY/WS95031 30000000.00 GANESHA SATRIA NUS</v>
      </c>
      <c r="D85" s="2">
        <f>IFERROR(__xludf.DUMMYFUNCTION("""COMPUTED_VALUE"""),3.0E7)</f>
        <v>30000000</v>
      </c>
      <c r="E85" s="2"/>
      <c r="F85" s="2" t="str">
        <f>IFERROR(__xludf.DUMMYFUNCTION("""COMPUTED_VALUE"""),"DB")</f>
        <v>DB</v>
      </c>
      <c r="G85" s="2">
        <f>IFERROR(__xludf.DUMMYFUNCTION("""COMPUTED_VALUE"""),5.1328021109000003E8)</f>
        <v>513280211.1</v>
      </c>
      <c r="H85" s="2"/>
      <c r="I85" s="2" t="str">
        <f>IFERROR(__xludf.DUMMYFUNCTION("""COMPUTED_VALUE"""),"PRODUKSI")</f>
        <v>PRODUKSI</v>
      </c>
    </row>
    <row r="86">
      <c r="A86" s="7">
        <f>IFERROR(__xludf.DUMMYFUNCTION("""COMPUTED_VALUE"""),46312.0)</f>
        <v>46312</v>
      </c>
      <c r="B86" s="2" t="str">
        <f>IFERROR(__xludf.DUMMYFUNCTION("""COMPUTED_VALUE"""),"TRSF E-BANKING DB")</f>
        <v>TRSF E-BANKING DB</v>
      </c>
      <c r="C86" s="2" t="str">
        <f>IFERROR(__xludf.DUMMYFUNCTION("""COMPUTED_VALUE"""),"1710/FTSCY/WS95031 10000000.00 GANESHA SATRIA NUS")</f>
        <v>1710/FTSCY/WS95031 10000000.00 GANESHA SATRIA NUS</v>
      </c>
      <c r="D86" s="2">
        <f>IFERROR(__xludf.DUMMYFUNCTION("""COMPUTED_VALUE"""),1.0E7)</f>
        <v>10000000</v>
      </c>
      <c r="E86" s="2"/>
      <c r="F86" s="2" t="str">
        <f>IFERROR(__xludf.DUMMYFUNCTION("""COMPUTED_VALUE"""),"DB")</f>
        <v>DB</v>
      </c>
      <c r="G86" s="2">
        <f>IFERROR(__xludf.DUMMYFUNCTION("""COMPUTED_VALUE"""),5.0328021109000003E8)</f>
        <v>503280211.1</v>
      </c>
      <c r="H86" s="2"/>
      <c r="I86" s="2" t="str">
        <f>IFERROR(__xludf.DUMMYFUNCTION("""COMPUTED_VALUE"""),"PRODUKSI")</f>
        <v>PRODUKSI</v>
      </c>
    </row>
    <row r="87">
      <c r="A87" s="7">
        <f>IFERROR(__xludf.DUMMYFUNCTION("""COMPUTED_VALUE"""),46312.0)</f>
        <v>46312</v>
      </c>
      <c r="B87" s="2" t="str">
        <f>IFERROR(__xludf.DUMMYFUNCTION("""COMPUTED_VALUE"""),"TRSF E-BANKING DB")</f>
        <v>TRSF E-BANKING DB</v>
      </c>
      <c r="C87" s="2" t="str">
        <f>IFERROR(__xludf.DUMMYFUNCTION("""COMPUTED_VALUE"""),"1710/FTSCY/WS95011 52000000.00 Krg 8 jt GANESHA SATRIA NUS")</f>
        <v>1710/FTSCY/WS95011 52000000.00 Krg 8 jt GANESHA SATRIA NUS</v>
      </c>
      <c r="D87" s="2">
        <f>IFERROR(__xludf.DUMMYFUNCTION("""COMPUTED_VALUE"""),5.2E7)</f>
        <v>52000000</v>
      </c>
      <c r="E87" s="2"/>
      <c r="F87" s="2" t="str">
        <f>IFERROR(__xludf.DUMMYFUNCTION("""COMPUTED_VALUE"""),"DB")</f>
        <v>DB</v>
      </c>
      <c r="G87" s="2">
        <f>IFERROR(__xludf.DUMMYFUNCTION("""COMPUTED_VALUE"""),4.5128021109000003E8)</f>
        <v>451280211.1</v>
      </c>
      <c r="H87" s="2"/>
      <c r="I87" s="2" t="str">
        <f>IFERROR(__xludf.DUMMYFUNCTION("""COMPUTED_VALUE"""),"PRODUKSI")</f>
        <v>PRODUKSI</v>
      </c>
    </row>
    <row r="88">
      <c r="A88" s="7">
        <f>IFERROR(__xludf.DUMMYFUNCTION("""COMPUTED_VALUE"""),46312.0)</f>
        <v>46312</v>
      </c>
      <c r="B88" s="2" t="str">
        <f>IFERROR(__xludf.DUMMYFUNCTION("""COMPUTED_VALUE"""),"TRSF E-BANKING DB")</f>
        <v>TRSF E-BANKING DB</v>
      </c>
      <c r="C88" s="2" t="str">
        <f>IFERROR(__xludf.DUMMYFUNCTION("""COMPUTED_VALUE"""),"1710/FTSCY/WS95031 350000.00 ANDE DOSO ANGGORO")</f>
        <v>1710/FTSCY/WS95031 350000.00 ANDE DOSO ANGGORO</v>
      </c>
      <c r="D88" s="2">
        <f>IFERROR(__xludf.DUMMYFUNCTION("""COMPUTED_VALUE"""),350000.0)</f>
        <v>350000</v>
      </c>
      <c r="E88" s="2"/>
      <c r="F88" s="2" t="str">
        <f>IFERROR(__xludf.DUMMYFUNCTION("""COMPUTED_VALUE"""),"DB")</f>
        <v>DB</v>
      </c>
      <c r="G88" s="2">
        <f>IFERROR(__xludf.DUMMYFUNCTION("""COMPUTED_VALUE"""),4.5093021109000003E8)</f>
        <v>450930211.1</v>
      </c>
      <c r="H88" s="2">
        <f>IFERROR(__xludf.DUMMYFUNCTION("""COMPUTED_VALUE"""),4.5093021109E8)</f>
        <v>450930211.1</v>
      </c>
      <c r="I88" s="2" t="str">
        <f>IFERROR(__xludf.DUMMYFUNCTION("""COMPUTED_VALUE"""),"PRODUKSI")</f>
        <v>PRODUKSI</v>
      </c>
    </row>
    <row r="89">
      <c r="A89" s="7">
        <f>IFERROR(__xludf.DUMMYFUNCTION("""COMPUTED_VALUE"""),46313.0)</f>
        <v>46313</v>
      </c>
      <c r="B89" s="2" t="str">
        <f>IFERROR(__xludf.DUMMYFUNCTION("""COMPUTED_VALUE"""),"TRSF E-BANKING DB")</f>
        <v>TRSF E-BANKING DB</v>
      </c>
      <c r="C89" s="2" t="str">
        <f>IFERROR(__xludf.DUMMYFUNCTION("""COMPUTED_VALUE"""),"1810/FTSCY/WS95271 4599810.00 DWI HERMANSYAH")</f>
        <v>1810/FTSCY/WS95271 4599810.00 DWI HERMANSYAH</v>
      </c>
      <c r="D89" s="2">
        <f>IFERROR(__xludf.DUMMYFUNCTION("""COMPUTED_VALUE"""),4599810.0)</f>
        <v>4599810</v>
      </c>
      <c r="E89" s="2"/>
      <c r="F89" s="2" t="str">
        <f>IFERROR(__xludf.DUMMYFUNCTION("""COMPUTED_VALUE"""),"DB")</f>
        <v>DB</v>
      </c>
      <c r="G89" s="2">
        <f>IFERROR(__xludf.DUMMYFUNCTION("""COMPUTED_VALUE"""),1.5066501090000033E7)</f>
        <v>15066501.09</v>
      </c>
      <c r="H89" s="2"/>
      <c r="I89" s="2" t="str">
        <f>IFERROR(__xludf.DUMMYFUNCTION("""COMPUTED_VALUE"""),"PRODUKSI")</f>
        <v>PRODUKSI</v>
      </c>
    </row>
    <row r="90">
      <c r="A90" s="7">
        <f>IFERROR(__xludf.DUMMYFUNCTION("""COMPUTED_VALUE"""),46313.0)</f>
        <v>46313</v>
      </c>
      <c r="B90" s="2" t="str">
        <f>IFERROR(__xludf.DUMMYFUNCTION("""COMPUTED_VALUE"""),"TRSF E-BANKING DB")</f>
        <v>TRSF E-BANKING DB</v>
      </c>
      <c r="C90" s="2" t="str">
        <f>IFERROR(__xludf.DUMMYFUNCTION("""COMPUTED_VALUE"""),"1810/FTSCY/WS95271 6069180.00 krg 10 jt MUJIANTO")</f>
        <v>1810/FTSCY/WS95271 6069180.00 krg 10 jt MUJIANTO</v>
      </c>
      <c r="D90" s="2">
        <f>IFERROR(__xludf.DUMMYFUNCTION("""COMPUTED_VALUE"""),6069180.0)</f>
        <v>6069180</v>
      </c>
      <c r="E90" s="2"/>
      <c r="F90" s="2" t="str">
        <f>IFERROR(__xludf.DUMMYFUNCTION("""COMPUTED_VALUE"""),"DB")</f>
        <v>DB</v>
      </c>
      <c r="G90" s="2">
        <f>IFERROR(__xludf.DUMMYFUNCTION("""COMPUTED_VALUE"""),8997321.090000033)</f>
        <v>8997321.09</v>
      </c>
      <c r="H90" s="2"/>
      <c r="I90" s="2" t="str">
        <f>IFERROR(__xludf.DUMMYFUNCTION("""COMPUTED_VALUE"""),"PRODUKSI")</f>
        <v>PRODUKSI</v>
      </c>
    </row>
    <row r="91">
      <c r="A91" s="7">
        <f>IFERROR(__xludf.DUMMYFUNCTION("""COMPUTED_VALUE"""),46313.0)</f>
        <v>46313</v>
      </c>
      <c r="B91" s="2" t="str">
        <f>IFERROR(__xludf.DUMMYFUNCTION("""COMPUTED_VALUE"""),"TRSF E-BANKING DB")</f>
        <v>TRSF E-BANKING DB</v>
      </c>
      <c r="C91" s="2" t="str">
        <f>IFERROR(__xludf.DUMMYFUNCTION("""COMPUTED_VALUE"""),"1810/FTSCY/WS95271 2137090.00 HERMAWAN")</f>
        <v>1810/FTSCY/WS95271 2137090.00 HERMAWAN</v>
      </c>
      <c r="D91" s="2">
        <f>IFERROR(__xludf.DUMMYFUNCTION("""COMPUTED_VALUE"""),2137090.0)</f>
        <v>2137090</v>
      </c>
      <c r="E91" s="2"/>
      <c r="F91" s="2" t="str">
        <f>IFERROR(__xludf.DUMMYFUNCTION("""COMPUTED_VALUE"""),"DB")</f>
        <v>DB</v>
      </c>
      <c r="G91" s="2">
        <f>IFERROR(__xludf.DUMMYFUNCTION("""COMPUTED_VALUE"""),4910231.090000033)</f>
        <v>4910231.09</v>
      </c>
      <c r="H91" s="2"/>
      <c r="I91" s="2" t="str">
        <f>IFERROR(__xludf.DUMMYFUNCTION("""COMPUTED_VALUE"""),"PRODUKSI")</f>
        <v>PRODUKSI</v>
      </c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