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I_2023" sheetId="1" r:id="rId5"/>
    <sheet state="visible" name="EXSPEDISI" sheetId="2" r:id="rId6"/>
    <sheet state="visible" name="V_SALES" sheetId="3" r:id="rId7"/>
    <sheet state="visible" name="OPERASIONAL" sheetId="4" r:id="rId8"/>
    <sheet state="visible" name="NURUL_AINI" sheetId="5" r:id="rId9"/>
    <sheet state="visible" name="KOSONG" sheetId="6" r:id="rId10"/>
    <sheet state="visible" name="PRIBADI" sheetId="7" r:id="rId11"/>
    <sheet state="visible" name="PRODUKSI" sheetId="8" r:id="rId12"/>
  </sheets>
  <definedNames/>
  <calcPr/>
</workbook>
</file>

<file path=xl/sharedStrings.xml><?xml version="1.0" encoding="utf-8"?>
<sst xmlns="http://schemas.openxmlformats.org/spreadsheetml/2006/main" count="1620" uniqueCount="479">
  <si>
    <t>SALDO AWAL</t>
  </si>
  <si>
    <t>TRSF E-BANKING CR TANGGAL :30/04</t>
  </si>
  <si>
    <t>3004/FTSCY/WS95051 SIDO RAYA UTAMA CV</t>
  </si>
  <si>
    <t>CR</t>
  </si>
  <si>
    <t>TRSF E-BANKING DB</t>
  </si>
  <si>
    <t>0105/FTSCY/WS95031 1365400.00 SUPRIYADI</t>
  </si>
  <si>
    <t>DB</t>
  </si>
  <si>
    <t>0105/FTSCY/WS95271 183332250.00 Tue Apr 28 2026 14:00:00 GMT+0700 (Western Indonesia Time) BROILER MAKMUR TAN</t>
  </si>
  <si>
    <t>PRODUKSI</t>
  </si>
  <si>
    <t>TARIKAN ATM 01/05</t>
  </si>
  <si>
    <t>SWITCHING CR</t>
  </si>
  <si>
    <t>TRANSFERDR 008</t>
  </si>
  <si>
    <t>BANK</t>
  </si>
  <si>
    <t>KARTU DEBIT</t>
  </si>
  <si>
    <t>ALFAMRT Y073 SUDI 6019009510239343</t>
  </si>
  <si>
    <t>0105/FTSCY/WS95271 100000000.00 titip BRANTAS ABADI SENT</t>
  </si>
  <si>
    <t>EXSPEDISI</t>
  </si>
  <si>
    <t>0105/FTSCY/WS95031 1000000.00 SUPRIYADI</t>
  </si>
  <si>
    <t>0105/FTSCY/WS95271 14905300.00 29 dan 30 BROILER MAKMUR TAN</t>
  </si>
  <si>
    <t>V_SALES</t>
  </si>
  <si>
    <t>0105/FTSCY/WS95031 90000000.00 pelunasan BROILER MAKMUR TAN</t>
  </si>
  <si>
    <t>0205/FTSCY/WS95031 56125500.00 Wed Apr 29 2026 14:00:00 GMT+0700 (Western Indonesia Time) RUKUN MITRA BERSAM</t>
  </si>
  <si>
    <t>0205/FTSCY/WS95031 29108850.00 krg 20 jt EKO SETIYAWAN</t>
  </si>
  <si>
    <t>TRSF E-BANKING CR</t>
  </si>
  <si>
    <t>0205/FTSCY/WS95051 43463200.00 EDDY PURWANTO</t>
  </si>
  <si>
    <t>0205/FTSCY/WS95271 50653710.00 Fri May 01 2026 14:00:00 GMT+0700 (Western Indonesia Time) LAWU ABADI NUSA PT</t>
  </si>
  <si>
    <t>BI-FAST DB</t>
  </si>
  <si>
    <t>BIF TRANSFER KE 9 NOUVAL HOLQI RISKU M-BCA</t>
  </si>
  <si>
    <t>BIF BIAYA TXN KE 9 NOUVAL HOLQI RISKU M-BCA</t>
  </si>
  <si>
    <t>0205/FTSCY/WS95051 153061080.00 ah fm hairul 10/4 PHALOSARI UNGGUL J</t>
  </si>
  <si>
    <t>0205/FTSCY/WS95051 58100000.00 Sat May 02 2026 14:00:00 GMT+0700 (Western Indonesia Time) 3500/Clossing SUGENG MARIONO</t>
  </si>
  <si>
    <t>0205/FTSCY/WS95271 200000000.00 titip UNGGAS MANDIRI BER</t>
  </si>
  <si>
    <t>0205/FTSCY/WS95051 368601590.00 SIDO RAYA UTAMA CV</t>
  </si>
  <si>
    <t>0205/FTFVA/WS95031 55569/PT PRIMA FAJ pasuruan 5700kg - 40190</t>
  </si>
  <si>
    <t>0205/FTSCY/WS95271 21250000.00 10.5 ton dan 3 ton ponorogo UNGGAS MANDIRI BER</t>
  </si>
  <si>
    <t>BYR VIA E-BANKING</t>
  </si>
  <si>
    <t>02/05  WSID9503100 0865 PLN PREPAID 32104859353 MUHAMMAD HAIRUL MA</t>
  </si>
  <si>
    <t>PRIBADI</t>
  </si>
  <si>
    <t>0205/FTSCY/WS95031 1278780.00 SUPRIYADI</t>
  </si>
  <si>
    <t>0205/FTSCY/WS95031 1000000.00 bon 500.000 SUNARTO</t>
  </si>
  <si>
    <t>OPERASIONAL</t>
  </si>
  <si>
    <t>0205/FTSCY/WS95011 92000000.00 lunas kd suharto pasuruan BRANTAS ABADI SENT</t>
  </si>
  <si>
    <t>0205/FTSCY/WS95011 92143320.00 29 dan 01 lunas ANDALAN YASA MITRA</t>
  </si>
  <si>
    <t>0205/FTSCY/WS95011 99256000.00 Fri May 01 2026 14:00:00 GMT+0700 (Western Indonesia Time) BINTANG TAMA SANTO</t>
  </si>
  <si>
    <t>0205/FTSCY/WS95011 60921600.00 Fri May 01 2026 14:00:00 GMT+0700 (Western Indonesia Time) BINTANG TAMA SANTO</t>
  </si>
  <si>
    <t>0205/FTSCY/WS95011 42491200.00 kd laila pasuruan SUPER UNGGAS JAYA</t>
  </si>
  <si>
    <t>0305/FTSCY/WS95271 150000.00 MUHAMMAD HAIRUL MA</t>
  </si>
  <si>
    <t>0305/FTSCY/WS95031 2255540.00 MUJIANTO</t>
  </si>
  <si>
    <t>0305/FTSCY/WS95031 2672320.00 MUJIANTO</t>
  </si>
  <si>
    <t>0305/FTSCY/WS95031 8174900.00 pelunasan UNGGAS MANDIRI BER</t>
  </si>
  <si>
    <t>0305/FTSCY/WS95031 3872030.00 HERMAWAN</t>
  </si>
  <si>
    <t>0305/FTSCY/WS95051 59340200.00 krmn 2/5 TERA MAKMURINDO CV</t>
  </si>
  <si>
    <t>0305/FTSCY/WS95031 45971200.00 Kd. dwi y nganjuk SUPER UNGGAS JAYA</t>
  </si>
  <si>
    <t>0305/FTSCY/WS95051 327800400.00 krmn 2/5 TERA MULIA KORPORI</t>
  </si>
  <si>
    <t>0305/FTSCY/WS95271 118846900.00 lunas SURYA INTI TERNAK</t>
  </si>
  <si>
    <t>0305/FTSCY/WS95271 116352000.00 Fri May 01 2026 14:00:00 GMT+0700 (Western Indonesia Time) LAJU SATWA WISESA</t>
  </si>
  <si>
    <t>KR OTOMATIS</t>
  </si>
  <si>
    <t>LLG-MANDIRI SUPER FAMOUS CHICK Pembelian ayam hid up</t>
  </si>
  <si>
    <t>0305/FTSCY/WS95011 93952000.00 Fri May 01 2026 14:00:00 GMT+0700 (Western Indonesia Time) LAJU SATWA WISESA</t>
  </si>
  <si>
    <t>0305/FTSCY/WS95011 95625600.00 Fri May 01 2026 14:00:00 GMT+0700 (Western Indonesia Time) BROILER MAKMUR TAN</t>
  </si>
  <si>
    <t>0305/FTSCY/WS95051 208095920.00 ah fm hairul 8/4 PHALOSARI UNGGUL J</t>
  </si>
  <si>
    <t>TARIKAN ATM 03/05</t>
  </si>
  <si>
    <t>0305/FTFVA/WS95031 55569/PT PRIMA FAJ prlunasan - 40190</t>
  </si>
  <si>
    <t>0305/FTSCY/WS95051 100000000.00 krmn 3/5 TERA MULIA KORPORI</t>
  </si>
  <si>
    <t>ALFAMRT Y207 BRTN 6019009510239343</t>
  </si>
  <si>
    <t>0305/FTSCY/WS95051 276308270.00 SIDO RAYA UTAMA CV</t>
  </si>
  <si>
    <t>0305/FTFVA/WS95031 55569/PT PRIMA FAJ 8,8 ton pasurusn - 40190</t>
  </si>
  <si>
    <t>0305/FTSCY/WS95031 1500000.00 SUNARTO</t>
  </si>
  <si>
    <t>0305/FTSCY/WS95031 3901120.00 SUPRIYADI</t>
  </si>
  <si>
    <t>0405/FTSCY/WS95031 1957600.00 MUJIANTO</t>
  </si>
  <si>
    <t>0405/FTSCY/WS95031 5788400.00 ponrogo lunas HERMAWAN</t>
  </si>
  <si>
    <t>0405/FTSCY/WS95271 153283200.00 Fri May 01 2026 14:00:00 GMT+0700 (Western Indonesia Time) ANDALAN YASA MITRA</t>
  </si>
  <si>
    <t>0405/FTSCY/WS95271 64000000.00 Thu Apr 02 2026 14:00:00 GMT+0700 (Western Indonesia Time) BINTANG TAMA SANTO</t>
  </si>
  <si>
    <t>0405/FTSCY/WS95271 73401480.00 Sat May 02 2026 14:00:00 GMT+0700 (Western Indonesia Time) ANDALAN YASA MITRA</t>
  </si>
  <si>
    <t>0405/FTSCY/WS95031 70000000.00 pelunasan ANDALAN YASA MITRA</t>
  </si>
  <si>
    <t>0405/FTSCY/WS95031 57050000.00 SEFI HANA KRISNAWA</t>
  </si>
  <si>
    <t>0405/FTSCY/WS95011 130877960.00 02/04 krg 100 jt BROILER MAKMUR TAN</t>
  </si>
  <si>
    <t>0405/FTSCY/WS95031 19632300.00 krg 36.2 jt EKO SETIYAWAN</t>
  </si>
  <si>
    <t>0405/FTSCY/WS95051 58661080.00 2-3 Mei Closing SUGENG MARIONO</t>
  </si>
  <si>
    <t>0405/FTSCY/WS95051 37547040.00 krmn 3/5 TERA MAKMURINDO CV</t>
  </si>
  <si>
    <t>0405/FTSCY/WS95051 225942760.00 krmn 3/5 TERA MULIA KORPORI</t>
  </si>
  <si>
    <t>0405/FTSCY/WS95051 52453950.00 ah hairul tg 11/4 PHALOSARI UNGGUL J</t>
  </si>
  <si>
    <t>IDM FPID GAMBANGAN 6019009510239343</t>
  </si>
  <si>
    <t>0405/FTSCY/WS95051 50172500.00 krman 2867x17500 GEMILANG INTI SUKS</t>
  </si>
  <si>
    <t>0405/FTSCY/WS95051 100000000.00 krmn 4/5 TERA MULIA KORPORI</t>
  </si>
  <si>
    <t>0405/FTFVA/WS95031 55569/PT PRIMA FAJ pasuruan 11.4 ton - 40190</t>
  </si>
  <si>
    <t>0405/FTSCY/WS95031 1000000.00 sisa bon 1.5 jt SUNARTO</t>
  </si>
  <si>
    <t>0405/FTSCY/WS95011 58585600.00 Fri Apr 03 2026 14:00:00 GMT+0700 (Western Indonesia Time) TUMBUH OPTIMAL PRI</t>
  </si>
  <si>
    <t>0405/FTSCY/WS95011 57275100.00 Thu Apr 02 2026 14:00:00 GMT+0700 (Western Indonesia Time) RUKUN MITRA BERSAM</t>
  </si>
  <si>
    <t>0405/FTSCY/WS95011 100000000.00 pelunasan BROILER MAKMUR TAN</t>
  </si>
  <si>
    <t>0405/FTSCY/WS95011 48363600.00 Sun May 03 2026 14:00:00 GMT+0700 (Western Indonesia Time) ANUGERAH KARTIKA A</t>
  </si>
  <si>
    <t>0405/FTSCY/WS95011 58132800.00 Sun May 03 2026 14:00:00 GMT+0700 (Western Indonesia Time) ANUGERAH KARTIKA A</t>
  </si>
  <si>
    <t>0405/FTSCY/WS95051 100056100.00 SIDO RAYA UTAMA CV</t>
  </si>
  <si>
    <t>TRSF E-BANKING DB TANGGAL :04/05</t>
  </si>
  <si>
    <t>0405/FTSCY/WS95031 MUJIANTO</t>
  </si>
  <si>
    <t>0505/FTSCY/WS95271 95700000.00 Fri Apr 03 2026 14:00:00 GMT+0700 (Western Indonesia Time) ANDALAN YASA MITRA</t>
  </si>
  <si>
    <t>0505/FTSCY/WS95031 4660550.00 lunas SUPRIYADI</t>
  </si>
  <si>
    <t>0505/FTSCY/WS95031 2963240.00 lunas HERMAWAN</t>
  </si>
  <si>
    <t>BIF TRANSFER KE 2 SULISTIAWATI, SPD M-BCA</t>
  </si>
  <si>
    <t>BIF BIAYA TXN KE 2 SULISTIAWATI, SPD M-BCA</t>
  </si>
  <si>
    <t>0505/FTSCY/WS95051 156179600.00 krmn 4/5 TERA MAKMURINDO CV</t>
  </si>
  <si>
    <t>0505/FTSCY/WS95051 314245750.00 krmn 4/5 TERA MULIA KORPORI</t>
  </si>
  <si>
    <t>0505/FTSCY/WS95271 183425600.00 Sun May 03 2026 14:00:00 GMT+0700 (Western Indonesia Time) BROILER MAKMUR TAN</t>
  </si>
  <si>
    <t>0505/FTSCY/WS95011 115257300.00 Sun May 03 2026 14:00:00 GMT+0700 (Western Indonesia Time) BINTANG TAMA SANTO</t>
  </si>
  <si>
    <t>0505/FTSCY/WS95011 148652740.00 Sun May 03 2026 14:00:00 GMT+0700 (Western Indonesia Time) SUPER UNGGAS JAYA</t>
  </si>
  <si>
    <t>0505/FTSCY/WS95031 911980.00 NURHAYATI</t>
  </si>
  <si>
    <t>0505/FTSCY/WS95271 20000000.00 titip UNGGAS MANDIRI BER</t>
  </si>
  <si>
    <t>0505/FTSCY/WS95051 51844520.00 ah 2848.6x18200 GEMILANG INTI SUKS</t>
  </si>
  <si>
    <t>0505/FTSCY/WS95031 29300000.00 2900kg magetan UNGGAS MANDIRI BER</t>
  </si>
  <si>
    <t>TRSF E-BANKING CR TANGGAL :05/05</t>
  </si>
  <si>
    <t>0505/FTSCY/WS95051 SIDO RAYA UTAMA CV</t>
  </si>
  <si>
    <t>0605/FTSCY/WS95031 1500000.00 SUPRIYADI</t>
  </si>
  <si>
    <t>0605/FTSCY/WS95031 2349830.00 MUJIANTO</t>
  </si>
  <si>
    <t>0605/FTSCY/WS95031 2898880.00 HERMAWAN</t>
  </si>
  <si>
    <t>0605/FTSCY/WS95031 64237800.00 kd sumadi blora TUMBUH OPTIMAL PRI</t>
  </si>
  <si>
    <t>0605/FTSCY/WS95031 24237800.00 krg 40 jt EKO SETIYAWAN</t>
  </si>
  <si>
    <t>0605/FTSCY/WS95271 5824900.00 krg 30 jt EKO SETIYAWAN</t>
  </si>
  <si>
    <t>0605/FTSCY/WS95031 300000.00 ANDE DOSO ANGGORO</t>
  </si>
  <si>
    <t>0605/FTSCY/WS95271 58880250.00 Mon May 04 2026 14:00:00 GMT+0700 (Western Indonesia Time) BINTANG TAMA SANTO</t>
  </si>
  <si>
    <t>0605/FTSCY/WS95031 200000.00 LIA SETIA NINGSIH</t>
  </si>
  <si>
    <t>0605/FTSCY/WS95031 100000000.00 SEFI HANA KRISNAWA</t>
  </si>
  <si>
    <t>0605/FTSCY/WS95031 6275000.00 lunas GATUT SETYO WIBOWO</t>
  </si>
  <si>
    <t>0605/FTSCY/WS95051 452264426.00 krmn 5/5 - cn lmbr 1481174 TERA MULIA KORPORI</t>
  </si>
  <si>
    <t>0605/FTSCY/WS95051 55202420.00 ah hairul tg 14/4 PHALOSARI UNGGUL J</t>
  </si>
  <si>
    <t>0605/FTSCY/WS95271 630700.00 pelunasan UNGGAS MANDIRI BER</t>
  </si>
  <si>
    <t>0605/FTSCY/WS95271 97193250.00 Mon May 04 2026 14:00:00 GMT+0700 (Western Indonesia Time) BINTANG TAMA SANTO</t>
  </si>
  <si>
    <t>0605/FTSCY/WS95271 49554450.00 Mon May 04 2026 14:00:00 GMT+0700 (Western Indonesia Time) ANUGERAH KARTIKA A</t>
  </si>
  <si>
    <t>0605/FTSCY/WS95271 46431100.00 Mon May 04 2026 14:00:00 GMT+0700 (Western Indonesia Time) ANDALAN YASA MITRA</t>
  </si>
  <si>
    <t>0605/FTSCY/WS95011 54720000.00 WAHYU MEGA ARSITA</t>
  </si>
  <si>
    <t>0605/FTSCY/WS95011 332426330.00 Mon May 04 2026 14:00:00 GMT+0700 (Western Indonesia Time) BROILER MAKMUR TAN</t>
  </si>
  <si>
    <t>0605/FTSCY/WS95051 98310950.00 SIDO RAYA UTAMA CV</t>
  </si>
  <si>
    <t>BIF TRANSFER KE 8 MISWATI M-BCA</t>
  </si>
  <si>
    <t>BIF BIAYA TXN KE 8 MISWATI M-BCA</t>
  </si>
  <si>
    <t>0705/FTSCY/WS95031 1592260.00 magetan lidia HERMAWAN</t>
  </si>
  <si>
    <t>0705/FTSCY/WS95031 1918620.00 blitar MUJIANTO</t>
  </si>
  <si>
    <t>0705/FTSCY/WS95051 59237100.00 EDDY PURWANTO</t>
  </si>
  <si>
    <t>BI-FAST CR</t>
  </si>
  <si>
    <t>BIF TRANSFER DR 8 ABDURRAHMAN</t>
  </si>
  <si>
    <t>MIXUE 6019009510239343</t>
  </si>
  <si>
    <t>0705/FTFVA/WS95031 55569/PT PRIMA FAJ pasuruan 9.6 ton - 40190</t>
  </si>
  <si>
    <t>TRSF E-BANKING DB TANGGAL :07/05</t>
  </si>
  <si>
    <t>0705/FTSCY/WS95031 SUPRIYADI</t>
  </si>
  <si>
    <t>0705/FTSCY/WS95271 Wed May 06 2026 14:00:00 GMT+0700 (Western Indonesia Time) RUKUN MITRA BERSAM</t>
  </si>
  <si>
    <t>0705/FTSCY/WS95271 Wed May 06 2026 14:00:00 GMT+0700 (Western Indonesia Time) BINTANG TAMA SANTO</t>
  </si>
  <si>
    <t>0805/FTSCY/WS95051 236074070.00 krmn 6/5 TERA MULIA KORPORI</t>
  </si>
  <si>
    <t>TARIKAN ATM 08/05</t>
  </si>
  <si>
    <t>ARDJUNA TOKO MAS-H 6019009510239343</t>
  </si>
  <si>
    <t>0805/FTSCY/WS95271 101388000.00 Tue May 05 2026 14:00:00 GMT+0700 (Western Indonesia Time) ANDALAN YASA MITRA</t>
  </si>
  <si>
    <t>0805/FTSCY/WS95271 100803200.00 Tue May 05 2026 14:00:00 GMT+0700 (Western Indonesia Time) BROILER MAKMUR TAN</t>
  </si>
  <si>
    <t>0805/FTSCY/WS95051 63700000.00 Fri May 08 2026 14:00:00 GMT+0700 (Western Indonesia Time) 3500/Clossing SUGENG MARIONO</t>
  </si>
  <si>
    <t>0805/FTSCY/WS95031 100000.00 byr wifi O 21 SAIFUL BAHRI</t>
  </si>
  <si>
    <t>0805/FTSCY/WS95051 100000000.00 krmn 8/5 TERA MULIA KORPORI</t>
  </si>
  <si>
    <t>0805/FTSCY/WS95031 54600000.00 Tue May 05 2026 14:00:00 GMT+0700 (Western Indonesia Time) SUPER UNGGAS JAYA</t>
  </si>
  <si>
    <t>0805/FTSCY/WS95031 3060240.00 NURHAYATI</t>
  </si>
  <si>
    <t>0805/FTSCY/WS95031 1213400.00 SUPRIYADI</t>
  </si>
  <si>
    <t>0805/FTSCY/WS95031 1000000.00 tot. 2.5 jt SUNARTO</t>
  </si>
  <si>
    <t>0805/FTFVA/WS95031 55569/PT PRIMA FAJ 7 ton pasuruan - 40190</t>
  </si>
  <si>
    <t>0805/FTSCY/WS95051 104198500.00 SIDO RAYA UTAMA CV</t>
  </si>
  <si>
    <t>0805/FTSCY/WS95271 65000000.00 titip SUGENG RIADI</t>
  </si>
  <si>
    <t>TRSF E-BANKING CR TANGGAL :08/05</t>
  </si>
  <si>
    <t>0805/FTSCY/WS95271 SANDI FAJAR PRASET</t>
  </si>
  <si>
    <t>TRSF E-BANKING DB TANGGAL :08/05</t>
  </si>
  <si>
    <t>0805/FTSCY/WS95011 Thu May 07 2026 14:00:00 GMT+0700 (Western Indonesia Time) TUMBUH OPTIMAL PRI</t>
  </si>
  <si>
    <t>0905/FTSCY/WS95271 550000.00 MUHAMMAD HAIRUL MA</t>
  </si>
  <si>
    <t>0905/FTSCY/WS95051 78055400.00 krmn 8/5 TERA MULIA KORPORI</t>
  </si>
  <si>
    <t>BIF TRANSFER KE 2 PT BPR LESTARI NUS M-BCA</t>
  </si>
  <si>
    <t>BIF BIAYA TXN KE 2 PT BPR LESTARI NUS M-BCA</t>
  </si>
  <si>
    <t>0905/FTSCY/WS95051 74997760.00 Pembelian ayam TRIJAYA LESTARI FO</t>
  </si>
  <si>
    <t>0905/FTSCY/WS95051 103010800.00 ah fm hairul 2/5 PHALOSARI UNGGUL J</t>
  </si>
  <si>
    <t>0905/FTSCY/WS95031 48588100.00 lunas SUGENG RIADI</t>
  </si>
  <si>
    <t>0905/FTSCY/WS95271 56100000.00 ponorogo 3 ton UNGGAS MANDIRI BER</t>
  </si>
  <si>
    <t>0905/FTSCY/WS95051 100000000.00 krmn 9/5 TERA MULIA KORPORI</t>
  </si>
  <si>
    <t>0905/FTSCY/WS95031 1048300.00 SUNARTO</t>
  </si>
  <si>
    <t>0905/FTFVA/WS95031 55569/PT PRIMA FAJ 9.2 ton pasuruan - 40190</t>
  </si>
  <si>
    <t>0905/FTSCY/WS95051 267365210.00 SIDO RAYA UTAMA CV</t>
  </si>
  <si>
    <t>0905/FTSCY/WS95031 2000000.00 SANDI FAJAR PRASET</t>
  </si>
  <si>
    <t>TRSF E-BANKING DB TANGGAL :09/05</t>
  </si>
  <si>
    <t>0905/FTSCY/WS95271 Thu May 07 2026 14:00:00 GMT+0700 (Western Indonesia Time) SUPER UNGGAS JAYA</t>
  </si>
  <si>
    <t>0905/FTSCY/WS95271 Thu May 07 2026 14:00:00 GMT+0700 (Western Indonesia Time) BROILER MAKMUR TAN</t>
  </si>
  <si>
    <t>TARIKAN ATM 10/05</t>
  </si>
  <si>
    <t>1005/FTSCY/WS95271 63000000.00 Fri May 08 2026 14:00:00 GMT+0700 (Western Indonesia Time) TUMBUH OPTIMAL PRI</t>
  </si>
  <si>
    <t>1005/FTSCY/WS95271 350000.00 ANDE DOSO ANGGORO</t>
  </si>
  <si>
    <t>1005/FTSCY/WS95031 1000000.00 NURUL AINI</t>
  </si>
  <si>
    <t>1005/FTSCY/WS95031 53474650.00 krg 255 jt GANESHA SATRIA NUS</t>
  </si>
  <si>
    <t>1005/FTSCY/WS95031 1200000.00 SUPRIYADI</t>
  </si>
  <si>
    <t>1005/FTSCY/WS95051 276205670.00 krmn 9/5 TERA MULIA KORPORI</t>
  </si>
  <si>
    <t>1005/FTSCY/WS95011 255000000.00 pelunasan GANESHA SATRIA NUS</t>
  </si>
  <si>
    <t>1005/FTSCY/WS95031 5435700.00 MUJIANTO</t>
  </si>
  <si>
    <t>1005/FTSCY/WS95031 2052650.00 HERMAWAN</t>
  </si>
  <si>
    <t>1005/FTSCY/WS95051 55248400.00 ah 3079.4x18500 dipot 1720500 GEMILANG INTI SUKS</t>
  </si>
  <si>
    <t>1005/FTSCY/WS95051 59224920.00 SIDO RAYA UTAMA CV</t>
  </si>
  <si>
    <t>1005/FTSCY/WS95031 3000000.00 NURUL AINI</t>
  </si>
  <si>
    <t>1005/FTFVA/WS95031 55569/PT PRIMA FAJ pasuruan 6.4 ton - 40190</t>
  </si>
  <si>
    <t>1105/FTSCY/WS95031 100000.00 byr kaos ANTON IMRONI</t>
  </si>
  <si>
    <t>1105/FTSCY/WS95051 423679170.00 krmn 10/5 TERA MULIA KORPORI</t>
  </si>
  <si>
    <t>TARIKAN ATM 11/05</t>
  </si>
  <si>
    <t>1105/FTSCY/WS95271 237959370.00 Sat May 09 2026 14:00:00 GMT+0700 (Western Indonesia Time) GANESHA SATRIA NUS</t>
  </si>
  <si>
    <t>1105/FTSCY/WS95271 55966200.00 Fri May 08 2026 14:00:00 GMT+0700 (Western Indonesia Time) BINTANG TAMA SANTO</t>
  </si>
  <si>
    <t>1105/FTSCY/WS95031 70586750.00 Fri May 08 2026 14:00:00 GMT+0700 (Western Indonesia Time) BROILER MAKMUR TAN</t>
  </si>
  <si>
    <t>1105/FTSCY/WS95051 139318000.00 SIDO RAYA UTAMA CV</t>
  </si>
  <si>
    <t>1105/FTFVA/WS95031 55569/PT PRIMA FAJ pasuruan 2.7 ton - 40190</t>
  </si>
  <si>
    <t>1105/FTSCY/WS95051 100455510.00 ah fm hairul 3/5 PHALOSARI UNGGUL J</t>
  </si>
  <si>
    <t>TRSF E-BANKING DB TANGGAL :11/05</t>
  </si>
  <si>
    <t>1105/FTSCY/WS95011 Sat May 09 2026 14:00:00 GMT+0700 (Western Indonesia Time) ANDALAN YASA MITRA</t>
  </si>
  <si>
    <t>1105/FTSCY/WS95011 Sun May 10 2026 14:00:00 GMT+0700 (Western Indonesia Time) SUPER UNGGAS JAYA</t>
  </si>
  <si>
    <t>1105/FTSCY/WS95031 NURHAYATI</t>
  </si>
  <si>
    <t>1205/FTSCY/WS95031 64315800.00 Sun May 10 2026 14:00:00 GMT+0700 (Western Indonesia Time) SURYA INTI TERNAK</t>
  </si>
  <si>
    <t>1205/FTFVA/WS95031 55569/PT PRIMA FAJ pasuruan lunas - 40190</t>
  </si>
  <si>
    <t>1205/FTSCY/WS95031 2408200.00 HERMAWAN</t>
  </si>
  <si>
    <t>1205/FTSCY/WS95031 1863120.00 MUJIANTO</t>
  </si>
  <si>
    <t>BIF TRANSFER KE 11 ADIRA MUHAMMAD HAI M-BCA</t>
  </si>
  <si>
    <t>BIF BIAYA TXN KE 11 ADIRA MUHAMMAD HAI M-BCA</t>
  </si>
  <si>
    <t>1205/FTSCY/WS95031 50000000.00 pak gatut SEFI HANA KRISNAWA</t>
  </si>
  <si>
    <t>1205/FTSCY/WS95031 5240770.00 lunas GATUT SETYO WIBOWO</t>
  </si>
  <si>
    <t>TARIKAN ATM 12/05</t>
  </si>
  <si>
    <t>1205/FTSCY/WS95051 103200000.00 ah fm hairul 4/5 PHALOSARI UNGGUL J</t>
  </si>
  <si>
    <t>1205/FTSCY/WS95051 270698600.00 SIDO RAYA UTAMA CV</t>
  </si>
  <si>
    <t>1205/FTSCY/WS95271 40604450.00 Mon May 11 2026 14:00:00 GMT+0700 (Western Indonesia Time) GANESHA SATRIA NUS</t>
  </si>
  <si>
    <t>1205/FTSCY/WS95271 110589000.00 Mon May 11 2026 14:00:00 GMT+0700 (Western Indonesia Time) ANDALAN YASA MITRA</t>
  </si>
  <si>
    <t>TRSF E-BANKING DB TANGGAL :12/05</t>
  </si>
  <si>
    <t>1205/FTSCY/WS95011 Mon May 11 2026 14:00:00 GMT+0700 (Western Indonesia Time) SUPER UNGGAS JAYA</t>
  </si>
  <si>
    <t>1205/FTSCY/WS95031 NURHAYATI</t>
  </si>
  <si>
    <t>BI-FAST DB TANGGAL :12/05</t>
  </si>
  <si>
    <t>BIF TRANSFER KE ZAINUDIN M-BCA</t>
  </si>
  <si>
    <t>BIF BIAYA TXN KE ZAINUDIN M-BCA</t>
  </si>
  <si>
    <t>1305/FTSCY/WS95031 1136240.00 HERMAWAN</t>
  </si>
  <si>
    <t>1305/FTSCY/WS95031 1000000.00 MUJIANTO</t>
  </si>
  <si>
    <t>1305/FTSCY/WS95031 20252450.00 krg 50 jt EKO SETIYAWAN</t>
  </si>
  <si>
    <t>1305/FTSCY/WS95271 200000.00 MUHAMMAD HAIRUL MA</t>
  </si>
  <si>
    <t>1305/FTSCY/WS95051 116052500.00 Pembelian ayam TRIJAYA LESTARI FO</t>
  </si>
  <si>
    <t>1305/FTSCY/WS95051 353114200.00 SIDO RAYA UTAMA CV</t>
  </si>
  <si>
    <t>1305/FTSCY/WS95051 73340000.00 ah 3800x19300 GEMILANG INTI SUKS</t>
  </si>
  <si>
    <t>1305/FTSCY/WS95031 29860350.00 Zainal ZAINAL ARIFIN</t>
  </si>
  <si>
    <t>1305/FTSCY/WS95271 184010950.00 Tue May 12 2026 14:00:00 GMT+0700 (Western Indonesia Time) RUKUN MITRA BERSAM</t>
  </si>
  <si>
    <t>1305/FTSCY/WS95271 63565440.00 Tue May 12 2026 14:00:00 GMT+0700 (Western Indonesia Time) BINTANG TAMA SANTO</t>
  </si>
  <si>
    <t>1305/FTSCY/WS95031 57600000.00 Tue May 12 2026 14:00:00 GMT+0700 (Western Indonesia Time) BINTANG TAMA SANTO</t>
  </si>
  <si>
    <t>1405/FTSCY/WS95271 58911450.00 Tue May 12 2026 14:00:00 GMT+0700 (Western Indonesia Time) ANDALAN YASA MITRA</t>
  </si>
  <si>
    <t>1405/FTSCY/WS95271 29707220.00 Tue May 12 2026 14:00:00 GMT+0700 (Western Indonesia Time) ANDALAN YASA MITRA</t>
  </si>
  <si>
    <t>1405/FTSCY/WS95271 2191620.00 magetan MUJIANTO</t>
  </si>
  <si>
    <t>1405/FTSCY/WS95271 105730720.00 Tue May 12 2026 14:00:00 GMT+0700 (Western Indonesia Time) BROILER MAKMUR TAN</t>
  </si>
  <si>
    <t>1405/FTSCY/WS95271 60861020.00 Tue May 12 2026 14:00:00 GMT+0700 (Western Indonesia Time) SURYA INTI TERNAK</t>
  </si>
  <si>
    <t>BIF TRANSFER KE 2 RINDA MIA JAYANTI M-BCA</t>
  </si>
  <si>
    <t>BIF BIAYA TXN KE 2 RINDA MIA JAYANTI M-BCA</t>
  </si>
  <si>
    <t>TRSF E-BANKING CR TANGGAL :14/05</t>
  </si>
  <si>
    <t>1405/FTSCY/WS95031 Zainal ZAINAL ARIFIN</t>
  </si>
  <si>
    <t>1505/FTSCY/WS95031 15160750.00 Wed May 13 2026 14:00:00 GMT+0700 (Western Indonesia Time) ANUGERAH KARTIKA A</t>
  </si>
  <si>
    <t>1505/FTSCY/WS95031 100000000.00 pak gatut SEFI HANA KRISNAWA</t>
  </si>
  <si>
    <t>1505/FTSCY/WS95051 227510920.00 AH 11607,7 19600 GEMILANG INTI SUKS</t>
  </si>
  <si>
    <t>1505/FTSCY/WS95031 58500000.00 t.agung 3 ton GUNA MITRA SEHAT P</t>
  </si>
  <si>
    <t>1505/FTSCY/WS95051 101354440.00 AH P. Hairul 2 rit Fri May 05 2023 14:00:00 GMT+0700 (Western Indonesia Time) PHALOSARI UNGGUL J</t>
  </si>
  <si>
    <t>1505/FTFVA/WS95031 55569/PT PRIMA FAJ 12.1 ton - 40190</t>
  </si>
  <si>
    <t>1505/FTSCY/WS95051 187518000.00 SIDO RAYA UTAMA CV</t>
  </si>
  <si>
    <t>1505/FTSCY/WS95011 436712800.00 WAHYU MEGA ARSITA</t>
  </si>
  <si>
    <t>TRSF E-BANKING DB TANGGAL :15/05</t>
  </si>
  <si>
    <t>1505/FTSCY/WS95271 Thu May 14 2026 14:00:00 GMT+0700 (Western Indonesia Time) TUMBUH OPTIMAL PRI</t>
  </si>
  <si>
    <t>1505/FTSCY/WS95271 Thu May 14 2026 14:00:00 GMT+0700 (Western Indonesia Time) LAJU SATWA WISESA</t>
  </si>
  <si>
    <t>1505/FTSCY/WS95271 pelunasan ANDALAN YASA MITRA</t>
  </si>
  <si>
    <t>1505/FTSCY/WS95011 Thu May 14 2026 14:00:00 GMT+0700 (Western Indonesia Time) SUPER UNGGAS JAYA</t>
  </si>
  <si>
    <t>1505/FTSCY/WS95011 krg 350 jt 14/05 SUPER UNGGAS JAYA</t>
  </si>
  <si>
    <t>1605/FTSCY/WS95031 50000000.00 PRASTYO HADI WIBOW</t>
  </si>
  <si>
    <t>1605/FTSCY/WS95031 10159650.00 NURHAYATI</t>
  </si>
  <si>
    <t>1605/FTSCY/WS95031 1800000.00 blora HERMAWAN</t>
  </si>
  <si>
    <t>1605/FTSCY/WS95031 13553600.00 krg 50 jt EKO SETIYAWAN</t>
  </si>
  <si>
    <t>1605/FTSCY/WS95031 4275000.00 pembayaran sepeda HERMAN HARJANTO</t>
  </si>
  <si>
    <t>1605/FTSCY/WS95051 109665920.00 byr ah 2 rit 8 mei P. Hairul PHALOSARI UNGGUL J</t>
  </si>
  <si>
    <t>TARIKAN ATM 16/05</t>
  </si>
  <si>
    <t>1605/FTSCY/WS95051 149058000.00 ah 7605x19600 GEMILANG INTI SUKS</t>
  </si>
  <si>
    <t>1605/FTSCY/WS95011 180331760.00 WAHYU MEGA ARSITA</t>
  </si>
  <si>
    <t>1605/FTSCY/WS95051 353134900.00 SIDO RAYA UTAMA CV</t>
  </si>
  <si>
    <t>1605/FTSCY/WS95271 116475450.00 Fri May 15 2026 14:00:00 GMT+0700 (Western Indonesia Time) GANESHA SATRIA NUS</t>
  </si>
  <si>
    <t>1605/FTSCY/WS95011 350000000.00 pelunasan 14/05 SUPER UNGGAS JAYA</t>
  </si>
  <si>
    <t>1605/FTSCY/WS95031 54600000.00 Fri May 15 2026 14:00:00 GMT+0700 (Western Indonesia Time) RUKUN MITRA BERSAM</t>
  </si>
  <si>
    <t>GOLDEN MARKET-HO 6019009510239343</t>
  </si>
  <si>
    <t>CFC GOLDEN JEMBER 6019009510239343</t>
  </si>
  <si>
    <t>TRSF E-BANKING DB TANGGAL :16/05</t>
  </si>
  <si>
    <t>1605/FTSCY/WS95271 Fri May 15 2026 14:00:00 GMT+0700 (Western Indonesia Time) BINTANG TAMA SANTO</t>
  </si>
  <si>
    <t>1605/FTSCY/WS95011 Fri May 15 2026 14:00:00 GMT+0700 (Western Indonesia Time) SUPER UNGGAS JAYA</t>
  </si>
  <si>
    <t>1605/FTSCY/WS95031 NURHAYATI</t>
  </si>
  <si>
    <t>BIF TRANSFER KE 2 TURYADI M-BCA</t>
  </si>
  <si>
    <t>BIF BIAYA TXN KE 2 TURYADI M-BCA</t>
  </si>
  <si>
    <t>17/05  WSID9503101 0507 FIF 803001249921 MUHAMMAD HAIRUL MA</t>
  </si>
  <si>
    <t>1705/FTSCY/WS95031 1015600.00 HERMAWAN</t>
  </si>
  <si>
    <t>1705/FTSCY/WS95031 1379100.00 MUJIANTO</t>
  </si>
  <si>
    <t>1705/FTSCY/WS95031 4727900.00 krg 50 jt EKO SETIYAWAN</t>
  </si>
  <si>
    <t>MPM JEMBER 6019009510239343</t>
  </si>
  <si>
    <t>TARIKAN ATM 17/05</t>
  </si>
  <si>
    <t>1705/FTSCY/WS95031 53605500.00 Fri May 15 2026 14:00:00 GMT+0700 (Western Indonesia Time) ANUGERAH KARTIKA A</t>
  </si>
  <si>
    <t>1705/FTSCY/WS95051 152880000.00 ah 7800x19600 GEMILANG INTI SUKS</t>
  </si>
  <si>
    <t>1705/FTSCY/WS95051 185638860.00 SIDO RAYA UTAMA CV</t>
  </si>
  <si>
    <t>1705/FTSCY/WS95031 75000000.00 pak gatut SEFI HANA KRISNAWA</t>
  </si>
  <si>
    <t>1705/FTSCY/WS95031 1075200.00 jombang HERMAWAN</t>
  </si>
  <si>
    <t>1705/FTSCY/WS95031 1047400.00 jombang MUJIANTO</t>
  </si>
  <si>
    <t>1705/FTSCY/WS95271 63804360.00 Sat May 16 2026 14:00:00 GMT+0700 (Western Indonesia Time) GANESHA SATRIA NUS</t>
  </si>
  <si>
    <t>1705/FTSCY/WS95271 135744840.00 Sat May 16 2026 14:00:00 GMT+0700 (Western Indonesia Time) BROILER MAKMUR TAN</t>
  </si>
  <si>
    <t>1705/FTSCY/WS95271 3373640.00 NURHAYATI</t>
  </si>
  <si>
    <t>1705/FTSCY/WS95271 75556260.00 16/05 krg 250 jt SUPER UNGGAS JAYA</t>
  </si>
  <si>
    <t>TRSF E-BANKING DB TANGGAL :17/05</t>
  </si>
  <si>
    <t>1705/FTSCY/WS95031 inova 2 hr MARDIYANTO</t>
  </si>
  <si>
    <t>KARTU DEBIT TANGGAL :17/05</t>
  </si>
  <si>
    <t>ALFAMRT Y018 DR.SO</t>
  </si>
  <si>
    <t>1705/FTSCY/WS95031 byr oleh2 SAMSUL ARIFIN</t>
  </si>
  <si>
    <t>1805/FTFVA/WS95031 73003/MAXSTREAM 20 - - 81326518324</t>
  </si>
  <si>
    <t>1805/FTSCY/WS95271 146000000.00 7.3 ton UNGGAS MANDIRI BER</t>
  </si>
  <si>
    <t>MUTIARA INDAH SEJA 6019009510239343</t>
  </si>
  <si>
    <t>IDM TH2N-NGAGLIK B 6019009510239343</t>
  </si>
  <si>
    <t>1805/FTFVA/WS95031 39010/DANA - - 82318368518</t>
  </si>
  <si>
    <t>BIF TRANSFER KE 9 AHMAD LUTHFI FADHI M-BCA</t>
  </si>
  <si>
    <t>BIF BIAYA TXN KE 9 AHMAD LUTHFI FADHI M-BCA</t>
  </si>
  <si>
    <t>1905/FTSCY/WS95051 175688540.00 AH FM HAIRUL Thu May 11 2023 14:00:00 GMT+0700 (Western Indonesia Time) PHALOSARI UNGGUL J</t>
  </si>
  <si>
    <t>ALFAMRT M230 DSKA 6019009510239343</t>
  </si>
  <si>
    <t>JATIM PARK 2 6019009510239343</t>
  </si>
  <si>
    <t>1905/FTSCY/WS95051 63542600.00 Pembelian ayam TRIJAYA LESTARI FO</t>
  </si>
  <si>
    <t>1905/FTSCY/WS95051 77356860.00 ah 3848.6x20100 GEMILANG INTI SUKS</t>
  </si>
  <si>
    <t>1905/FTSCY/WS95271 250000000.00 pelunasan SUPER UNGGAS JAYA</t>
  </si>
  <si>
    <t>1905/FTSCY/WS95051 76380000.00 ah 3800x20100 GEMILANG INTI SUKS</t>
  </si>
  <si>
    <t>1905/FTSCY/WS95031 100000000.00 ANDALAN YASA MITRA</t>
  </si>
  <si>
    <t>1905/FTSCY/WS95271 18540810.00 pelunasan ANDALAN YASA MITRA</t>
  </si>
  <si>
    <t>1905/FTSCY/WS95051 335324400.00 SIDO RAYA UTAMA CV</t>
  </si>
  <si>
    <t>BIAYA ADM</t>
  </si>
  <si>
    <t>2005/FTSCY/WS95271 62000000.00 Sun May 17 2026 14:00:00 GMT+0700 (Western Indonesia Time) BINTANG TAMA SANTO</t>
  </si>
  <si>
    <t>2005/FTSCY/WS95271 61498900.00 Mon May 18 2026 14:00:00 GMT+0700 (Western Indonesia Time) LAJU SATWA WISESA</t>
  </si>
  <si>
    <t>2005/FTSCY/WS95271 57890000.00 Mon May 18 2026 14:00:00 GMT+0700 (Western Indonesia Time) ANUGERAH KARTIKA A</t>
  </si>
  <si>
    <t>2005/FTSCY/WS95271 109010000.00 Mon May 18 2026 14:00:00 GMT+0700 (Western Indonesia Time) BINTANG TAMA SANTO</t>
  </si>
  <si>
    <t>2005/FTSCY/WS95031 10000000.00 pelunasan BINTANG TAMA SANTO</t>
  </si>
  <si>
    <t>2005/FTSCY/WS95031 48656000.00 Mon May 18 2026 14:00:00 GMT+0700 (Western Indonesia Time) ANDALAN YASA MITRA</t>
  </si>
  <si>
    <t>2005/FTSCY/WS95031 750000.00 HERMAWAN</t>
  </si>
  <si>
    <t>2005/FTSCY/WS95031 2077210.00 NURHAYATI</t>
  </si>
  <si>
    <t>2005/FTSCY/WS95031 9281300.00 EKO SETIYAWAN</t>
  </si>
  <si>
    <t>20/05  WSID9503102 1220 TELKOMSEL 82318368518 MUHAMMAD HAIRUL MA</t>
  </si>
  <si>
    <t>2005/FTSCY/WS95051 201529040.00 Pembelian ayam TRIJAYA LESTARI FO</t>
  </si>
  <si>
    <t>2005/FTSCY/WS95051 429961920.00 SIDO RAYA UTAMA CV</t>
  </si>
  <si>
    <t>2005/FTSCY/WS95031 15000000.00 pak gatut SEFI HANA KRISNAWA</t>
  </si>
  <si>
    <t>2005/FTSCY/WS95011 413364790.00 Mon May 18 2026 14:00:00 GMT+0700 (Western Indonesia Time) SUPER UNGGAS JAYA</t>
  </si>
  <si>
    <t>2005/FTSCY/WS95011 71050000.00 Tue May 19 2026 14:00:00 GMT+0700 (Western Indonesia Time) ANDALAN YASA MITRA</t>
  </si>
  <si>
    <t>2005/FTSCY/WS95031 16502500.00 Zainal ZAINAL ARIFIN</t>
  </si>
  <si>
    <t>2105/FTSCY/WS95031 53013000.00 Tue May 19 2026 14:00:00 GMT+0700 (Western Indonesia Time) BINTANG TAMA SANTO</t>
  </si>
  <si>
    <t>2105/FTSCY/WS95271 120421530.00 19/05 krg 20 jt BROILER MAKMUR TAN</t>
  </si>
  <si>
    <t>2105/FTSCY/WS95031 2338980.00 MUJIANTO</t>
  </si>
  <si>
    <t>2105/FTSCY/WS95031 1978300.00 HERMAWAN</t>
  </si>
  <si>
    <t>2105/FTSCY/WS95031 2874500.00 NURHAYATI</t>
  </si>
  <si>
    <t>BIF TRANSFER KE 2 FAJAR ANDREANZAH M-BCA</t>
  </si>
  <si>
    <t>BIF BIAYA TXN KE 2 FAJAR ANDREANZAH M-BCA</t>
  </si>
  <si>
    <t>2205/FTSCY/WS95031 200000.00 NURUL AINI</t>
  </si>
  <si>
    <t>NURUL_AINI</t>
  </si>
  <si>
    <t>2205/FTSCY/WS95051 281412490.00 krmn 20/5 TERA MULIA KORPORI</t>
  </si>
  <si>
    <t>2205/FTSCY/WS95051 57600000.00 AH FM P. HAIRUL Wed May 10 2023 14:00:00 GMT+0700 (Western Indonesia Time) PHALOSARI UNGGUL J</t>
  </si>
  <si>
    <t>2205/FTSCY/WS95031 16341500.00 Tue May 19 2026 14:00:00 GMT+0700 (Western Indonesia Time) ANDALAN YASA MITRA</t>
  </si>
  <si>
    <t>2205/FTSCY/WS95031 72148950.00 magetan SUPER UNGGAS JAYA</t>
  </si>
  <si>
    <t>2205/FTSCY/WS95031 37000.00 DESI NOURMA EKA WU</t>
  </si>
  <si>
    <t>2205/FTSCY/WS95271 20000000.00 EKO SETIYAWAN</t>
  </si>
  <si>
    <t>2205/FTFVA/WS95031 55569/PT PRIMA FAJ lmjg 3.5 ton - 40190</t>
  </si>
  <si>
    <t>2205/FTSCY/WS95031 500000.00 MUJIANTO</t>
  </si>
  <si>
    <t>2205/FTSCY/WS95051 358622210.00 SIDO RAYA UTAMA CV</t>
  </si>
  <si>
    <t>2205/FTSCY/WS95011 350632440.00 Tue May 19 2026 14:00:00 GMT+0700 (Western Indonesia Time) SUPER UNGGAS JAYA</t>
  </si>
  <si>
    <t>2205/FTSCY/WS95271 20000000.00 pelunasan BROILER MAKMUR TAN</t>
  </si>
  <si>
    <t>TRSF E-BANKING DB TANGGAL :22/05</t>
  </si>
  <si>
    <t>2205/FTSCY/WS95271 jombang HERMAWAN</t>
  </si>
  <si>
    <t>2205/FTSCY/WS95271 krg 60 jt EKO SETIYAWAN</t>
  </si>
  <si>
    <t>TRSF E-BANKING CR TANGGAL :22/05</t>
  </si>
  <si>
    <t>2205/FTSCY/WS95031 krg 4 jt RODHIATUS SOLEHA</t>
  </si>
  <si>
    <t>2205/FTSCY/WS95271 NURHAYATI</t>
  </si>
  <si>
    <t>2205/FTSCY/WS95031 Bon SUPRIYADI</t>
  </si>
  <si>
    <t>2205/FTSCY/WS95271 21/05 krg 26 jt BROILER MAKMUR TAN</t>
  </si>
  <si>
    <t>TARIKAN ATM 23/05</t>
  </si>
  <si>
    <t>2305/FTSCY/WS95051 473615900.00 krmn 22/5 TERA MULIA KORPORI</t>
  </si>
  <si>
    <t>2305/FTSCY/WS95051 313337560.00 AH FM P. HAIRUL Tue May 02 2023 14:00:00 GMT+0700 (Western Indonesia Time) PHALOSARI UNGGUL J</t>
  </si>
  <si>
    <t>2305/FTSCY/WS95031 2075000.00 RIKUT NURSITA</t>
  </si>
  <si>
    <t>2305/FTSCY/WS95271 98666500.00 Fri May 22 2026 14:00:00 GMT+0700 (Western Indonesia Time) BERLIAN UNGGUL JAY</t>
  </si>
  <si>
    <t>2305/FTFVA/WS95031 55569/PT PRIMA FAJ pelunasan lmjg - 40190</t>
  </si>
  <si>
    <t>2305/FTSCY/WS95051 77700000.00 EDDY PURWANTO</t>
  </si>
  <si>
    <t>2305/FTSCY/WS95031 4000000.00 RODHIATUS SOLEHA</t>
  </si>
  <si>
    <t>2305/FTSCY/WS95031 26000000.00 pelunasan BROILER MAKMUR TAN</t>
  </si>
  <si>
    <t>2305/FTSCY/WS95271 77000000.00 Sat May 23 2026 14:00:00 GMT+0700 (Western Indonesia Time) ANUGERAH KARTIKA A</t>
  </si>
  <si>
    <t>2305/FTSCY/WS95011 500000000.00 Thu May 21 2026 14:00:00 GMT+0700 (Western Indonesia Time) SUPER UNGGAS JAYA</t>
  </si>
  <si>
    <t>2305/FTFVA/WS95031 55569/PT PRIMA FAJ mlg 3 ton - 40190</t>
  </si>
  <si>
    <t>2305/FTSCY/WS95031 68800000.00 Fri May 22 2026 14:00:00 GMT+0700 (Western Indonesia Time) ANUGERAH KARTIKA A</t>
  </si>
  <si>
    <t>2305/FTSCY/WS95031 1744100.00 lmjg MUJIANTO</t>
  </si>
  <si>
    <t>2305/FTFVA/WS95031 55569/PT PRIMA FAJ mlg 3500 kg - 40190</t>
  </si>
  <si>
    <t>2305/FTSCY/WS95031 400000.00 SUPRIYADI</t>
  </si>
  <si>
    <t>2305/FTSCY/WS95031 775140.00 NURHAYATI</t>
  </si>
  <si>
    <t>2305/FTSCY/WS95271 9118000.00 krg 55.4 jt EKO SETIYAWAN</t>
  </si>
  <si>
    <t>TRSF E-BANKING CR TANGGAL :23/05</t>
  </si>
  <si>
    <t>2305/FTSCY/WS95051 SIDO RAYA UTAMA CV</t>
  </si>
  <si>
    <t>2405/FTSCY/WS95031 75250000.00 Fri May 22 2026 14:00:00 GMT+0700 (Western Indonesia Time) RUKUN MITRA BERSAM</t>
  </si>
  <si>
    <t>2405/FTSCY/WS95031 1000000.00 NURUL AINI</t>
  </si>
  <si>
    <t>2405/FTSCY/WS95051 59653570.00 AH FM P. HAIRUL Sat May 13 2023 14:00:00 GMT+0700 (Western Indonesia Time) PHALOSARI UNGGUL J</t>
  </si>
  <si>
    <t>2405/FTSCY/WS95051 283898250.00 krmn 23/5 TERA MULIA KORPORI</t>
  </si>
  <si>
    <t>2405/FTSCY/WS95271 183136250.00 pelunasan SUPER UNGGAS JAYA</t>
  </si>
  <si>
    <t>2405/FTSCY/WS95271 75250000.00 rembang 3500kg GUNA MITRA SEHAT P</t>
  </si>
  <si>
    <t>2405/FTSCY/WS95011 62708800.00 Sat May 23 2026 14:00:00 GMT+0700 (Western Indonesia Time) BINTANG TAMA SANTO</t>
  </si>
  <si>
    <t>2405/FTSCY/WS95031 1000000.00 SUPRIYADI</t>
  </si>
  <si>
    <t>2505/FTSCY/WS95031 1438000.00 HERMAWAN</t>
  </si>
  <si>
    <t>2505/FTSCY/WS95051 359636400.00 krmn 24/5 TERA MULIA KORPORI</t>
  </si>
  <si>
    <t>2505/FTSCY/WS95031 2000000.00 titip WARDHY SHOMA</t>
  </si>
  <si>
    <t>2505/FTSCY/WS95051 114693400.00 AH FM P. HAIRUL Wed May 13 2026 14:00:00 GMT+0700 (Western Indonesia Time) PHALOSARI UNGGUL J</t>
  </si>
  <si>
    <t>2505/FTSCY/WS95271 94413000.00 Sat May 23 2026 14:00:00 GMT+0700 (Western Indonesia Time) BINTANG TAMA SANTO</t>
  </si>
  <si>
    <t>2505/FTSCY/WS95271 66000000.00 Sat May 23 2026 14:00:00 GMT+0700 (Western Indonesia Time) RUKUN MITRA BERSAM</t>
  </si>
  <si>
    <t>2505/FTSCY/WS95271 55418000.00 Sat May 23 2026 14:00:00 GMT+0700 (Western Indonesia Time) BROILER MAKMUR TAN</t>
  </si>
  <si>
    <t>2505/FTSCY/WS95271 82800000.00 ngawi 6.8 ton GUNA MITRA SEHAT P</t>
  </si>
  <si>
    <t>2505/FTSCY/WS95031 60000000.00 pelunasan GUNA MITRA SEHAT P</t>
  </si>
  <si>
    <t>2505/FTSCY/WS95031 1179000.00 MUJIANTO</t>
  </si>
  <si>
    <t>2505/FTSCY/WS95051 349713500.00 SIDO RAYA UTAMA CV</t>
  </si>
  <si>
    <t>2505/FTSCY/WS95011 209928400.00 Sun May 24 2026 14:00:00 GMT+0700 (Western Indonesia Time) LAJU SATWA WISESA</t>
  </si>
  <si>
    <t>2505/FTSCY/WS95011 75306000.00 Sun May 24 2026 14:00:00 GMT+0700 (Western Indonesia Time) LAJU SATWA WISESA</t>
  </si>
  <si>
    <t>2505/FTSCY/WS95011 57716750.00 Sun May 24 2026 14:00:00 GMT+0700 (Western Indonesia Time) BINTANG TAMA SANTO</t>
  </si>
  <si>
    <t>2505/FTSCY/WS95011 65945000.00 Sun May 24 2026 14:00:00 GMT+0700 (Western Indonesia Time) ANUGERAH KARTIKA A</t>
  </si>
  <si>
    <t>2505/FTSCY/WS95011 66506000.00 Sun May 24 2026 14:00:00 GMT+0700 (Western Indonesia Time) ANUGERAH KARTIKA A</t>
  </si>
  <si>
    <t>2505/FTSCY/WS95031 9523400.00 krg 55 jt EKO SETIYAWAN</t>
  </si>
  <si>
    <t>2605/FTSCY/WS95031 440000.00 pengambilan Kd mut oyo DEBRILIA IFTIKHARR</t>
  </si>
  <si>
    <t>2605/FTSCY/WS95031 1895000.00 pembayaran reng RIKUT NURSITA</t>
  </si>
  <si>
    <t>2605/FTSCY/WS95051 450825400.00 krmn 25/5 TERA MULIA KORPORI</t>
  </si>
  <si>
    <t>2605/FTSCY/WS95031 23100.00 pelunasan GUNA MITRA SEHAT P</t>
  </si>
  <si>
    <t>2605/FTSCY/WS95051 80182110.00 ah 3800.1x21100 GEMILANG INTI SUKS</t>
  </si>
  <si>
    <t>2605/FTSCY/WS95031 61500000.00 t.agung 3 ton GUNA MITRA SEHAT P</t>
  </si>
  <si>
    <t>2605/FTSCY/WS95031 1000000.00 bon SUPRIYADI</t>
  </si>
  <si>
    <t>2605/FTSCY/WS95271 58674000.00 Mon May 25 2026 14:00:00 GMT+0700 (Western Indonesia Time) ANUGERAH KARTIKA A</t>
  </si>
  <si>
    <t>2605/FTSCY/WS95271 119264200.00 Sun May 24 2026 14:00:00 GMT+0700 (Western Indonesia Time) BROILER MAKMUR TAN</t>
  </si>
  <si>
    <t>2605/FTSCY/WS95271 60200000.00 Sun May 24 2026 14:00:00 GMT+0700 (Western Indonesia Time) SUPER UNGGAS JAYA</t>
  </si>
  <si>
    <t>2605/FTFVA/WS95031 55569/PT PRIMA FAJ lmjg dan besuki to t. 6 ton 40190</t>
  </si>
  <si>
    <t>TRSF E-BANKING CR TANGGAL :26/05</t>
  </si>
  <si>
    <t>2605/FTSCY/WS95051 SIDO RAYA UTAMA CV</t>
  </si>
  <si>
    <t>2705/FTSCY/WS95271 64501500.00 0l25/05 ANUGERAH KARTIKA A</t>
  </si>
  <si>
    <t>2705/FTSCY/WS95271 61592250.00 Mon May 25 2026 14:00:00 GMT+0700 (Western Indonesia Time) ANUGERAH KARTIKA A</t>
  </si>
  <si>
    <t>2705/FTSCY/WS95271 63231000.00 Mon May 25 2026 14:00:00 GMT+0700 (Western Indonesia Time) ANUGERAH KARTIKA A</t>
  </si>
  <si>
    <t>2705/FTSCY/WS95271 2414490.00 kediri MUJIANTO</t>
  </si>
  <si>
    <t>2705/FTSCY/WS95031 2661900.00 HERMAWAN</t>
  </si>
  <si>
    <t>2705/FTSCY/WS95051 410650000.00 krmn 26/5 TERA MULIA KORPORI</t>
  </si>
  <si>
    <t>2705/FTSCY/WS95011 273150400.00 Mon May 25 2026 14:00:00 GMT+0700 (Western Indonesia Time) LAJU SATWA WISESA</t>
  </si>
  <si>
    <t>2705/FTSCY/WS95011 129340890.00 Mon May 25 2026 14:00:00 GMT+0700 (Western Indonesia Time) SUPER UNGGAS JAYA</t>
  </si>
  <si>
    <t>2705/FTSCY/WS95011 61771500.00 Mon May 25 2026 14:00:00 GMT+0700 (Western Indonesia Time) RUKUN MITRA BERSAM</t>
  </si>
  <si>
    <t>2705/FTSCY/WS95031 3064950.00 bayar selisih harg a rpa HADI KUSWANTO SE</t>
  </si>
  <si>
    <t>2705/FTSCY/WS95051 407552200.00 SIDO RAYA UTAMA CV</t>
  </si>
  <si>
    <t>2805/FTSCY/WS95271 65930000.00 Tue May 26 2026 14:00:00 GMT+0700 (Western Indonesia Time) BINTANG TAMA SANTO</t>
  </si>
  <si>
    <t>2805/FTSCY/WS95271 60114000.00 Tue May 26 2026 14:00:00 GMT+0700 (Western Indonesia Time) ANUGERAH KARTIKA A</t>
  </si>
  <si>
    <t>2805/FTSCY/WS95271 145152300.00 Tue May 26 2026 14:00:00 GMT+0700 (Western Indonesia Time) LAJU SATWA WISESA</t>
  </si>
  <si>
    <t>2805/FTSCY/WS95031 64350000.00 Tue May 26 2026 14:00:00 GMT+0700 (Western Indonesia Time) ANUGERAH KARTIKA A</t>
  </si>
  <si>
    <t>2805/FTSCY/WS95031 955600.00 HERMAWAN</t>
  </si>
  <si>
    <t>2805/FTSCY/WS95031 12728900.00 krg 60 jt EKO SETIYAWAN</t>
  </si>
  <si>
    <t>2805/FTSCY/WS95031 3064590.00 refund NURHAYATI</t>
  </si>
  <si>
    <t>2805/FTSCY/WS95031 1900000.00 NURUL AINI</t>
  </si>
  <si>
    <t>2805/FTSCY/WS95031 1000000.00 bon SUPRIYADI</t>
  </si>
  <si>
    <t>2805/FTSCY/WS95031 19697580.00 lunas ya RUDIONO</t>
  </si>
  <si>
    <t>2805/FTFVA/WS95031 55569/PT PRIMA FAJ mlg 3 ton - 40190</t>
  </si>
  <si>
    <t>2805/FTSCY/WS95031 300000.00 ARUL BACHTIAR DWI</t>
  </si>
  <si>
    <t>IDM TROJ LANGSEP 6019009510239343</t>
  </si>
  <si>
    <t>LLG-MANDIRI SUPER FAMOUS CHICK pembelian ayam</t>
  </si>
  <si>
    <t>2905/FTSCY/WS95051 69854400.00 Thu May 28 2026 14:00:00 GMT+0700 (Western Indonesia Time) 3564/Clossing SUGENG MARIONO</t>
  </si>
  <si>
    <t>2905/FTSCY/WS95051 126261240.00 AH FM P. HAIRUL Mon May 15 2023 14:00:00 GMT+0700 (Western Indonesia Time) PHALOSARI UNGGUL J</t>
  </si>
  <si>
    <t>2905/FTSCY/WS95051 156780000.00 ah 7800x20100 GEMILANG INTI SUKS</t>
  </si>
  <si>
    <t>2905/FTSCY/WS95271 267708030.00 pellunasan ANDALAN YASA MITRA</t>
  </si>
  <si>
    <t>2905/FTSCY/WS95031 100000000.00 Tue May 26 2026 14:00:00 GMT+0700 (Western Indonesia Time) BROILER MAKMUR TAN</t>
  </si>
  <si>
    <t>2905/FTSCY/WS95031 250000.00 ARUL BACHTIAR DWI</t>
  </si>
  <si>
    <t>2905/FTSCY/WS95011 37119450.00 pelunasan BROILER MAKMUR TAN</t>
  </si>
  <si>
    <t>2905/FTSCY/WS95011 155200000.00 Thu May 28 2026 14:00:00 GMT+0700 (Western Indonesia Time) RUKUN MITRA BERSAM</t>
  </si>
  <si>
    <t>TRSF E-BANKING CR TANGGAL :29/05</t>
  </si>
  <si>
    <t>2905/FTSCY/WS95051 SIDO RAYA UTAMA CV</t>
  </si>
  <si>
    <t>3005/FTSCY/WS95031 69320080.00 Thu May 28 2026 14:00:00 GMT+0700 (Western Indonesia Time) PT BERLIAN INDOMIT</t>
  </si>
  <si>
    <t>BIF TRANSFER KE 2 AKHMAT FAIZHAL M-BCA</t>
  </si>
  <si>
    <t>BIF BIAYA TXN KE 2 AKHMAT FAIZHAL M-BCA</t>
  </si>
  <si>
    <t>3005/FTFVA/WS95031 55569/PT PRIMA FAJ pelunasan - 40190</t>
  </si>
  <si>
    <t>3005/FTSCY/WS95051 134537100.00 SIDO RAYA UTAMA CV</t>
  </si>
  <si>
    <t>3005/FTSCY/WS95031 17159040.00 lunas ya RUDIONO</t>
  </si>
  <si>
    <t>IDM TWUN-JELBUK 6019009510239343</t>
  </si>
  <si>
    <t>3005/FTSCY/WS95051 100000000.00 krmn 30/5 TERA MULIA KORPORI</t>
  </si>
  <si>
    <t>3005/FTSCY/WS95271 67600000.00 Thu May 28 2026 14:00:00 GMT+0700 (Western Indonesia Time) ANUGERAH KARTIKA A</t>
  </si>
  <si>
    <t>3005/FTSCY/WS95271 63954000.00 Thu May 28 2026 14:00:00 GMT+0700 (Western Indonesia Time) ANDALAN YASA MITRA</t>
  </si>
  <si>
    <t>3005/FTSCY/WS95011 173834800.00 Thu May 28 2026 14:00:00 GMT+0700 (Western Indonesia Time) SUPER UNGGAS JAYA</t>
  </si>
  <si>
    <t>3105/FTSCY/WS95031 1000000.00 HERMAWAN</t>
  </si>
  <si>
    <t>3105/FTSCY/WS95051 106597600.00 krmn 30/5 TERA MULIA KORPORI</t>
  </si>
  <si>
    <t>3105/FTSCY/WS95031 61811400.00 Thu May 28 2026 14:00:00 GMT+0700 (Western Indonesia Time) BINTANG TAMA SANTO</t>
  </si>
  <si>
    <t>3105/FTSCY/WS95051 127316600.00 AH P. Hairul 26/5 PHALOSARI UNGGUL J</t>
  </si>
  <si>
    <t>3105/FTSCY/WS95011 124109280.00 WAHYU MEGA ARSITA</t>
  </si>
  <si>
    <t>3105/FTSCY/WS95051 150000000.00 krmn 31/5 TERA MULIA KORPORI</t>
  </si>
  <si>
    <t>3105/FTSCY/WS95271 1450000.00 MUHAMMAD HAIRUL MA</t>
  </si>
  <si>
    <t>3105/FTSCY/WS95271 60000.00 pelunasan MUHAMMAD HAIRUL MA</t>
  </si>
  <si>
    <t>3105/FTSCY/WS95271 198567600.00 Fri May 29 2026 14:00:00 GMT+0700 (Western Indonesia Time) BROILER MAKMUR TAN</t>
  </si>
  <si>
    <t>3105/FTSCY/WS95271 94462280.00 pelunasan ANDALAN YASA MITRA</t>
  </si>
  <si>
    <t>3105/FTSCY/WS95031 600000.00 MUJIANTO</t>
  </si>
  <si>
    <t>CR KOREKSI BUNGA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</si>
</sst>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dd&quot;/&quot;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4" xfId="0" applyFont="1" applyNumberFormat="1"/>
    <xf borderId="0" fillId="0" fontId="1" numFmtId="4" xfId="0" applyAlignment="1" applyFont="1" applyNumberFormat="1">
      <alignment readingOrder="0"/>
    </xf>
    <xf borderId="0" fillId="0" fontId="1" numFmtId="0" xfId="0" applyFont="1"/>
    <xf borderId="0" fillId="0" fontId="2" numFmtId="2" xfId="0" applyAlignment="1" applyFont="1" applyNumberFormat="1">
      <alignment vertical="bottom"/>
    </xf>
    <xf borderId="0" fillId="0" fontId="2" numFmtId="2" xfId="0" applyAlignment="1" applyFont="1" applyNumberFormat="1">
      <alignment readingOrder="0" vertical="bottom"/>
    </xf>
    <xf borderId="0" fillId="0" fontId="1" numFmtId="165" xfId="0" applyFont="1" applyNumberFormat="1"/>
    <xf borderId="0" fillId="2" fontId="1" numFmtId="164" xfId="0" applyAlignment="1" applyFill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1" numFmtId="4" xfId="0" applyAlignment="1" applyFill="1" applyFont="1" applyNumberFormat="1">
      <alignment readingOrder="0"/>
    </xf>
    <xf borderId="0" fillId="2" fontId="1" numFmtId="4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  <col customWidth="1" hidden="1" min="6" max="6" width="4.5"/>
  </cols>
  <sheetData>
    <row r="1">
      <c r="A1" s="1"/>
      <c r="B1" s="2"/>
      <c r="D1" s="3"/>
      <c r="E1" s="3"/>
      <c r="F1" s="3"/>
      <c r="G1" s="4"/>
      <c r="H1" s="3"/>
      <c r="I1" s="6"/>
    </row>
    <row r="2">
      <c r="A2" s="1">
        <v>46143.0</v>
      </c>
      <c r="B2" s="2" t="s">
        <v>0</v>
      </c>
      <c r="C2" s="2" t="s">
        <v>0</v>
      </c>
      <c r="D2" s="3"/>
      <c r="E2" s="3">
        <f>SUM(E3:E463) </f>
        <v>17037265553</v>
      </c>
      <c r="F2" s="3"/>
      <c r="G2" s="4">
        <v>1.5281921995E8</v>
      </c>
      <c r="H2" s="3"/>
      <c r="I2" s="6"/>
    </row>
    <row r="3">
      <c r="A3" s="1">
        <v>46143.0</v>
      </c>
      <c r="B3" s="2" t="s">
        <v>1</v>
      </c>
      <c r="C3" s="2" t="s">
        <v>2</v>
      </c>
      <c r="D3" s="4"/>
      <c r="E3" s="4">
        <v>6.121552E7</v>
      </c>
      <c r="F3" s="4" t="s">
        <v>3</v>
      </c>
      <c r="G3" s="3">
        <f>G2-D3+E3</f>
        <v>214034740</v>
      </c>
      <c r="H3" s="4">
        <v>2.1403473995E8</v>
      </c>
      <c r="I3" s="6"/>
    </row>
    <row r="4">
      <c r="A4" s="1">
        <v>46143.0</v>
      </c>
      <c r="B4" s="2" t="s">
        <v>4</v>
      </c>
      <c r="C4" s="2" t="s">
        <v>5</v>
      </c>
      <c r="D4" s="4">
        <v>1365400.0</v>
      </c>
      <c r="E4" s="3"/>
      <c r="F4" s="4" t="s">
        <v>6</v>
      </c>
      <c r="G4" s="3">
        <f t="array" ref="G4:G463">SCAN(G3, MAP(D4:D463, E4:E463, LAMBDA(d, c, IF(AND(d="", c=""), "", N(c) - N(d)))), LAMBDA(saldo, mutasi, IF(mutasi="", "", saldo + mutasi)))</f>
        <v>212669340</v>
      </c>
      <c r="H4" s="4"/>
      <c r="I4" s="6"/>
    </row>
    <row r="5">
      <c r="A5" s="1">
        <v>46143.0</v>
      </c>
      <c r="B5" s="2" t="s">
        <v>4</v>
      </c>
      <c r="C5" s="2" t="s">
        <v>7</v>
      </c>
      <c r="D5" s="4">
        <v>1.8333225E8</v>
      </c>
      <c r="E5" s="3"/>
      <c r="F5" s="4" t="s">
        <v>6</v>
      </c>
      <c r="G5" s="3">
        <v>2.9337089949999988E7</v>
      </c>
      <c r="H5" s="4"/>
      <c r="I5" s="6" t="s">
        <v>8</v>
      </c>
    </row>
    <row r="6">
      <c r="A6" s="1">
        <v>46143.0</v>
      </c>
      <c r="B6" s="2" t="s">
        <v>9</v>
      </c>
      <c r="C6" s="2" t="s">
        <v>9</v>
      </c>
      <c r="D6" s="4">
        <v>200000.0</v>
      </c>
      <c r="E6" s="3"/>
      <c r="F6" s="3"/>
      <c r="G6" s="3">
        <v>2.9137089949999988E7</v>
      </c>
      <c r="H6" s="4"/>
      <c r="I6" s="6" t="s">
        <v>8</v>
      </c>
    </row>
    <row r="7">
      <c r="A7" s="1">
        <v>46143.0</v>
      </c>
      <c r="B7" s="2" t="s">
        <v>10</v>
      </c>
      <c r="C7" s="2" t="s">
        <v>11</v>
      </c>
      <c r="D7" s="4"/>
      <c r="E7" s="4">
        <v>5.0E7</v>
      </c>
      <c r="F7" s="4" t="s">
        <v>3</v>
      </c>
      <c r="G7" s="3">
        <v>7.913708994999999E7</v>
      </c>
      <c r="H7" s="3"/>
      <c r="I7" s="6" t="s">
        <v>12</v>
      </c>
    </row>
    <row r="8">
      <c r="A8" s="1">
        <v>46143.0</v>
      </c>
      <c r="B8" s="2" t="s">
        <v>10</v>
      </c>
      <c r="C8" s="2" t="s">
        <v>11</v>
      </c>
      <c r="D8" s="4"/>
      <c r="E8" s="4">
        <v>5.0E7</v>
      </c>
      <c r="F8" s="4" t="s">
        <v>3</v>
      </c>
      <c r="G8" s="3">
        <v>1.2913708994999999E8</v>
      </c>
      <c r="H8" s="3"/>
      <c r="I8" s="6" t="s">
        <v>8</v>
      </c>
    </row>
    <row r="9">
      <c r="A9" s="1">
        <v>46143.0</v>
      </c>
      <c r="B9" s="2" t="s">
        <v>10</v>
      </c>
      <c r="C9" s="2" t="s">
        <v>11</v>
      </c>
      <c r="D9" s="4"/>
      <c r="E9" s="4">
        <v>5.0E7</v>
      </c>
      <c r="F9" s="4" t="s">
        <v>3</v>
      </c>
      <c r="G9" s="3">
        <v>1.7913708995E8</v>
      </c>
      <c r="H9" s="3"/>
      <c r="I9" s="6" t="s">
        <v>8</v>
      </c>
    </row>
    <row r="10">
      <c r="A10" s="1">
        <v>46143.0</v>
      </c>
      <c r="B10" s="2" t="s">
        <v>10</v>
      </c>
      <c r="C10" s="2" t="s">
        <v>11</v>
      </c>
      <c r="D10" s="4"/>
      <c r="E10" s="4">
        <v>5.0E7</v>
      </c>
      <c r="F10" s="4" t="s">
        <v>3</v>
      </c>
      <c r="G10" s="3">
        <v>2.2913708995E8</v>
      </c>
      <c r="H10" s="3"/>
      <c r="I10" s="6" t="s">
        <v>8</v>
      </c>
    </row>
    <row r="11">
      <c r="A11" s="1">
        <v>46143.0</v>
      </c>
      <c r="B11" s="2" t="s">
        <v>10</v>
      </c>
      <c r="C11" s="2" t="s">
        <v>11</v>
      </c>
      <c r="D11" s="4"/>
      <c r="E11" s="4">
        <v>5.0E7</v>
      </c>
      <c r="F11" s="4" t="s">
        <v>3</v>
      </c>
      <c r="G11" s="3">
        <v>2.7913708995E8</v>
      </c>
      <c r="H11" s="3"/>
      <c r="I11" s="6" t="s">
        <v>8</v>
      </c>
    </row>
    <row r="12">
      <c r="A12" s="1">
        <v>46143.0</v>
      </c>
      <c r="B12" s="2" t="s">
        <v>10</v>
      </c>
      <c r="C12" s="2" t="s">
        <v>11</v>
      </c>
      <c r="D12" s="4"/>
      <c r="E12" s="4">
        <v>5.0E7</v>
      </c>
      <c r="F12" s="4" t="s">
        <v>3</v>
      </c>
      <c r="G12" s="3">
        <v>3.2913708995E8</v>
      </c>
      <c r="H12" s="3"/>
      <c r="I12" s="6" t="s">
        <v>8</v>
      </c>
    </row>
    <row r="13">
      <c r="A13" s="1">
        <v>46143.0</v>
      </c>
      <c r="B13" s="2" t="s">
        <v>10</v>
      </c>
      <c r="C13" s="2" t="s">
        <v>11</v>
      </c>
      <c r="D13" s="4"/>
      <c r="E13" s="4">
        <v>5.0E7</v>
      </c>
      <c r="F13" s="4" t="s">
        <v>3</v>
      </c>
      <c r="G13" s="3">
        <v>3.7913708995E8</v>
      </c>
      <c r="H13" s="3"/>
      <c r="I13" s="6" t="s">
        <v>8</v>
      </c>
    </row>
    <row r="14">
      <c r="A14" s="1">
        <v>46143.0</v>
      </c>
      <c r="B14" s="2" t="s">
        <v>10</v>
      </c>
      <c r="C14" s="2" t="s">
        <v>11</v>
      </c>
      <c r="D14" s="4"/>
      <c r="E14" s="4">
        <v>2.40717E7</v>
      </c>
      <c r="F14" s="4" t="s">
        <v>3</v>
      </c>
      <c r="G14" s="3">
        <v>4.0320878995E8</v>
      </c>
      <c r="H14" s="3"/>
      <c r="I14" s="6" t="s">
        <v>8</v>
      </c>
    </row>
    <row r="15">
      <c r="A15" s="1">
        <v>46143.0</v>
      </c>
      <c r="B15" s="2" t="s">
        <v>10</v>
      </c>
      <c r="C15" s="2" t="s">
        <v>11</v>
      </c>
      <c r="D15" s="4"/>
      <c r="E15" s="4">
        <v>5.0E7</v>
      </c>
      <c r="F15" s="4" t="s">
        <v>3</v>
      </c>
      <c r="G15" s="3">
        <v>4.5320878995E8</v>
      </c>
      <c r="H15" s="3"/>
      <c r="I15" s="6" t="s">
        <v>8</v>
      </c>
    </row>
    <row r="16">
      <c r="A16" s="1">
        <v>46143.0</v>
      </c>
      <c r="B16" s="2" t="s">
        <v>13</v>
      </c>
      <c r="C16" s="2" t="s">
        <v>14</v>
      </c>
      <c r="D16" s="4">
        <v>141400.0</v>
      </c>
      <c r="E16" s="3"/>
      <c r="F16" s="3"/>
      <c r="G16" s="3">
        <v>4.5306738995E8</v>
      </c>
      <c r="H16" s="4"/>
      <c r="I16" s="6" t="s">
        <v>8</v>
      </c>
    </row>
    <row r="17">
      <c r="A17" s="1">
        <v>46143.0</v>
      </c>
      <c r="B17" s="2" t="s">
        <v>4</v>
      </c>
      <c r="C17" s="2" t="s">
        <v>15</v>
      </c>
      <c r="D17" s="4">
        <v>1.0E8</v>
      </c>
      <c r="E17" s="3"/>
      <c r="F17" s="4" t="s">
        <v>6</v>
      </c>
      <c r="G17" s="3">
        <v>3.5306738995E8</v>
      </c>
      <c r="H17" s="4"/>
      <c r="I17" s="7" t="s">
        <v>16</v>
      </c>
    </row>
    <row r="18">
      <c r="A18" s="1">
        <v>46143.0</v>
      </c>
      <c r="B18" s="2" t="s">
        <v>4</v>
      </c>
      <c r="C18" s="2" t="s">
        <v>17</v>
      </c>
      <c r="D18" s="4">
        <v>1000000.0</v>
      </c>
      <c r="E18" s="3"/>
      <c r="F18" s="4" t="s">
        <v>6</v>
      </c>
      <c r="G18" s="3">
        <v>3.5206738995E8</v>
      </c>
      <c r="H18" s="4"/>
      <c r="I18" s="6" t="s">
        <v>8</v>
      </c>
    </row>
    <row r="19">
      <c r="A19" s="1">
        <v>46143.0</v>
      </c>
      <c r="B19" s="2" t="s">
        <v>4</v>
      </c>
      <c r="C19" s="2" t="s">
        <v>18</v>
      </c>
      <c r="D19" s="4">
        <v>1.49053E7</v>
      </c>
      <c r="E19" s="3"/>
      <c r="F19" s="4" t="s">
        <v>6</v>
      </c>
      <c r="G19" s="3">
        <v>3.3716208995E8</v>
      </c>
      <c r="H19" s="4"/>
      <c r="I19" s="7" t="s">
        <v>19</v>
      </c>
    </row>
    <row r="20">
      <c r="A20" s="1">
        <v>46143.0</v>
      </c>
      <c r="B20" s="2" t="s">
        <v>4</v>
      </c>
      <c r="C20" s="2" t="s">
        <v>20</v>
      </c>
      <c r="D20" s="4">
        <v>9.0E7</v>
      </c>
      <c r="E20" s="3"/>
      <c r="F20" s="4" t="s">
        <v>6</v>
      </c>
      <c r="G20" s="3">
        <v>2.4716208995E8</v>
      </c>
      <c r="H20" s="4">
        <v>2.4716208995E8</v>
      </c>
      <c r="I20" s="6" t="s">
        <v>8</v>
      </c>
    </row>
    <row r="21">
      <c r="A21" s="1">
        <v>46144.0</v>
      </c>
      <c r="B21" s="2" t="s">
        <v>4</v>
      </c>
      <c r="C21" s="2" t="s">
        <v>21</v>
      </c>
      <c r="D21" s="4">
        <v>5.61255E7</v>
      </c>
      <c r="E21" s="3"/>
      <c r="F21" s="4" t="s">
        <v>6</v>
      </c>
      <c r="G21" s="3">
        <v>1.9103658995E8</v>
      </c>
      <c r="H21" s="4"/>
      <c r="I21" s="6"/>
    </row>
    <row r="22">
      <c r="A22" s="1">
        <v>46144.0</v>
      </c>
      <c r="B22" s="2" t="s">
        <v>4</v>
      </c>
      <c r="C22" s="2" t="s">
        <v>22</v>
      </c>
      <c r="D22" s="4">
        <v>2.910885E7</v>
      </c>
      <c r="E22" s="3"/>
      <c r="F22" s="4" t="s">
        <v>6</v>
      </c>
      <c r="G22" s="3">
        <v>1.6192773995E8</v>
      </c>
      <c r="H22" s="4"/>
      <c r="I22" s="6"/>
    </row>
    <row r="23">
      <c r="A23" s="1">
        <v>46144.0</v>
      </c>
      <c r="B23" s="2" t="s">
        <v>23</v>
      </c>
      <c r="C23" s="2" t="s">
        <v>24</v>
      </c>
      <c r="D23" s="4"/>
      <c r="E23" s="4">
        <v>4.34632E7</v>
      </c>
      <c r="F23" s="4" t="s">
        <v>3</v>
      </c>
      <c r="G23" s="3">
        <v>2.0539093995E8</v>
      </c>
      <c r="H23" s="4">
        <v>2.0539093995E8</v>
      </c>
      <c r="I23" s="6" t="s">
        <v>8</v>
      </c>
    </row>
    <row r="24">
      <c r="A24" s="1">
        <v>46144.0</v>
      </c>
      <c r="B24" s="2" t="s">
        <v>4</v>
      </c>
      <c r="C24" s="2" t="s">
        <v>25</v>
      </c>
      <c r="D24" s="4">
        <v>5.065371E7</v>
      </c>
      <c r="E24" s="3"/>
      <c r="F24" s="4" t="s">
        <v>6</v>
      </c>
      <c r="G24" s="3">
        <v>1.5473722995E8</v>
      </c>
      <c r="H24" s="4">
        <v>1.5473722995E8</v>
      </c>
      <c r="I24" s="6"/>
    </row>
    <row r="25">
      <c r="A25" s="1">
        <v>46144.0</v>
      </c>
      <c r="B25" s="2" t="s">
        <v>26</v>
      </c>
      <c r="C25" s="2" t="s">
        <v>27</v>
      </c>
      <c r="D25" s="4">
        <v>60000.0</v>
      </c>
      <c r="E25" s="3"/>
      <c r="F25" s="4" t="s">
        <v>6</v>
      </c>
      <c r="G25" s="3">
        <v>1.5467722995E8</v>
      </c>
      <c r="H25" s="3"/>
      <c r="I25" s="6"/>
    </row>
    <row r="26">
      <c r="A26" s="1">
        <v>46144.0</v>
      </c>
      <c r="B26" s="2" t="s">
        <v>26</v>
      </c>
      <c r="C26" s="2" t="s">
        <v>28</v>
      </c>
      <c r="D26" s="4">
        <v>2500.0</v>
      </c>
      <c r="E26" s="3"/>
      <c r="F26" s="4" t="s">
        <v>6</v>
      </c>
      <c r="G26" s="3">
        <v>1.5467472995E8</v>
      </c>
      <c r="H26" s="3"/>
      <c r="I26" s="6" t="s">
        <v>8</v>
      </c>
    </row>
    <row r="27">
      <c r="A27" s="1">
        <v>46144.0</v>
      </c>
      <c r="B27" s="2" t="s">
        <v>23</v>
      </c>
      <c r="C27" s="2" t="s">
        <v>29</v>
      </c>
      <c r="D27" s="4"/>
      <c r="E27" s="4">
        <v>1.5306108E8</v>
      </c>
      <c r="F27" s="4" t="s">
        <v>3</v>
      </c>
      <c r="G27" s="3">
        <v>3.0773580995E8</v>
      </c>
      <c r="H27" s="3"/>
      <c r="I27" s="6" t="s">
        <v>8</v>
      </c>
    </row>
    <row r="28">
      <c r="A28" s="1">
        <v>46144.0</v>
      </c>
      <c r="B28" s="2" t="s">
        <v>23</v>
      </c>
      <c r="C28" s="2" t="s">
        <v>30</v>
      </c>
      <c r="D28" s="4"/>
      <c r="E28" s="4">
        <v>5.81E7</v>
      </c>
      <c r="F28" s="4" t="s">
        <v>3</v>
      </c>
      <c r="G28" s="3">
        <v>3.6583580995E8</v>
      </c>
      <c r="H28" s="3"/>
      <c r="I28" s="6"/>
    </row>
    <row r="29">
      <c r="A29" s="1">
        <v>46144.0</v>
      </c>
      <c r="B29" s="2" t="s">
        <v>4</v>
      </c>
      <c r="C29" s="2" t="s">
        <v>31</v>
      </c>
      <c r="D29" s="4">
        <v>2.0E8</v>
      </c>
      <c r="E29" s="3"/>
      <c r="F29" s="4" t="s">
        <v>6</v>
      </c>
      <c r="G29" s="3">
        <v>1.6583580995E8</v>
      </c>
      <c r="H29" s="3"/>
      <c r="I29" s="6" t="s">
        <v>8</v>
      </c>
    </row>
    <row r="30">
      <c r="A30" s="1">
        <v>46144.0</v>
      </c>
      <c r="B30" s="2" t="s">
        <v>23</v>
      </c>
      <c r="C30" s="2" t="s">
        <v>32</v>
      </c>
      <c r="D30" s="4"/>
      <c r="E30" s="4">
        <v>3.6860159E8</v>
      </c>
      <c r="F30" s="4" t="s">
        <v>3</v>
      </c>
      <c r="G30" s="3">
        <v>5.3443739995E8</v>
      </c>
      <c r="H30" s="3"/>
      <c r="I30" s="6" t="s">
        <v>8</v>
      </c>
    </row>
    <row r="31">
      <c r="A31" s="1">
        <v>46144.0</v>
      </c>
      <c r="B31" s="2" t="s">
        <v>4</v>
      </c>
      <c r="C31" s="2" t="s">
        <v>33</v>
      </c>
      <c r="D31" s="4">
        <v>9.234E7</v>
      </c>
      <c r="E31" s="3"/>
      <c r="F31" s="4" t="s">
        <v>6</v>
      </c>
      <c r="G31" s="3">
        <v>4.4209739995E8</v>
      </c>
      <c r="H31" s="3"/>
      <c r="I31" s="6"/>
    </row>
    <row r="32">
      <c r="A32" s="1">
        <v>46144.0</v>
      </c>
      <c r="B32" s="2" t="s">
        <v>4</v>
      </c>
      <c r="C32" s="2" t="s">
        <v>34</v>
      </c>
      <c r="D32" s="4">
        <v>2.125E7</v>
      </c>
      <c r="E32" s="3"/>
      <c r="F32" s="4" t="s">
        <v>6</v>
      </c>
      <c r="G32" s="3">
        <v>4.2084739995E8</v>
      </c>
      <c r="H32" s="3"/>
      <c r="I32" s="6"/>
    </row>
    <row r="33">
      <c r="A33" s="1">
        <v>46144.0</v>
      </c>
      <c r="B33" s="2" t="s">
        <v>35</v>
      </c>
      <c r="C33" s="2" t="s">
        <v>36</v>
      </c>
      <c r="D33" s="4">
        <v>202500.0</v>
      </c>
      <c r="E33" s="3"/>
      <c r="F33" s="3"/>
      <c r="G33" s="3">
        <v>4.2064489995E8</v>
      </c>
      <c r="H33" s="3"/>
      <c r="I33" s="6" t="s">
        <v>37</v>
      </c>
    </row>
    <row r="34">
      <c r="A34" s="1">
        <v>46144.0</v>
      </c>
      <c r="B34" s="2" t="s">
        <v>4</v>
      </c>
      <c r="C34" s="2" t="s">
        <v>38</v>
      </c>
      <c r="D34" s="4">
        <v>1278780.0</v>
      </c>
      <c r="E34" s="3"/>
      <c r="F34" s="4" t="s">
        <v>6</v>
      </c>
      <c r="G34" s="3">
        <v>4.1936611995E8</v>
      </c>
      <c r="H34" s="3"/>
      <c r="I34" s="6" t="s">
        <v>37</v>
      </c>
    </row>
    <row r="35">
      <c r="A35" s="1">
        <v>46144.0</v>
      </c>
      <c r="B35" s="2" t="s">
        <v>4</v>
      </c>
      <c r="C35" s="2" t="s">
        <v>39</v>
      </c>
      <c r="D35" s="4">
        <v>1000000.0</v>
      </c>
      <c r="E35" s="3"/>
      <c r="F35" s="4" t="s">
        <v>6</v>
      </c>
      <c r="G35" s="3">
        <v>4.1836611995E8</v>
      </c>
      <c r="H35" s="4">
        <v>4.1836611995E8</v>
      </c>
      <c r="I35" s="7" t="s">
        <v>40</v>
      </c>
    </row>
    <row r="36">
      <c r="A36" s="1">
        <v>46144.0</v>
      </c>
      <c r="B36" s="2" t="s">
        <v>4</v>
      </c>
      <c r="C36" s="2" t="s">
        <v>41</v>
      </c>
      <c r="D36" s="4">
        <v>9.2E7</v>
      </c>
      <c r="E36" s="3"/>
      <c r="F36" s="4" t="s">
        <v>6</v>
      </c>
      <c r="G36" s="3">
        <v>3.2636611995E8</v>
      </c>
      <c r="H36" s="4">
        <v>3.2636611995E8</v>
      </c>
      <c r="I36" s="6" t="s">
        <v>8</v>
      </c>
    </row>
    <row r="37">
      <c r="A37" s="1">
        <v>46144.0</v>
      </c>
      <c r="B37" s="2" t="s">
        <v>4</v>
      </c>
      <c r="C37" s="2" t="s">
        <v>42</v>
      </c>
      <c r="D37" s="4">
        <v>9.214332E7</v>
      </c>
      <c r="E37" s="3"/>
      <c r="F37" s="4" t="s">
        <v>6</v>
      </c>
      <c r="G37" s="3">
        <v>2.3422279995E8</v>
      </c>
      <c r="H37" s="3"/>
      <c r="I37" s="6" t="s">
        <v>37</v>
      </c>
    </row>
    <row r="38">
      <c r="A38" s="1">
        <v>46144.0</v>
      </c>
      <c r="B38" s="2" t="s">
        <v>4</v>
      </c>
      <c r="C38" s="2" t="s">
        <v>43</v>
      </c>
      <c r="D38" s="4">
        <v>9.9256E7</v>
      </c>
      <c r="E38" s="3"/>
      <c r="F38" s="4" t="s">
        <v>6</v>
      </c>
      <c r="G38" s="3">
        <v>1.3496679995E8</v>
      </c>
      <c r="H38" s="3"/>
      <c r="I38" s="6" t="s">
        <v>8</v>
      </c>
    </row>
    <row r="39">
      <c r="A39" s="1">
        <v>46144.0</v>
      </c>
      <c r="B39" s="2" t="s">
        <v>4</v>
      </c>
      <c r="C39" s="2" t="s">
        <v>44</v>
      </c>
      <c r="D39" s="4">
        <v>6.09216E7</v>
      </c>
      <c r="E39" s="3"/>
      <c r="F39" s="4" t="s">
        <v>6</v>
      </c>
      <c r="G39" s="3">
        <v>7.404519994999999E7</v>
      </c>
      <c r="H39" s="3"/>
      <c r="I39" s="6"/>
    </row>
    <row r="40">
      <c r="A40" s="1">
        <v>46144.0</v>
      </c>
      <c r="B40" s="2" t="s">
        <v>4</v>
      </c>
      <c r="C40" s="2" t="s">
        <v>45</v>
      </c>
      <c r="D40" s="4">
        <v>4.24912E7</v>
      </c>
      <c r="E40" s="3"/>
      <c r="F40" s="4" t="s">
        <v>6</v>
      </c>
      <c r="G40" s="3">
        <v>3.1553999949999988E7</v>
      </c>
      <c r="H40" s="4">
        <v>3.155399995E7</v>
      </c>
      <c r="I40" s="6"/>
    </row>
    <row r="41">
      <c r="A41" s="1">
        <v>46145.0</v>
      </c>
      <c r="B41" s="2" t="s">
        <v>4</v>
      </c>
      <c r="C41" s="2" t="s">
        <v>46</v>
      </c>
      <c r="D41" s="4">
        <v>150000.0</v>
      </c>
      <c r="E41" s="3"/>
      <c r="F41" s="4" t="s">
        <v>6</v>
      </c>
      <c r="G41" s="3">
        <v>3.1403999949999988E7</v>
      </c>
      <c r="H41" s="3"/>
      <c r="I41" s="6" t="s">
        <v>8</v>
      </c>
    </row>
    <row r="42">
      <c r="A42" s="1">
        <v>46145.0</v>
      </c>
      <c r="B42" s="2" t="s">
        <v>4</v>
      </c>
      <c r="C42" s="2" t="s">
        <v>47</v>
      </c>
      <c r="D42" s="4">
        <v>2255540.0</v>
      </c>
      <c r="E42" s="3"/>
      <c r="F42" s="4" t="s">
        <v>6</v>
      </c>
      <c r="G42" s="3">
        <v>2.9148459949999988E7</v>
      </c>
      <c r="H42" s="3"/>
      <c r="I42" s="6" t="s">
        <v>8</v>
      </c>
    </row>
    <row r="43">
      <c r="A43" s="1">
        <v>46145.0</v>
      </c>
      <c r="B43" s="2" t="s">
        <v>4</v>
      </c>
      <c r="C43" s="2" t="s">
        <v>48</v>
      </c>
      <c r="D43" s="4">
        <v>2672320.0</v>
      </c>
      <c r="E43" s="3"/>
      <c r="F43" s="4" t="s">
        <v>6</v>
      </c>
      <c r="G43" s="3">
        <v>2.6476139949999988E7</v>
      </c>
      <c r="H43" s="3"/>
      <c r="I43" s="6"/>
    </row>
    <row r="44">
      <c r="A44" s="1">
        <v>46145.0</v>
      </c>
      <c r="B44" s="2" t="s">
        <v>4</v>
      </c>
      <c r="C44" s="2" t="s">
        <v>49</v>
      </c>
      <c r="D44" s="4">
        <v>8174900.0</v>
      </c>
      <c r="E44" s="3"/>
      <c r="F44" s="4" t="s">
        <v>6</v>
      </c>
      <c r="G44" s="3">
        <v>1.8301239949999988E7</v>
      </c>
      <c r="H44" s="3"/>
      <c r="I44" s="6" t="s">
        <v>8</v>
      </c>
    </row>
    <row r="45">
      <c r="A45" s="1">
        <v>46145.0</v>
      </c>
      <c r="B45" s="2" t="s">
        <v>4</v>
      </c>
      <c r="C45" s="2" t="s">
        <v>50</v>
      </c>
      <c r="D45" s="4">
        <v>3872030.0</v>
      </c>
      <c r="E45" s="3"/>
      <c r="F45" s="4" t="s">
        <v>6</v>
      </c>
      <c r="G45" s="3">
        <v>1.4429209949999988E7</v>
      </c>
      <c r="H45" s="3"/>
      <c r="I45" s="6" t="s">
        <v>8</v>
      </c>
    </row>
    <row r="46">
      <c r="A46" s="1">
        <v>46145.0</v>
      </c>
      <c r="B46" s="2" t="s">
        <v>23</v>
      </c>
      <c r="C46" s="2" t="s">
        <v>51</v>
      </c>
      <c r="D46" s="4"/>
      <c r="E46" s="4">
        <v>5.93402E7</v>
      </c>
      <c r="F46" s="4" t="s">
        <v>3</v>
      </c>
      <c r="G46" s="3">
        <v>7.376940994999999E7</v>
      </c>
      <c r="H46" s="3"/>
      <c r="I46" s="6" t="s">
        <v>8</v>
      </c>
    </row>
    <row r="47">
      <c r="A47" s="1">
        <v>46145.0</v>
      </c>
      <c r="B47" s="2" t="s">
        <v>4</v>
      </c>
      <c r="C47" s="2" t="s">
        <v>52</v>
      </c>
      <c r="D47" s="4">
        <v>4.59712E7</v>
      </c>
      <c r="E47" s="3"/>
      <c r="F47" s="4" t="s">
        <v>6</v>
      </c>
      <c r="G47" s="3">
        <v>2.7798209949999988E7</v>
      </c>
      <c r="H47" s="3"/>
      <c r="I47" s="6" t="s">
        <v>8</v>
      </c>
    </row>
    <row r="48">
      <c r="A48" s="1">
        <v>46145.0</v>
      </c>
      <c r="B48" s="2" t="s">
        <v>23</v>
      </c>
      <c r="C48" s="2" t="s">
        <v>53</v>
      </c>
      <c r="D48" s="4"/>
      <c r="E48" s="4">
        <v>3.278004E8</v>
      </c>
      <c r="F48" s="4" t="s">
        <v>3</v>
      </c>
      <c r="G48" s="3">
        <v>3.5559860995E8</v>
      </c>
      <c r="H48" s="4">
        <v>3.5559860995E8</v>
      </c>
      <c r="I48" s="6" t="s">
        <v>8</v>
      </c>
    </row>
    <row r="49">
      <c r="A49" s="1">
        <v>46145.0</v>
      </c>
      <c r="B49" s="2" t="s">
        <v>4</v>
      </c>
      <c r="C49" s="2" t="s">
        <v>54</v>
      </c>
      <c r="D49" s="4">
        <v>1.188469E8</v>
      </c>
      <c r="E49" s="3"/>
      <c r="F49" s="4" t="s">
        <v>6</v>
      </c>
      <c r="G49" s="3">
        <v>2.3675170995E8</v>
      </c>
      <c r="H49" s="4">
        <v>2.3675170995E8</v>
      </c>
      <c r="I49" s="6"/>
    </row>
    <row r="50">
      <c r="A50" s="1">
        <v>46145.0</v>
      </c>
      <c r="B50" s="2" t="s">
        <v>4</v>
      </c>
      <c r="C50" s="2" t="s">
        <v>55</v>
      </c>
      <c r="D50" s="4">
        <v>1.16352E8</v>
      </c>
      <c r="E50" s="3"/>
      <c r="F50" s="4" t="s">
        <v>6</v>
      </c>
      <c r="G50" s="3">
        <v>1.2039970994999999E8</v>
      </c>
      <c r="H50" s="3"/>
      <c r="I50" s="6" t="s">
        <v>8</v>
      </c>
    </row>
    <row r="51">
      <c r="A51" s="1">
        <v>46145.0</v>
      </c>
      <c r="B51" s="2" t="s">
        <v>56</v>
      </c>
      <c r="C51" s="2" t="s">
        <v>57</v>
      </c>
      <c r="D51" s="3"/>
      <c r="E51" s="4">
        <v>1.011274E8</v>
      </c>
      <c r="F51" s="3"/>
      <c r="G51" s="3">
        <v>2.2152710995E8</v>
      </c>
      <c r="H51" s="3"/>
      <c r="I51" s="6"/>
    </row>
    <row r="52">
      <c r="A52" s="1">
        <v>46145.0</v>
      </c>
      <c r="B52" s="2" t="s">
        <v>4</v>
      </c>
      <c r="C52" s="2" t="s">
        <v>58</v>
      </c>
      <c r="D52" s="4">
        <v>9.3952E7</v>
      </c>
      <c r="E52" s="3"/>
      <c r="F52" s="4" t="s">
        <v>6</v>
      </c>
      <c r="G52" s="3">
        <v>1.2757510994999999E8</v>
      </c>
      <c r="H52" s="3"/>
      <c r="I52" s="6" t="s">
        <v>8</v>
      </c>
    </row>
    <row r="53">
      <c r="A53" s="1">
        <v>46145.0</v>
      </c>
      <c r="B53" s="2" t="s">
        <v>4</v>
      </c>
      <c r="C53" s="2" t="s">
        <v>59</v>
      </c>
      <c r="D53" s="4">
        <v>9.56256E7</v>
      </c>
      <c r="E53" s="3"/>
      <c r="F53" s="4" t="s">
        <v>6</v>
      </c>
      <c r="G53" s="3">
        <v>3.1949509949999988E7</v>
      </c>
      <c r="H53" s="3"/>
      <c r="I53" s="6" t="s">
        <v>8</v>
      </c>
    </row>
    <row r="54">
      <c r="A54" s="1">
        <v>46145.0</v>
      </c>
      <c r="B54" s="2" t="s">
        <v>23</v>
      </c>
      <c r="C54" s="2" t="s">
        <v>60</v>
      </c>
      <c r="D54" s="3"/>
      <c r="E54" s="4">
        <v>2.0809592E8</v>
      </c>
      <c r="F54" s="4" t="s">
        <v>3</v>
      </c>
      <c r="G54" s="3">
        <v>2.4004542995E8</v>
      </c>
      <c r="H54" s="3"/>
      <c r="I54" s="6" t="s">
        <v>8</v>
      </c>
    </row>
    <row r="55">
      <c r="A55" s="1">
        <v>46145.0</v>
      </c>
      <c r="B55" s="2" t="s">
        <v>61</v>
      </c>
      <c r="C55" s="2" t="s">
        <v>61</v>
      </c>
      <c r="D55" s="4">
        <v>1250000.0</v>
      </c>
      <c r="E55" s="3"/>
      <c r="F55" s="3"/>
      <c r="G55" s="3">
        <v>2.3879542995E8</v>
      </c>
      <c r="H55" s="3"/>
      <c r="I55" s="6"/>
    </row>
    <row r="56">
      <c r="A56" s="1">
        <v>46145.0</v>
      </c>
      <c r="B56" s="2" t="s">
        <v>61</v>
      </c>
      <c r="C56" s="2" t="s">
        <v>61</v>
      </c>
      <c r="D56" s="4">
        <v>800000.0</v>
      </c>
      <c r="E56" s="3"/>
      <c r="F56" s="3"/>
      <c r="G56" s="3">
        <v>2.3799542995E8</v>
      </c>
      <c r="H56" s="3"/>
      <c r="I56" s="6" t="s">
        <v>8</v>
      </c>
    </row>
    <row r="57">
      <c r="A57" s="1">
        <v>46145.0</v>
      </c>
      <c r="B57" s="2" t="s">
        <v>4</v>
      </c>
      <c r="C57" s="2" t="s">
        <v>62</v>
      </c>
      <c r="D57" s="4">
        <v>1620000.0</v>
      </c>
      <c r="E57" s="3"/>
      <c r="F57" s="4" t="s">
        <v>6</v>
      </c>
      <c r="G57" s="3">
        <v>2.3637542995E8</v>
      </c>
      <c r="H57" s="3"/>
      <c r="I57" s="6" t="s">
        <v>8</v>
      </c>
    </row>
    <row r="58">
      <c r="A58" s="1">
        <v>46145.0</v>
      </c>
      <c r="B58" s="2" t="s">
        <v>23</v>
      </c>
      <c r="C58" s="2" t="s">
        <v>63</v>
      </c>
      <c r="D58" s="3"/>
      <c r="E58" s="4">
        <v>1.0E8</v>
      </c>
      <c r="F58" s="4" t="s">
        <v>3</v>
      </c>
      <c r="G58" s="3">
        <v>3.3637542995E8</v>
      </c>
      <c r="H58" s="3"/>
      <c r="I58" s="6" t="s">
        <v>8</v>
      </c>
    </row>
    <row r="59">
      <c r="A59" s="1">
        <v>46145.0</v>
      </c>
      <c r="B59" s="2" t="s">
        <v>13</v>
      </c>
      <c r="C59" s="2" t="s">
        <v>64</v>
      </c>
      <c r="D59" s="4">
        <v>99400.0</v>
      </c>
      <c r="E59" s="3"/>
      <c r="F59" s="3"/>
      <c r="G59" s="3">
        <v>3.3627602995E8</v>
      </c>
      <c r="H59" s="3"/>
      <c r="I59" s="6" t="s">
        <v>8</v>
      </c>
    </row>
    <row r="60">
      <c r="A60" s="1">
        <v>46145.0</v>
      </c>
      <c r="B60" s="2" t="s">
        <v>23</v>
      </c>
      <c r="C60" s="2" t="s">
        <v>65</v>
      </c>
      <c r="D60" s="3"/>
      <c r="E60" s="4">
        <v>2.7630827E8</v>
      </c>
      <c r="F60" s="4" t="s">
        <v>3</v>
      </c>
      <c r="G60" s="3">
        <v>6.1258429995E8</v>
      </c>
      <c r="H60" s="3"/>
      <c r="I60" s="6"/>
    </row>
    <row r="61">
      <c r="A61" s="1">
        <v>46145.0</v>
      </c>
      <c r="B61" s="2" t="s">
        <v>4</v>
      </c>
      <c r="C61" s="2" t="s">
        <v>66</v>
      </c>
      <c r="D61" s="4">
        <v>1.452E8</v>
      </c>
      <c r="E61" s="3"/>
      <c r="F61" s="4" t="s">
        <v>6</v>
      </c>
      <c r="G61" s="3">
        <v>4.6738429995000005E8</v>
      </c>
      <c r="H61" s="3"/>
      <c r="I61" s="6" t="s">
        <v>8</v>
      </c>
    </row>
    <row r="62">
      <c r="A62" s="1">
        <v>46145.0</v>
      </c>
      <c r="B62" s="2" t="s">
        <v>4</v>
      </c>
      <c r="C62" s="2" t="s">
        <v>67</v>
      </c>
      <c r="D62" s="4">
        <v>1500000.0</v>
      </c>
      <c r="E62" s="3"/>
      <c r="F62" s="4" t="s">
        <v>6</v>
      </c>
      <c r="G62" s="3">
        <v>4.6588429995000005E8</v>
      </c>
      <c r="H62" s="4">
        <v>4.6588429995E8</v>
      </c>
      <c r="I62" s="6" t="s">
        <v>8</v>
      </c>
    </row>
    <row r="63">
      <c r="A63" s="1">
        <v>46145.0</v>
      </c>
      <c r="B63" s="2" t="s">
        <v>4</v>
      </c>
      <c r="C63" s="2" t="s">
        <v>68</v>
      </c>
      <c r="D63" s="4">
        <v>3901120.0</v>
      </c>
      <c r="E63" s="3"/>
      <c r="F63" s="4" t="s">
        <v>6</v>
      </c>
      <c r="G63" s="3">
        <v>4.6198317995000005E8</v>
      </c>
      <c r="H63" s="4">
        <v>4.6198317995E8</v>
      </c>
      <c r="I63" s="6"/>
    </row>
    <row r="64">
      <c r="A64" s="1">
        <v>46146.0</v>
      </c>
      <c r="B64" s="2" t="s">
        <v>4</v>
      </c>
      <c r="C64" s="2" t="s">
        <v>69</v>
      </c>
      <c r="D64" s="4">
        <v>1957600.0</v>
      </c>
      <c r="E64" s="3"/>
      <c r="F64" s="4" t="s">
        <v>6</v>
      </c>
      <c r="G64" s="3">
        <v>4.6002557995000005E8</v>
      </c>
      <c r="H64" s="3"/>
      <c r="I64" s="6"/>
    </row>
    <row r="65">
      <c r="A65" s="1">
        <v>46146.0</v>
      </c>
      <c r="B65" s="2" t="s">
        <v>4</v>
      </c>
      <c r="C65" s="2" t="s">
        <v>70</v>
      </c>
      <c r="D65" s="4">
        <v>5788400.0</v>
      </c>
      <c r="E65" s="3"/>
      <c r="F65" s="4" t="s">
        <v>6</v>
      </c>
      <c r="G65" s="3">
        <v>4.5423717995000005E8</v>
      </c>
      <c r="H65" s="3"/>
      <c r="I65" s="6"/>
    </row>
    <row r="66">
      <c r="A66" s="1">
        <v>46146.0</v>
      </c>
      <c r="B66" s="2" t="s">
        <v>4</v>
      </c>
      <c r="C66" s="2" t="s">
        <v>71</v>
      </c>
      <c r="D66" s="4">
        <v>1.532832E8</v>
      </c>
      <c r="E66" s="3"/>
      <c r="F66" s="4" t="s">
        <v>6</v>
      </c>
      <c r="G66" s="3">
        <v>3.0095397995000005E8</v>
      </c>
      <c r="H66" s="3"/>
      <c r="I66" s="6"/>
    </row>
    <row r="67">
      <c r="A67" s="1">
        <v>46146.0</v>
      </c>
      <c r="B67" s="2" t="s">
        <v>4</v>
      </c>
      <c r="C67" s="2" t="s">
        <v>72</v>
      </c>
      <c r="D67" s="4">
        <v>6.4E7</v>
      </c>
      <c r="E67" s="3"/>
      <c r="F67" s="4" t="s">
        <v>6</v>
      </c>
      <c r="G67" s="3">
        <v>2.3695397995000005E8</v>
      </c>
      <c r="H67" s="3"/>
      <c r="I67" s="6"/>
    </row>
    <row r="68">
      <c r="A68" s="1">
        <v>46146.0</v>
      </c>
      <c r="B68" s="2" t="s">
        <v>4</v>
      </c>
      <c r="C68" s="2" t="s">
        <v>73</v>
      </c>
      <c r="D68" s="4">
        <v>7.340148E7</v>
      </c>
      <c r="E68" s="3"/>
      <c r="F68" s="4" t="s">
        <v>6</v>
      </c>
      <c r="G68" s="3">
        <v>1.6355249995000005E8</v>
      </c>
      <c r="H68" s="3"/>
      <c r="I68" s="6"/>
    </row>
    <row r="69">
      <c r="A69" s="1">
        <v>46146.0</v>
      </c>
      <c r="B69" s="2" t="s">
        <v>4</v>
      </c>
      <c r="C69" s="2" t="s">
        <v>74</v>
      </c>
      <c r="D69" s="4">
        <v>7.0E7</v>
      </c>
      <c r="E69" s="3"/>
      <c r="F69" s="4" t="s">
        <v>6</v>
      </c>
      <c r="G69" s="3">
        <v>9.355249995000005E7</v>
      </c>
      <c r="H69" s="3"/>
      <c r="I69" s="6"/>
    </row>
    <row r="70">
      <c r="A70" s="1">
        <v>46146.0</v>
      </c>
      <c r="B70" s="2" t="s">
        <v>23</v>
      </c>
      <c r="C70" s="2" t="s">
        <v>75</v>
      </c>
      <c r="D70" s="4"/>
      <c r="E70" s="4">
        <v>5.705E7</v>
      </c>
      <c r="F70" s="4" t="s">
        <v>3</v>
      </c>
      <c r="G70" s="3">
        <v>1.5060249995000005E8</v>
      </c>
      <c r="H70" s="3"/>
      <c r="I70" s="6"/>
    </row>
    <row r="71">
      <c r="A71" s="1">
        <v>46146.0</v>
      </c>
      <c r="B71" s="2" t="s">
        <v>4</v>
      </c>
      <c r="C71" s="2" t="s">
        <v>76</v>
      </c>
      <c r="D71" s="4">
        <v>1.3087796E8</v>
      </c>
      <c r="E71" s="3"/>
      <c r="F71" s="4" t="s">
        <v>6</v>
      </c>
      <c r="G71" s="3">
        <v>1.9724539950000048E7</v>
      </c>
      <c r="H71" s="3"/>
      <c r="I71" s="6"/>
    </row>
    <row r="72">
      <c r="A72" s="1">
        <v>46146.0</v>
      </c>
      <c r="B72" s="2" t="s">
        <v>4</v>
      </c>
      <c r="C72" s="2" t="s">
        <v>77</v>
      </c>
      <c r="D72" s="4">
        <v>1.96323E7</v>
      </c>
      <c r="E72" s="3"/>
      <c r="F72" s="4" t="s">
        <v>6</v>
      </c>
      <c r="G72" s="3">
        <v>92239.95000004768</v>
      </c>
      <c r="H72" s="3"/>
      <c r="I72" s="6"/>
    </row>
    <row r="73">
      <c r="A73" s="1">
        <v>46146.0</v>
      </c>
      <c r="B73" s="2" t="s">
        <v>23</v>
      </c>
      <c r="C73" s="2" t="s">
        <v>78</v>
      </c>
      <c r="D73" s="4"/>
      <c r="E73" s="4">
        <v>5.866108E7</v>
      </c>
      <c r="F73" s="4" t="s">
        <v>3</v>
      </c>
      <c r="G73" s="3">
        <v>5.875331995000005E7</v>
      </c>
      <c r="H73" s="3"/>
      <c r="I73" s="6"/>
    </row>
    <row r="74">
      <c r="A74" s="1">
        <v>46146.0</v>
      </c>
      <c r="B74" s="2" t="s">
        <v>23</v>
      </c>
      <c r="C74" s="2" t="s">
        <v>79</v>
      </c>
      <c r="D74" s="4"/>
      <c r="E74" s="4">
        <v>3.754704E7</v>
      </c>
      <c r="F74" s="4" t="s">
        <v>3</v>
      </c>
      <c r="G74" s="3">
        <v>9.630035995000005E7</v>
      </c>
      <c r="H74" s="3"/>
      <c r="I74" s="6"/>
    </row>
    <row r="75">
      <c r="A75" s="1">
        <v>46146.0</v>
      </c>
      <c r="B75" s="2" t="s">
        <v>23</v>
      </c>
      <c r="C75" s="2" t="s">
        <v>80</v>
      </c>
      <c r="D75" s="4"/>
      <c r="E75" s="4">
        <v>2.2594276E8</v>
      </c>
      <c r="F75" s="4" t="s">
        <v>3</v>
      </c>
      <c r="G75" s="3">
        <v>3.2224311995000005E8</v>
      </c>
      <c r="H75" s="4">
        <v>3.2224311995E8</v>
      </c>
      <c r="I75" s="6"/>
    </row>
    <row r="76">
      <c r="A76" s="1">
        <v>46146.0</v>
      </c>
      <c r="B76" s="2" t="s">
        <v>23</v>
      </c>
      <c r="C76" s="2" t="s">
        <v>81</v>
      </c>
      <c r="D76" s="4"/>
      <c r="E76" s="4">
        <v>5.245395E7</v>
      </c>
      <c r="F76" s="4" t="s">
        <v>3</v>
      </c>
      <c r="G76" s="3">
        <v>3.7469706995000005E8</v>
      </c>
      <c r="H76" s="4">
        <v>3.7469706995E8</v>
      </c>
      <c r="I76" s="6"/>
    </row>
    <row r="77">
      <c r="A77" s="1">
        <v>46146.0</v>
      </c>
      <c r="B77" s="2" t="s">
        <v>13</v>
      </c>
      <c r="C77" s="2" t="s">
        <v>82</v>
      </c>
      <c r="D77" s="4">
        <v>206400.0</v>
      </c>
      <c r="E77" s="3"/>
      <c r="F77" s="3"/>
      <c r="G77" s="3">
        <v>3.7449066995000005E8</v>
      </c>
      <c r="H77" s="3"/>
      <c r="I77" s="6"/>
    </row>
    <row r="78">
      <c r="A78" s="1">
        <v>46146.0</v>
      </c>
      <c r="B78" s="2" t="s">
        <v>23</v>
      </c>
      <c r="C78" s="2" t="s">
        <v>83</v>
      </c>
      <c r="D78" s="4"/>
      <c r="E78" s="4">
        <v>5.01725E7</v>
      </c>
      <c r="F78" s="4" t="s">
        <v>3</v>
      </c>
      <c r="G78" s="3">
        <v>4.2466316995000005E8</v>
      </c>
      <c r="H78" s="3"/>
      <c r="I78" s="6"/>
    </row>
    <row r="79">
      <c r="A79" s="1">
        <v>46146.0</v>
      </c>
      <c r="B79" s="2" t="s">
        <v>23</v>
      </c>
      <c r="C79" s="2" t="s">
        <v>84</v>
      </c>
      <c r="D79" s="4"/>
      <c r="E79" s="4">
        <v>1.0E8</v>
      </c>
      <c r="F79" s="4" t="s">
        <v>3</v>
      </c>
      <c r="G79" s="3">
        <v>5.2466316995000005E8</v>
      </c>
      <c r="H79" s="3"/>
      <c r="I79" s="6"/>
    </row>
    <row r="80">
      <c r="A80" s="1">
        <v>46146.0</v>
      </c>
      <c r="B80" s="2" t="s">
        <v>4</v>
      </c>
      <c r="C80" s="2" t="s">
        <v>85</v>
      </c>
      <c r="D80" s="4">
        <v>1.938E8</v>
      </c>
      <c r="E80" s="3"/>
      <c r="F80" s="4" t="s">
        <v>6</v>
      </c>
      <c r="G80" s="3">
        <v>3.3086316995000005E8</v>
      </c>
      <c r="H80" s="3"/>
      <c r="I80" s="6"/>
    </row>
    <row r="81">
      <c r="A81" s="1">
        <v>46146.0</v>
      </c>
      <c r="B81" s="2" t="s">
        <v>4</v>
      </c>
      <c r="C81" s="2" t="s">
        <v>86</v>
      </c>
      <c r="D81" s="4">
        <v>1000000.0</v>
      </c>
      <c r="E81" s="3"/>
      <c r="F81" s="4" t="s">
        <v>6</v>
      </c>
      <c r="G81" s="3">
        <v>3.2986316995000005E8</v>
      </c>
      <c r="H81" s="3"/>
      <c r="I81" s="6"/>
    </row>
    <row r="82">
      <c r="A82" s="1">
        <v>46146.0</v>
      </c>
      <c r="B82" s="2" t="s">
        <v>4</v>
      </c>
      <c r="C82" s="2" t="s">
        <v>87</v>
      </c>
      <c r="D82" s="4">
        <v>5.85856E7</v>
      </c>
      <c r="E82" s="3"/>
      <c r="F82" s="4" t="s">
        <v>6</v>
      </c>
      <c r="G82" s="3">
        <v>2.7127756995000005E8</v>
      </c>
      <c r="H82" s="3"/>
      <c r="I82" s="6"/>
    </row>
    <row r="83">
      <c r="A83" s="1">
        <v>46146.0</v>
      </c>
      <c r="B83" s="2" t="s">
        <v>4</v>
      </c>
      <c r="C83" s="2" t="s">
        <v>88</v>
      </c>
      <c r="D83" s="4">
        <v>5.72751E7</v>
      </c>
      <c r="E83" s="3"/>
      <c r="F83" s="4" t="s">
        <v>6</v>
      </c>
      <c r="G83" s="3">
        <v>2.1400246995000005E8</v>
      </c>
      <c r="H83" s="3"/>
      <c r="I83" s="6"/>
    </row>
    <row r="84">
      <c r="A84" s="1">
        <v>46146.0</v>
      </c>
      <c r="B84" s="2" t="s">
        <v>4</v>
      </c>
      <c r="C84" s="2" t="s">
        <v>89</v>
      </c>
      <c r="D84" s="4">
        <v>1.0E8</v>
      </c>
      <c r="E84" s="3"/>
      <c r="F84" s="4" t="s">
        <v>6</v>
      </c>
      <c r="G84" s="3">
        <v>1.1400246995000005E8</v>
      </c>
      <c r="H84" s="3"/>
      <c r="I84" s="6"/>
    </row>
    <row r="85">
      <c r="A85" s="1">
        <v>46146.0</v>
      </c>
      <c r="B85" s="2" t="s">
        <v>4</v>
      </c>
      <c r="C85" s="2" t="s">
        <v>90</v>
      </c>
      <c r="D85" s="4">
        <v>4.83636E7</v>
      </c>
      <c r="E85" s="3"/>
      <c r="F85" s="4" t="s">
        <v>6</v>
      </c>
      <c r="G85" s="3">
        <v>6.563886995000005E7</v>
      </c>
      <c r="H85" s="3"/>
      <c r="I85" s="6"/>
    </row>
    <row r="86">
      <c r="A86" s="1">
        <v>46146.0</v>
      </c>
      <c r="B86" s="2" t="s">
        <v>4</v>
      </c>
      <c r="C86" s="2" t="s">
        <v>91</v>
      </c>
      <c r="D86" s="4">
        <v>5.81328E7</v>
      </c>
      <c r="E86" s="3"/>
      <c r="F86" s="4" t="s">
        <v>6</v>
      </c>
      <c r="G86" s="3">
        <v>7506069.950000048</v>
      </c>
      <c r="H86" s="3"/>
      <c r="I86" s="6"/>
    </row>
    <row r="87">
      <c r="A87" s="1">
        <v>46146.0</v>
      </c>
      <c r="B87" s="2" t="s">
        <v>23</v>
      </c>
      <c r="C87" s="2" t="s">
        <v>92</v>
      </c>
      <c r="D87" s="4"/>
      <c r="E87" s="4">
        <v>1.000561E8</v>
      </c>
      <c r="F87" s="4" t="s">
        <v>3</v>
      </c>
      <c r="G87" s="3">
        <v>1.0756216995000005E8</v>
      </c>
      <c r="H87" s="4">
        <v>1.0756216995E8</v>
      </c>
      <c r="I87" s="6"/>
    </row>
    <row r="88">
      <c r="A88" s="1">
        <v>46147.0</v>
      </c>
      <c r="B88" s="2" t="s">
        <v>93</v>
      </c>
      <c r="C88" s="2" t="s">
        <v>94</v>
      </c>
      <c r="D88" s="4">
        <v>1000000.0</v>
      </c>
      <c r="E88" s="3"/>
      <c r="F88" s="4" t="s">
        <v>6</v>
      </c>
      <c r="G88" s="3">
        <v>1.0656216995000005E8</v>
      </c>
      <c r="H88" s="4">
        <v>1.0656216995E8</v>
      </c>
      <c r="I88" s="6"/>
    </row>
    <row r="89">
      <c r="A89" s="1">
        <v>46147.0</v>
      </c>
      <c r="B89" s="2" t="s">
        <v>4</v>
      </c>
      <c r="C89" s="2" t="s">
        <v>95</v>
      </c>
      <c r="D89" s="4">
        <v>9.57E7</v>
      </c>
      <c r="E89" s="3"/>
      <c r="F89" s="4" t="s">
        <v>6</v>
      </c>
      <c r="G89" s="3">
        <v>1.0862169950000048E7</v>
      </c>
      <c r="H89" s="4">
        <v>1.086216995E7</v>
      </c>
      <c r="I89" s="6"/>
    </row>
    <row r="90">
      <c r="A90" s="1">
        <v>46147.0</v>
      </c>
      <c r="B90" s="2" t="s">
        <v>4</v>
      </c>
      <c r="C90" s="2" t="s">
        <v>96</v>
      </c>
      <c r="D90" s="4">
        <v>4660550.0</v>
      </c>
      <c r="E90" s="3"/>
      <c r="F90" s="4" t="s">
        <v>6</v>
      </c>
      <c r="G90" s="3">
        <v>6201619.950000048</v>
      </c>
      <c r="H90" s="3"/>
      <c r="I90" s="6"/>
    </row>
    <row r="91">
      <c r="A91" s="1">
        <v>46147.0</v>
      </c>
      <c r="B91" s="2" t="s">
        <v>4</v>
      </c>
      <c r="C91" s="2" t="s">
        <v>97</v>
      </c>
      <c r="D91" s="4">
        <v>2963240.0</v>
      </c>
      <c r="E91" s="3"/>
      <c r="F91" s="4" t="s">
        <v>6</v>
      </c>
      <c r="G91" s="3">
        <v>3238379.9500000477</v>
      </c>
      <c r="H91" s="3"/>
      <c r="I91" s="6"/>
    </row>
    <row r="92">
      <c r="A92" s="1">
        <v>46147.0</v>
      </c>
      <c r="B92" s="2" t="s">
        <v>26</v>
      </c>
      <c r="C92" s="2" t="s">
        <v>98</v>
      </c>
      <c r="D92" s="4">
        <v>2500000.0</v>
      </c>
      <c r="E92" s="3"/>
      <c r="F92" s="4" t="s">
        <v>6</v>
      </c>
      <c r="G92" s="3">
        <v>738379.9500000477</v>
      </c>
      <c r="H92" s="3"/>
      <c r="I92" s="6"/>
    </row>
    <row r="93">
      <c r="A93" s="1">
        <v>46147.0</v>
      </c>
      <c r="B93" s="2" t="s">
        <v>26</v>
      </c>
      <c r="C93" s="2" t="s">
        <v>99</v>
      </c>
      <c r="D93" s="4">
        <v>2500.0</v>
      </c>
      <c r="E93" s="3"/>
      <c r="F93" s="4" t="s">
        <v>6</v>
      </c>
      <c r="G93" s="3">
        <v>735879.9500000477</v>
      </c>
      <c r="H93" s="3"/>
      <c r="I93" s="6"/>
    </row>
    <row r="94">
      <c r="A94" s="1">
        <v>46147.0</v>
      </c>
      <c r="B94" s="2" t="s">
        <v>23</v>
      </c>
      <c r="C94" s="2" t="s">
        <v>100</v>
      </c>
      <c r="D94" s="4"/>
      <c r="E94" s="4">
        <v>1.561796E8</v>
      </c>
      <c r="F94" s="4" t="s">
        <v>3</v>
      </c>
      <c r="G94" s="3">
        <v>1.5691547995000005E8</v>
      </c>
      <c r="H94" s="3"/>
      <c r="I94" s="6"/>
    </row>
    <row r="95">
      <c r="A95" s="1">
        <v>46147.0</v>
      </c>
      <c r="B95" s="2" t="s">
        <v>23</v>
      </c>
      <c r="C95" s="2" t="s">
        <v>101</v>
      </c>
      <c r="D95" s="4"/>
      <c r="E95" s="4">
        <v>3.1424575E8</v>
      </c>
      <c r="F95" s="4" t="s">
        <v>3</v>
      </c>
      <c r="G95" s="3">
        <v>4.7116122995000005E8</v>
      </c>
      <c r="H95" s="3"/>
      <c r="I95" s="6"/>
    </row>
    <row r="96">
      <c r="A96" s="1">
        <v>46147.0</v>
      </c>
      <c r="B96" s="2" t="s">
        <v>4</v>
      </c>
      <c r="C96" s="2" t="s">
        <v>102</v>
      </c>
      <c r="D96" s="4">
        <v>1.834256E8</v>
      </c>
      <c r="E96" s="3"/>
      <c r="F96" s="4" t="s">
        <v>6</v>
      </c>
      <c r="G96" s="3">
        <v>2.8773562995000005E8</v>
      </c>
      <c r="H96" s="3"/>
      <c r="I96" s="6"/>
    </row>
    <row r="97">
      <c r="A97" s="1">
        <v>46147.0</v>
      </c>
      <c r="B97" s="2" t="s">
        <v>4</v>
      </c>
      <c r="C97" s="2" t="s">
        <v>103</v>
      </c>
      <c r="D97" s="4">
        <v>1.152573E8</v>
      </c>
      <c r="E97" s="3"/>
      <c r="F97" s="4" t="s">
        <v>6</v>
      </c>
      <c r="G97" s="3">
        <v>1.7247832995000005E8</v>
      </c>
      <c r="H97" s="3"/>
      <c r="I97" s="6"/>
    </row>
    <row r="98">
      <c r="A98" s="1">
        <v>46147.0</v>
      </c>
      <c r="B98" s="2" t="s">
        <v>4</v>
      </c>
      <c r="C98" s="2" t="s">
        <v>104</v>
      </c>
      <c r="D98" s="4">
        <v>1.4865274E8</v>
      </c>
      <c r="E98" s="3"/>
      <c r="F98" s="4" t="s">
        <v>6</v>
      </c>
      <c r="G98" s="3">
        <v>2.3825589950000048E7</v>
      </c>
      <c r="H98" s="3"/>
      <c r="I98" s="6"/>
    </row>
    <row r="99">
      <c r="A99" s="1">
        <v>46147.0</v>
      </c>
      <c r="B99" s="2" t="s">
        <v>4</v>
      </c>
      <c r="C99" s="2" t="s">
        <v>105</v>
      </c>
      <c r="D99" s="4">
        <v>911980.0</v>
      </c>
      <c r="E99" s="3"/>
      <c r="F99" s="4" t="s">
        <v>6</v>
      </c>
      <c r="G99" s="3">
        <v>2.2913609950000048E7</v>
      </c>
      <c r="H99" s="3"/>
      <c r="I99" s="6"/>
    </row>
    <row r="100">
      <c r="A100" s="1">
        <v>46147.0</v>
      </c>
      <c r="B100" s="2" t="s">
        <v>4</v>
      </c>
      <c r="C100" s="2" t="s">
        <v>106</v>
      </c>
      <c r="D100" s="4">
        <v>2.0E7</v>
      </c>
      <c r="E100" s="3"/>
      <c r="F100" s="4" t="s">
        <v>6</v>
      </c>
      <c r="G100" s="3">
        <v>2913609.9500000477</v>
      </c>
      <c r="H100" s="3"/>
      <c r="I100" s="6"/>
    </row>
    <row r="101">
      <c r="A101" s="1">
        <v>46147.0</v>
      </c>
      <c r="B101" s="2" t="s">
        <v>23</v>
      </c>
      <c r="C101" s="2" t="s">
        <v>107</v>
      </c>
      <c r="D101" s="4"/>
      <c r="E101" s="4">
        <v>5.184452E7</v>
      </c>
      <c r="F101" s="4" t="s">
        <v>3</v>
      </c>
      <c r="G101" s="3">
        <v>5.475812995000005E7</v>
      </c>
      <c r="H101" s="4">
        <v>5.475812995E7</v>
      </c>
      <c r="I101" s="6"/>
    </row>
    <row r="102">
      <c r="A102" s="1">
        <v>46147.0</v>
      </c>
      <c r="B102" s="2" t="s">
        <v>4</v>
      </c>
      <c r="C102" s="2" t="s">
        <v>108</v>
      </c>
      <c r="D102" s="4">
        <v>2.93E7</v>
      </c>
      <c r="E102" s="3"/>
      <c r="F102" s="4" t="s">
        <v>6</v>
      </c>
      <c r="G102" s="3">
        <v>2.5458129950000048E7</v>
      </c>
      <c r="H102" s="4">
        <v>2.545812995E7</v>
      </c>
      <c r="I102" s="6"/>
    </row>
    <row r="103">
      <c r="A103" s="1">
        <v>46148.0</v>
      </c>
      <c r="B103" s="2" t="s">
        <v>109</v>
      </c>
      <c r="C103" s="2" t="s">
        <v>110</v>
      </c>
      <c r="D103" s="4"/>
      <c r="E103" s="4">
        <v>1.5129243E8</v>
      </c>
      <c r="F103" s="4" t="s">
        <v>3</v>
      </c>
      <c r="G103" s="3">
        <v>1.7675055995000005E8</v>
      </c>
      <c r="H103" s="3"/>
      <c r="I103" s="6"/>
    </row>
    <row r="104">
      <c r="A104" s="1">
        <v>46148.0</v>
      </c>
      <c r="B104" s="2" t="s">
        <v>4</v>
      </c>
      <c r="C104" s="2" t="s">
        <v>111</v>
      </c>
      <c r="D104" s="4">
        <v>1500000.0</v>
      </c>
      <c r="E104" s="3"/>
      <c r="F104" s="4" t="s">
        <v>6</v>
      </c>
      <c r="G104" s="3">
        <v>1.7525055995000005E8</v>
      </c>
      <c r="H104" s="3"/>
      <c r="I104" s="6"/>
    </row>
    <row r="105">
      <c r="A105" s="1">
        <v>46148.0</v>
      </c>
      <c r="B105" s="2" t="s">
        <v>4</v>
      </c>
      <c r="C105" s="2" t="s">
        <v>112</v>
      </c>
      <c r="D105" s="4">
        <v>2349830.0</v>
      </c>
      <c r="E105" s="3"/>
      <c r="F105" s="4" t="s">
        <v>6</v>
      </c>
      <c r="G105" s="3">
        <v>1.7290072995000005E8</v>
      </c>
      <c r="H105" s="3"/>
      <c r="I105" s="6"/>
    </row>
    <row r="106">
      <c r="A106" s="1">
        <v>46148.0</v>
      </c>
      <c r="B106" s="2" t="s">
        <v>4</v>
      </c>
      <c r="C106" s="2" t="s">
        <v>113</v>
      </c>
      <c r="D106" s="4">
        <v>2898880.0</v>
      </c>
      <c r="E106" s="3"/>
      <c r="F106" s="4" t="s">
        <v>6</v>
      </c>
      <c r="G106" s="3">
        <v>1.7000184995000005E8</v>
      </c>
      <c r="H106" s="3"/>
      <c r="I106" s="6"/>
    </row>
    <row r="107">
      <c r="A107" s="1">
        <v>46148.0</v>
      </c>
      <c r="B107" s="2" t="s">
        <v>4</v>
      </c>
      <c r="C107" s="2" t="s">
        <v>114</v>
      </c>
      <c r="D107" s="4">
        <v>6.42378E7</v>
      </c>
      <c r="E107" s="3"/>
      <c r="F107" s="4" t="s">
        <v>6</v>
      </c>
      <c r="G107" s="3">
        <v>1.0576404995000005E8</v>
      </c>
      <c r="H107" s="3"/>
      <c r="I107" s="6"/>
    </row>
    <row r="108">
      <c r="A108" s="1">
        <v>46148.0</v>
      </c>
      <c r="B108" s="2" t="s">
        <v>4</v>
      </c>
      <c r="C108" s="2" t="s">
        <v>115</v>
      </c>
      <c r="D108" s="4">
        <v>2.42378E7</v>
      </c>
      <c r="E108" s="3"/>
      <c r="F108" s="4" t="s">
        <v>6</v>
      </c>
      <c r="G108" s="3">
        <v>8.152624995000005E7</v>
      </c>
      <c r="H108" s="3"/>
      <c r="I108" s="6"/>
    </row>
    <row r="109">
      <c r="A109" s="1">
        <v>46148.0</v>
      </c>
      <c r="B109" s="2" t="s">
        <v>4</v>
      </c>
      <c r="C109" s="2" t="s">
        <v>116</v>
      </c>
      <c r="D109" s="4">
        <v>5824900.0</v>
      </c>
      <c r="E109" s="3"/>
      <c r="F109" s="4" t="s">
        <v>6</v>
      </c>
      <c r="G109" s="3">
        <v>7.570134995000005E7</v>
      </c>
      <c r="H109" s="3"/>
      <c r="I109" s="6"/>
    </row>
    <row r="110">
      <c r="A110" s="1">
        <v>46148.0</v>
      </c>
      <c r="B110" s="2" t="s">
        <v>4</v>
      </c>
      <c r="C110" s="2" t="s">
        <v>117</v>
      </c>
      <c r="D110" s="4">
        <v>300000.0</v>
      </c>
      <c r="E110" s="3"/>
      <c r="F110" s="4" t="s">
        <v>6</v>
      </c>
      <c r="G110" s="3">
        <v>7.540134995000005E7</v>
      </c>
      <c r="H110" s="3"/>
      <c r="I110" s="6"/>
    </row>
    <row r="111">
      <c r="A111" s="1">
        <v>46148.0</v>
      </c>
      <c r="B111" s="2" t="s">
        <v>4</v>
      </c>
      <c r="C111" s="2" t="s">
        <v>118</v>
      </c>
      <c r="D111" s="4">
        <v>5.888025E7</v>
      </c>
      <c r="E111" s="3"/>
      <c r="F111" s="4" t="s">
        <v>6</v>
      </c>
      <c r="G111" s="3">
        <v>1.6521099950000048E7</v>
      </c>
      <c r="H111" s="3"/>
      <c r="I111" s="6"/>
    </row>
    <row r="112">
      <c r="A112" s="1">
        <v>46148.0</v>
      </c>
      <c r="B112" s="2" t="s">
        <v>4</v>
      </c>
      <c r="C112" s="2" t="s">
        <v>119</v>
      </c>
      <c r="D112" s="4">
        <v>200000.0</v>
      </c>
      <c r="E112" s="3"/>
      <c r="F112" s="4" t="s">
        <v>6</v>
      </c>
      <c r="G112" s="3">
        <v>1.6321099950000048E7</v>
      </c>
      <c r="H112" s="3"/>
      <c r="I112" s="6"/>
    </row>
    <row r="113">
      <c r="A113" s="1">
        <v>46148.0</v>
      </c>
      <c r="B113" s="2" t="s">
        <v>23</v>
      </c>
      <c r="C113" s="2" t="s">
        <v>120</v>
      </c>
      <c r="D113" s="4"/>
      <c r="E113" s="4">
        <v>1.0E8</v>
      </c>
      <c r="F113" s="4" t="s">
        <v>3</v>
      </c>
      <c r="G113" s="3">
        <v>1.1632109995000005E8</v>
      </c>
      <c r="H113" s="3"/>
      <c r="I113" s="6"/>
    </row>
    <row r="114">
      <c r="A114" s="1">
        <v>46148.0</v>
      </c>
      <c r="B114" s="2" t="s">
        <v>23</v>
      </c>
      <c r="C114" s="2" t="s">
        <v>121</v>
      </c>
      <c r="D114" s="4"/>
      <c r="E114" s="4">
        <v>6275000.0</v>
      </c>
      <c r="F114" s="4" t="s">
        <v>3</v>
      </c>
      <c r="G114" s="3">
        <v>1.2259609995000005E8</v>
      </c>
      <c r="H114" s="3"/>
      <c r="I114" s="6"/>
    </row>
    <row r="115">
      <c r="A115" s="1">
        <v>46148.0</v>
      </c>
      <c r="B115" s="2" t="s">
        <v>23</v>
      </c>
      <c r="C115" s="2" t="s">
        <v>122</v>
      </c>
      <c r="D115" s="4"/>
      <c r="E115" s="4">
        <v>4.52264426E8</v>
      </c>
      <c r="F115" s="4" t="s">
        <v>3</v>
      </c>
      <c r="G115" s="3">
        <v>5.7486052595E8</v>
      </c>
      <c r="H115" s="4">
        <v>5.7486052595E8</v>
      </c>
      <c r="I115" s="6"/>
    </row>
    <row r="116">
      <c r="A116" s="1">
        <v>46148.0</v>
      </c>
      <c r="B116" s="2" t="s">
        <v>23</v>
      </c>
      <c r="C116" s="2" t="s">
        <v>123</v>
      </c>
      <c r="D116" s="4"/>
      <c r="E116" s="4">
        <v>5.520242E7</v>
      </c>
      <c r="F116" s="4" t="s">
        <v>3</v>
      </c>
      <c r="G116" s="3">
        <v>6.3006294595E8</v>
      </c>
      <c r="H116" s="4">
        <v>6.3006294595E8</v>
      </c>
      <c r="I116" s="6"/>
    </row>
    <row r="117">
      <c r="A117" s="1">
        <v>46148.0</v>
      </c>
      <c r="B117" s="2" t="s">
        <v>4</v>
      </c>
      <c r="C117" s="2" t="s">
        <v>124</v>
      </c>
      <c r="D117" s="4">
        <v>630700.0</v>
      </c>
      <c r="E117" s="3"/>
      <c r="F117" s="4" t="s">
        <v>6</v>
      </c>
      <c r="G117" s="3">
        <v>6.2943224595E8</v>
      </c>
      <c r="H117" s="3"/>
      <c r="I117" s="6"/>
    </row>
    <row r="118">
      <c r="A118" s="1">
        <v>46148.0</v>
      </c>
      <c r="B118" s="2" t="s">
        <v>4</v>
      </c>
      <c r="C118" s="2" t="s">
        <v>125</v>
      </c>
      <c r="D118" s="4">
        <v>9.719325E7</v>
      </c>
      <c r="E118" s="3"/>
      <c r="F118" s="4" t="s">
        <v>6</v>
      </c>
      <c r="G118" s="3">
        <v>5.3223899595000005E8</v>
      </c>
      <c r="H118" s="3"/>
      <c r="I118" s="6"/>
    </row>
    <row r="119">
      <c r="A119" s="1">
        <v>46148.0</v>
      </c>
      <c r="B119" s="2" t="s">
        <v>4</v>
      </c>
      <c r="C119" s="2" t="s">
        <v>126</v>
      </c>
      <c r="D119" s="4">
        <v>4.955445E7</v>
      </c>
      <c r="E119" s="3"/>
      <c r="F119" s="4" t="s">
        <v>6</v>
      </c>
      <c r="G119" s="3">
        <v>4.8268454595000005E8</v>
      </c>
      <c r="H119" s="3"/>
      <c r="I119" s="6"/>
    </row>
    <row r="120">
      <c r="A120" s="1">
        <v>46148.0</v>
      </c>
      <c r="B120" s="2" t="s">
        <v>4</v>
      </c>
      <c r="C120" s="2" t="s">
        <v>127</v>
      </c>
      <c r="D120" s="4">
        <v>4.64311E7</v>
      </c>
      <c r="E120" s="3"/>
      <c r="F120" s="4" t="s">
        <v>6</v>
      </c>
      <c r="G120" s="3">
        <v>4.3625344595000005E8</v>
      </c>
      <c r="H120" s="3"/>
      <c r="I120" s="6"/>
    </row>
    <row r="121">
      <c r="A121" s="1">
        <v>46148.0</v>
      </c>
      <c r="B121" s="2" t="s">
        <v>23</v>
      </c>
      <c r="C121" s="2" t="s">
        <v>128</v>
      </c>
      <c r="D121" s="4"/>
      <c r="E121" s="4">
        <v>5.472E7</v>
      </c>
      <c r="F121" s="4" t="s">
        <v>3</v>
      </c>
      <c r="G121" s="3">
        <v>4.9097344595000005E8</v>
      </c>
      <c r="H121" s="3"/>
      <c r="I121" s="6"/>
    </row>
    <row r="122">
      <c r="A122" s="1">
        <v>46148.0</v>
      </c>
      <c r="B122" s="2" t="s">
        <v>4</v>
      </c>
      <c r="C122" s="2" t="s">
        <v>129</v>
      </c>
      <c r="D122" s="4">
        <v>3.3242633E8</v>
      </c>
      <c r="E122" s="3"/>
      <c r="F122" s="4" t="s">
        <v>6</v>
      </c>
      <c r="G122" s="3">
        <v>1.5854711595000005E8</v>
      </c>
      <c r="H122" s="3"/>
      <c r="I122" s="6"/>
    </row>
    <row r="123">
      <c r="A123" s="1">
        <v>46148.0</v>
      </c>
      <c r="B123" s="2" t="s">
        <v>13</v>
      </c>
      <c r="C123" s="2" t="s">
        <v>64</v>
      </c>
      <c r="D123" s="4">
        <v>386600.0</v>
      </c>
      <c r="E123" s="3"/>
      <c r="F123" s="3"/>
      <c r="G123" s="3">
        <v>1.5816051595000005E8</v>
      </c>
      <c r="H123" s="3"/>
      <c r="I123" s="6"/>
    </row>
    <row r="124">
      <c r="A124" s="1">
        <v>46148.0</v>
      </c>
      <c r="B124" s="2" t="s">
        <v>23</v>
      </c>
      <c r="C124" s="2" t="s">
        <v>130</v>
      </c>
      <c r="D124" s="4"/>
      <c r="E124" s="4">
        <v>9.831095E7</v>
      </c>
      <c r="F124" s="4" t="s">
        <v>3</v>
      </c>
      <c r="G124" s="3">
        <v>2.5647146595000005E8</v>
      </c>
      <c r="H124" s="4">
        <v>2.5647146595E8</v>
      </c>
      <c r="I124" s="6"/>
    </row>
    <row r="125">
      <c r="A125" s="1">
        <v>46149.0</v>
      </c>
      <c r="B125" s="2" t="s">
        <v>26</v>
      </c>
      <c r="C125" s="2" t="s">
        <v>131</v>
      </c>
      <c r="D125" s="4">
        <v>500000.0</v>
      </c>
      <c r="E125" s="3"/>
      <c r="F125" s="4" t="s">
        <v>6</v>
      </c>
      <c r="G125" s="3">
        <v>2.5597146595000005E8</v>
      </c>
      <c r="H125" s="3"/>
      <c r="I125" s="6"/>
    </row>
    <row r="126">
      <c r="A126" s="1">
        <v>46149.0</v>
      </c>
      <c r="B126" s="2" t="s">
        <v>26</v>
      </c>
      <c r="C126" s="2" t="s">
        <v>132</v>
      </c>
      <c r="D126" s="4">
        <v>2500.0</v>
      </c>
      <c r="E126" s="3"/>
      <c r="F126" s="4" t="s">
        <v>6</v>
      </c>
      <c r="G126" s="3">
        <v>2.5596896595000005E8</v>
      </c>
      <c r="H126" s="3"/>
      <c r="I126" s="6"/>
    </row>
    <row r="127">
      <c r="A127" s="1">
        <v>46149.0</v>
      </c>
      <c r="B127" s="2" t="s">
        <v>4</v>
      </c>
      <c r="C127" s="2" t="s">
        <v>133</v>
      </c>
      <c r="D127" s="4">
        <v>1592260.0</v>
      </c>
      <c r="E127" s="3"/>
      <c r="F127" s="4" t="s">
        <v>6</v>
      </c>
      <c r="G127" s="3">
        <v>2.5437670595000005E8</v>
      </c>
      <c r="H127" s="3"/>
      <c r="I127" s="6"/>
    </row>
    <row r="128">
      <c r="A128" s="1">
        <v>46149.0</v>
      </c>
      <c r="B128" s="2" t="s">
        <v>4</v>
      </c>
      <c r="C128" s="2" t="s">
        <v>134</v>
      </c>
      <c r="D128" s="4">
        <v>1918620.0</v>
      </c>
      <c r="E128" s="3"/>
      <c r="F128" s="4" t="s">
        <v>6</v>
      </c>
      <c r="G128" s="3">
        <v>2.5245808595000005E8</v>
      </c>
      <c r="H128" s="4">
        <v>2.5245808595E8</v>
      </c>
      <c r="I128" s="6"/>
    </row>
    <row r="129">
      <c r="A129" s="1">
        <v>46149.0</v>
      </c>
      <c r="B129" s="2" t="s">
        <v>23</v>
      </c>
      <c r="C129" s="2" t="s">
        <v>135</v>
      </c>
      <c r="D129" s="4"/>
      <c r="E129" s="4">
        <v>5.92371E7</v>
      </c>
      <c r="F129" s="4" t="s">
        <v>3</v>
      </c>
      <c r="G129" s="3">
        <v>3.1169518595000005E8</v>
      </c>
      <c r="H129" s="4">
        <v>3.1169518595E8</v>
      </c>
      <c r="I129" s="6"/>
    </row>
    <row r="130">
      <c r="A130" s="1">
        <v>46149.0</v>
      </c>
      <c r="B130" s="2" t="s">
        <v>136</v>
      </c>
      <c r="C130" s="2" t="s">
        <v>137</v>
      </c>
      <c r="D130" s="4"/>
      <c r="E130" s="4">
        <v>700000.0</v>
      </c>
      <c r="F130" s="4" t="s">
        <v>3</v>
      </c>
      <c r="G130" s="3">
        <v>3.1239518595000005E8</v>
      </c>
      <c r="H130" s="3"/>
      <c r="I130" s="6"/>
    </row>
    <row r="131">
      <c r="A131" s="1">
        <v>46149.0</v>
      </c>
      <c r="B131" s="2" t="s">
        <v>13</v>
      </c>
      <c r="C131" s="2" t="s">
        <v>138</v>
      </c>
      <c r="D131" s="4">
        <v>59000.0</v>
      </c>
      <c r="E131" s="3"/>
      <c r="F131" s="3"/>
      <c r="G131" s="3">
        <v>3.1233618595000005E8</v>
      </c>
      <c r="H131" s="3"/>
      <c r="I131" s="6"/>
    </row>
    <row r="132">
      <c r="A132" s="1">
        <v>46149.0</v>
      </c>
      <c r="B132" s="2" t="s">
        <v>4</v>
      </c>
      <c r="C132" s="2" t="s">
        <v>139</v>
      </c>
      <c r="D132" s="4">
        <v>1.728E8</v>
      </c>
      <c r="E132" s="3"/>
      <c r="F132" s="4" t="s">
        <v>6</v>
      </c>
      <c r="G132" s="3">
        <v>1.3953618595000005E8</v>
      </c>
      <c r="H132" s="4">
        <v>1.3953618595E8</v>
      </c>
      <c r="I132" s="6"/>
    </row>
    <row r="133">
      <c r="A133" s="1">
        <v>46150.0</v>
      </c>
      <c r="B133" s="2" t="s">
        <v>140</v>
      </c>
      <c r="C133" s="2" t="s">
        <v>141</v>
      </c>
      <c r="D133" s="4">
        <v>1000000.0</v>
      </c>
      <c r="E133" s="3"/>
      <c r="F133" s="4" t="s">
        <v>6</v>
      </c>
      <c r="G133" s="3">
        <v>1.3853618595000005E8</v>
      </c>
      <c r="H133" s="3"/>
      <c r="I133" s="6"/>
    </row>
    <row r="134">
      <c r="A134" s="1">
        <v>46150.0</v>
      </c>
      <c r="B134" s="2" t="s">
        <v>140</v>
      </c>
      <c r="C134" s="2" t="s">
        <v>142</v>
      </c>
      <c r="D134" s="4">
        <v>5.95085E7</v>
      </c>
      <c r="E134" s="3"/>
      <c r="F134" s="4" t="s">
        <v>6</v>
      </c>
      <c r="G134" s="3">
        <v>7.902768595000005E7</v>
      </c>
      <c r="H134" s="3"/>
      <c r="I134" s="6"/>
    </row>
    <row r="135">
      <c r="A135" s="1">
        <v>46150.0</v>
      </c>
      <c r="B135" s="2" t="s">
        <v>140</v>
      </c>
      <c r="C135" s="2" t="s">
        <v>143</v>
      </c>
      <c r="D135" s="4">
        <v>7.06144E7</v>
      </c>
      <c r="E135" s="3"/>
      <c r="F135" s="4" t="s">
        <v>6</v>
      </c>
      <c r="G135" s="3">
        <v>8413285.950000048</v>
      </c>
      <c r="H135" s="3"/>
      <c r="I135" s="6"/>
    </row>
    <row r="136">
      <c r="A136" s="1">
        <v>46150.0</v>
      </c>
      <c r="B136" s="2" t="s">
        <v>23</v>
      </c>
      <c r="C136" s="2" t="s">
        <v>144</v>
      </c>
      <c r="D136" s="4"/>
      <c r="E136" s="4">
        <v>2.3607407E8</v>
      </c>
      <c r="F136" s="4" t="s">
        <v>3</v>
      </c>
      <c r="G136" s="3">
        <v>2.4448735595000005E8</v>
      </c>
      <c r="H136" s="3"/>
      <c r="I136" s="6"/>
    </row>
    <row r="137">
      <c r="A137" s="1">
        <v>46150.0</v>
      </c>
      <c r="B137" s="2" t="s">
        <v>145</v>
      </c>
      <c r="C137" s="2" t="s">
        <v>145</v>
      </c>
      <c r="D137" s="4">
        <v>1700000.0</v>
      </c>
      <c r="E137" s="3"/>
      <c r="F137" s="3"/>
      <c r="G137" s="3">
        <v>2.4278735595000005E8</v>
      </c>
      <c r="H137" s="3"/>
      <c r="I137" s="6"/>
    </row>
    <row r="138">
      <c r="A138" s="1">
        <v>46150.0</v>
      </c>
      <c r="B138" s="2" t="s">
        <v>13</v>
      </c>
      <c r="C138" s="2" t="s">
        <v>146</v>
      </c>
      <c r="D138" s="4">
        <v>700000.0</v>
      </c>
      <c r="E138" s="3"/>
      <c r="F138" s="3"/>
      <c r="G138" s="3">
        <v>2.4208735595000005E8</v>
      </c>
      <c r="H138" s="3"/>
      <c r="I138" s="6"/>
    </row>
    <row r="139">
      <c r="A139" s="1">
        <v>46150.0</v>
      </c>
      <c r="B139" s="2" t="s">
        <v>4</v>
      </c>
      <c r="C139" s="2" t="s">
        <v>147</v>
      </c>
      <c r="D139" s="4">
        <v>1.01388E8</v>
      </c>
      <c r="E139" s="3"/>
      <c r="F139" s="4" t="s">
        <v>6</v>
      </c>
      <c r="G139" s="3">
        <v>1.4069935595000005E8</v>
      </c>
      <c r="H139" s="3"/>
      <c r="I139" s="6"/>
    </row>
    <row r="140">
      <c r="A140" s="1">
        <v>46150.0</v>
      </c>
      <c r="B140" s="2" t="s">
        <v>4</v>
      </c>
      <c r="C140" s="2" t="s">
        <v>148</v>
      </c>
      <c r="D140" s="4">
        <v>1.008032E8</v>
      </c>
      <c r="E140" s="3"/>
      <c r="F140" s="4" t="s">
        <v>6</v>
      </c>
      <c r="G140" s="3">
        <v>3.989615595000005E7</v>
      </c>
      <c r="H140" s="3"/>
      <c r="I140" s="6"/>
    </row>
    <row r="141">
      <c r="A141" s="1">
        <v>46150.0</v>
      </c>
      <c r="B141" s="2" t="s">
        <v>23</v>
      </c>
      <c r="C141" s="2" t="s">
        <v>149</v>
      </c>
      <c r="D141" s="4"/>
      <c r="E141" s="4">
        <v>6.37E7</v>
      </c>
      <c r="F141" s="4" t="s">
        <v>3</v>
      </c>
      <c r="G141" s="3">
        <v>1.0359615595000005E8</v>
      </c>
      <c r="H141" s="3"/>
      <c r="I141" s="6" t="s">
        <v>37</v>
      </c>
    </row>
    <row r="142">
      <c r="A142" s="1">
        <v>46150.0</v>
      </c>
      <c r="B142" s="2" t="s">
        <v>4</v>
      </c>
      <c r="C142" s="2" t="s">
        <v>150</v>
      </c>
      <c r="D142" s="4">
        <v>100000.0</v>
      </c>
      <c r="E142" s="3"/>
      <c r="F142" s="4" t="s">
        <v>6</v>
      </c>
      <c r="G142" s="3">
        <v>1.0349615595000005E8</v>
      </c>
      <c r="H142" s="4">
        <v>1.0349615595E8</v>
      </c>
      <c r="I142" s="6" t="s">
        <v>37</v>
      </c>
    </row>
    <row r="143">
      <c r="A143" s="1">
        <v>46150.0</v>
      </c>
      <c r="B143" s="2" t="s">
        <v>23</v>
      </c>
      <c r="C143" s="2" t="s">
        <v>151</v>
      </c>
      <c r="D143" s="4"/>
      <c r="E143" s="4">
        <v>1.0E8</v>
      </c>
      <c r="F143" s="4" t="s">
        <v>3</v>
      </c>
      <c r="G143" s="3">
        <v>2.0349615595000005E8</v>
      </c>
      <c r="H143" s="4">
        <v>2.0349615595E8</v>
      </c>
      <c r="I143" s="6"/>
    </row>
    <row r="144">
      <c r="A144" s="1">
        <v>46150.0</v>
      </c>
      <c r="B144" s="2" t="s">
        <v>4</v>
      </c>
      <c r="C144" s="2" t="s">
        <v>152</v>
      </c>
      <c r="D144" s="4">
        <v>5.46E7</v>
      </c>
      <c r="E144" s="3"/>
      <c r="F144" s="4" t="s">
        <v>6</v>
      </c>
      <c r="G144" s="3">
        <v>1.4889615595000005E8</v>
      </c>
      <c r="H144" s="3"/>
      <c r="I144" s="6"/>
    </row>
    <row r="145">
      <c r="A145" s="1">
        <v>46150.0</v>
      </c>
      <c r="B145" s="2" t="s">
        <v>4</v>
      </c>
      <c r="C145" s="2" t="s">
        <v>153</v>
      </c>
      <c r="D145" s="4">
        <v>3060240.0</v>
      </c>
      <c r="E145" s="3"/>
      <c r="F145" s="4" t="s">
        <v>6</v>
      </c>
      <c r="G145" s="3">
        <v>1.4583591595000005E8</v>
      </c>
      <c r="H145" s="3"/>
      <c r="I145" s="6"/>
    </row>
    <row r="146">
      <c r="A146" s="1">
        <v>46150.0</v>
      </c>
      <c r="B146" s="2" t="s">
        <v>4</v>
      </c>
      <c r="C146" s="2" t="s">
        <v>154</v>
      </c>
      <c r="D146" s="4">
        <v>1213400.0</v>
      </c>
      <c r="E146" s="3"/>
      <c r="F146" s="4" t="s">
        <v>6</v>
      </c>
      <c r="G146" s="3">
        <v>1.4462251595000005E8</v>
      </c>
      <c r="H146" s="3"/>
      <c r="I146" s="6"/>
    </row>
    <row r="147">
      <c r="A147" s="1">
        <v>46150.0</v>
      </c>
      <c r="B147" s="2" t="s">
        <v>4</v>
      </c>
      <c r="C147" s="2" t="s">
        <v>155</v>
      </c>
      <c r="D147" s="4">
        <v>1000000.0</v>
      </c>
      <c r="E147" s="3"/>
      <c r="F147" s="4" t="s">
        <v>6</v>
      </c>
      <c r="G147" s="3">
        <v>1.4362251595000005E8</v>
      </c>
      <c r="H147" s="3"/>
      <c r="I147" s="6"/>
    </row>
    <row r="148">
      <c r="A148" s="1">
        <v>46150.0</v>
      </c>
      <c r="B148" s="2" t="s">
        <v>13</v>
      </c>
      <c r="C148" s="2" t="s">
        <v>64</v>
      </c>
      <c r="D148" s="4">
        <v>600800.0</v>
      </c>
      <c r="E148" s="3"/>
      <c r="F148" s="3"/>
      <c r="G148" s="3">
        <v>1.4302171595000005E8</v>
      </c>
      <c r="H148" s="3"/>
      <c r="I148" s="6"/>
    </row>
    <row r="149">
      <c r="A149" s="1">
        <v>46150.0</v>
      </c>
      <c r="B149" s="2" t="s">
        <v>4</v>
      </c>
      <c r="C149" s="2" t="s">
        <v>156</v>
      </c>
      <c r="D149" s="4">
        <v>1.274E8</v>
      </c>
      <c r="E149" s="3"/>
      <c r="F149" s="4" t="s">
        <v>6</v>
      </c>
      <c r="G149" s="3">
        <v>1.5621715950000048E7</v>
      </c>
      <c r="H149" s="3"/>
      <c r="I149" s="6"/>
    </row>
    <row r="150">
      <c r="A150" s="1">
        <v>46150.0</v>
      </c>
      <c r="B150" s="2" t="s">
        <v>23</v>
      </c>
      <c r="C150" s="2" t="s">
        <v>157</v>
      </c>
      <c r="D150" s="4"/>
      <c r="E150" s="4">
        <v>1.041985E8</v>
      </c>
      <c r="F150" s="4" t="s">
        <v>3</v>
      </c>
      <c r="G150" s="3">
        <v>1.1982021595000005E8</v>
      </c>
      <c r="H150" s="3"/>
      <c r="I150" s="6"/>
    </row>
    <row r="151">
      <c r="A151" s="1">
        <v>46150.0</v>
      </c>
      <c r="B151" s="2" t="s">
        <v>4</v>
      </c>
      <c r="C151" s="2" t="s">
        <v>158</v>
      </c>
      <c r="D151" s="4">
        <v>6.5E7</v>
      </c>
      <c r="E151" s="3"/>
      <c r="F151" s="4" t="s">
        <v>6</v>
      </c>
      <c r="G151" s="3">
        <v>5.482021595000005E7</v>
      </c>
      <c r="H151" s="4">
        <v>5.482021595E7</v>
      </c>
      <c r="I151" s="6"/>
    </row>
    <row r="152">
      <c r="A152" s="1">
        <v>46151.0</v>
      </c>
      <c r="B152" s="2" t="s">
        <v>159</v>
      </c>
      <c r="C152" s="2" t="s">
        <v>160</v>
      </c>
      <c r="D152" s="4"/>
      <c r="E152" s="4">
        <v>2000000.0</v>
      </c>
      <c r="F152" s="4" t="s">
        <v>3</v>
      </c>
      <c r="G152" s="3">
        <v>5.682021595000005E7</v>
      </c>
      <c r="H152" s="3"/>
      <c r="I152" s="6"/>
    </row>
    <row r="153">
      <c r="A153" s="1">
        <v>46151.0</v>
      </c>
      <c r="B153" s="2" t="s">
        <v>161</v>
      </c>
      <c r="C153" s="2" t="s">
        <v>162</v>
      </c>
      <c r="D153" s="4">
        <v>5.6E7</v>
      </c>
      <c r="E153" s="3"/>
      <c r="F153" s="4" t="s">
        <v>6</v>
      </c>
      <c r="G153" s="3">
        <v>820215.9500000477</v>
      </c>
      <c r="H153" s="3"/>
      <c r="I153" s="6"/>
    </row>
    <row r="154">
      <c r="A154" s="1">
        <v>46151.0</v>
      </c>
      <c r="B154" s="2" t="s">
        <v>4</v>
      </c>
      <c r="C154" s="2" t="s">
        <v>163</v>
      </c>
      <c r="D154" s="4">
        <v>550000.0</v>
      </c>
      <c r="E154" s="3"/>
      <c r="F154" s="4" t="s">
        <v>6</v>
      </c>
      <c r="G154" s="3">
        <v>270215.9500000477</v>
      </c>
      <c r="H154" s="3"/>
      <c r="I154" s="6"/>
    </row>
    <row r="155">
      <c r="A155" s="1">
        <v>46151.0</v>
      </c>
      <c r="B155" s="2" t="s">
        <v>23</v>
      </c>
      <c r="C155" s="2" t="s">
        <v>164</v>
      </c>
      <c r="D155" s="4"/>
      <c r="E155" s="4">
        <v>7.80554E7</v>
      </c>
      <c r="F155" s="4" t="s">
        <v>3</v>
      </c>
      <c r="G155" s="3">
        <v>7.832561595000005E7</v>
      </c>
      <c r="H155" s="3"/>
      <c r="I155" s="6"/>
    </row>
    <row r="156">
      <c r="A156" s="1">
        <v>46151.0</v>
      </c>
      <c r="B156" s="2" t="s">
        <v>26</v>
      </c>
      <c r="C156" s="2" t="s">
        <v>165</v>
      </c>
      <c r="D156" s="4">
        <v>720000.0</v>
      </c>
      <c r="E156" s="3"/>
      <c r="F156" s="4" t="s">
        <v>6</v>
      </c>
      <c r="G156" s="3">
        <v>7.760561595000005E7</v>
      </c>
      <c r="H156" s="4">
        <v>7.760561595E7</v>
      </c>
      <c r="I156" s="6"/>
    </row>
    <row r="157">
      <c r="A157" s="1">
        <v>46151.0</v>
      </c>
      <c r="B157" s="2" t="s">
        <v>26</v>
      </c>
      <c r="C157" s="2" t="s">
        <v>166</v>
      </c>
      <c r="D157" s="4">
        <v>2500.0</v>
      </c>
      <c r="E157" s="3"/>
      <c r="F157" s="4" t="s">
        <v>6</v>
      </c>
      <c r="G157" s="3">
        <v>7.760311595000005E7</v>
      </c>
      <c r="H157" s="4">
        <v>7.760311595E7</v>
      </c>
      <c r="I157" s="6"/>
    </row>
    <row r="158">
      <c r="A158" s="1">
        <v>46151.0</v>
      </c>
      <c r="B158" s="2" t="s">
        <v>23</v>
      </c>
      <c r="C158" s="2" t="s">
        <v>167</v>
      </c>
      <c r="D158" s="4"/>
      <c r="E158" s="4">
        <v>7.499776E7</v>
      </c>
      <c r="F158" s="4" t="s">
        <v>3</v>
      </c>
      <c r="G158" s="3">
        <v>1.5260087595000005E8</v>
      </c>
      <c r="H158" s="3"/>
      <c r="I158" s="6"/>
    </row>
    <row r="159">
      <c r="A159" s="1">
        <v>46151.0</v>
      </c>
      <c r="B159" s="2" t="s">
        <v>23</v>
      </c>
      <c r="C159" s="2" t="s">
        <v>168</v>
      </c>
      <c r="D159" s="4"/>
      <c r="E159" s="4">
        <v>1.030108E8</v>
      </c>
      <c r="F159" s="4" t="s">
        <v>3</v>
      </c>
      <c r="G159" s="3">
        <v>2.5561167595000005E8</v>
      </c>
      <c r="H159" s="3"/>
      <c r="I159" s="6"/>
    </row>
    <row r="160">
      <c r="A160" s="1">
        <v>46151.0</v>
      </c>
      <c r="B160" s="2" t="s">
        <v>4</v>
      </c>
      <c r="C160" s="2" t="s">
        <v>169</v>
      </c>
      <c r="D160" s="4">
        <v>4.85881E7</v>
      </c>
      <c r="E160" s="3"/>
      <c r="F160" s="4" t="s">
        <v>6</v>
      </c>
      <c r="G160" s="3">
        <v>2.0702357595000005E8</v>
      </c>
      <c r="H160" s="3"/>
      <c r="I160" s="6"/>
    </row>
    <row r="161">
      <c r="A161" s="1">
        <v>46151.0</v>
      </c>
      <c r="B161" s="2" t="s">
        <v>4</v>
      </c>
      <c r="C161" s="2" t="s">
        <v>170</v>
      </c>
      <c r="D161" s="4">
        <v>5.61E7</v>
      </c>
      <c r="E161" s="3"/>
      <c r="F161" s="4" t="s">
        <v>6</v>
      </c>
      <c r="G161" s="3">
        <v>1.5092357595000005E8</v>
      </c>
      <c r="H161" s="3"/>
      <c r="I161" s="6"/>
    </row>
    <row r="162">
      <c r="A162" s="1">
        <v>46151.0</v>
      </c>
      <c r="B162" s="2" t="s">
        <v>23</v>
      </c>
      <c r="C162" s="2" t="s">
        <v>171</v>
      </c>
      <c r="D162" s="4"/>
      <c r="E162" s="4">
        <v>1.0E8</v>
      </c>
      <c r="F162" s="4" t="s">
        <v>3</v>
      </c>
      <c r="G162" s="3">
        <v>2.5092357595000005E8</v>
      </c>
      <c r="H162" s="3"/>
      <c r="I162" s="6"/>
    </row>
    <row r="163">
      <c r="A163" s="1">
        <v>46151.0</v>
      </c>
      <c r="B163" s="2" t="s">
        <v>13</v>
      </c>
      <c r="C163" s="2" t="s">
        <v>14</v>
      </c>
      <c r="D163" s="4">
        <v>161600.0</v>
      </c>
      <c r="E163" s="3"/>
      <c r="F163" s="3"/>
      <c r="G163" s="3">
        <v>2.5076197595000005E8</v>
      </c>
      <c r="H163" s="3"/>
      <c r="I163" s="6"/>
    </row>
    <row r="164">
      <c r="A164" s="1">
        <v>46151.0</v>
      </c>
      <c r="B164" s="2" t="s">
        <v>4</v>
      </c>
      <c r="C164" s="2" t="s">
        <v>172</v>
      </c>
      <c r="D164" s="4">
        <v>1048300.0</v>
      </c>
      <c r="E164" s="3"/>
      <c r="F164" s="4" t="s">
        <v>6</v>
      </c>
      <c r="G164" s="3">
        <v>2.4971367595000005E8</v>
      </c>
      <c r="H164" s="3"/>
      <c r="I164" s="6"/>
    </row>
    <row r="165">
      <c r="A165" s="1">
        <v>46151.0</v>
      </c>
      <c r="B165" s="2" t="s">
        <v>4</v>
      </c>
      <c r="C165" s="2" t="s">
        <v>173</v>
      </c>
      <c r="D165" s="4">
        <v>1.748E8</v>
      </c>
      <c r="E165" s="3"/>
      <c r="F165" s="4" t="s">
        <v>6</v>
      </c>
      <c r="G165" s="3">
        <v>7.491367595000005E7</v>
      </c>
      <c r="H165" s="3"/>
      <c r="I165" s="6"/>
    </row>
    <row r="166">
      <c r="A166" s="1">
        <v>46151.0</v>
      </c>
      <c r="B166" s="2" t="s">
        <v>23</v>
      </c>
      <c r="C166" s="2" t="s">
        <v>174</v>
      </c>
      <c r="D166" s="4"/>
      <c r="E166" s="4">
        <v>2.6736521E8</v>
      </c>
      <c r="F166" s="4" t="s">
        <v>3</v>
      </c>
      <c r="G166" s="3">
        <v>3.4227888595000005E8</v>
      </c>
      <c r="H166" s="3"/>
      <c r="I166" s="6"/>
    </row>
    <row r="167">
      <c r="A167" s="1">
        <v>46151.0</v>
      </c>
      <c r="B167" s="2" t="s">
        <v>4</v>
      </c>
      <c r="C167" s="2" t="s">
        <v>175</v>
      </c>
      <c r="D167" s="4">
        <v>2000000.0</v>
      </c>
      <c r="E167" s="3"/>
      <c r="F167" s="4" t="s">
        <v>6</v>
      </c>
      <c r="G167" s="3">
        <v>3.4027888595000005E8</v>
      </c>
      <c r="H167" s="4">
        <v>3.4027888595E8</v>
      </c>
      <c r="I167" s="6"/>
    </row>
    <row r="168">
      <c r="A168" s="1">
        <v>46152.0</v>
      </c>
      <c r="B168" s="2" t="s">
        <v>176</v>
      </c>
      <c r="C168" s="2" t="s">
        <v>177</v>
      </c>
      <c r="D168" s="4">
        <v>1.05448E8</v>
      </c>
      <c r="E168" s="3"/>
      <c r="F168" s="4" t="s">
        <v>6</v>
      </c>
      <c r="G168" s="3">
        <v>2.3483088595000005E8</v>
      </c>
      <c r="H168" s="3"/>
      <c r="I168" s="6"/>
    </row>
    <row r="169">
      <c r="A169" s="1">
        <v>46152.0</v>
      </c>
      <c r="B169" s="2" t="s">
        <v>176</v>
      </c>
      <c r="C169" s="2" t="s">
        <v>178</v>
      </c>
      <c r="D169" s="4">
        <v>1.17072E8</v>
      </c>
      <c r="E169" s="3"/>
      <c r="F169" s="4" t="s">
        <v>6</v>
      </c>
      <c r="G169" s="3">
        <v>1.1775888595000005E8</v>
      </c>
      <c r="H169" s="4">
        <v>1.1775888595E8</v>
      </c>
      <c r="I169" s="6"/>
    </row>
    <row r="170">
      <c r="A170" s="1">
        <v>46152.0</v>
      </c>
      <c r="B170" s="2" t="s">
        <v>179</v>
      </c>
      <c r="C170" s="2" t="s">
        <v>179</v>
      </c>
      <c r="D170" s="4">
        <v>300000.0</v>
      </c>
      <c r="E170" s="3"/>
      <c r="F170" s="3"/>
      <c r="G170" s="3">
        <v>1.1745888595000005E8</v>
      </c>
      <c r="H170" s="4">
        <v>1.1745888595E8</v>
      </c>
      <c r="I170" s="6"/>
    </row>
    <row r="171">
      <c r="A171" s="1">
        <v>46152.0</v>
      </c>
      <c r="B171" s="2" t="s">
        <v>4</v>
      </c>
      <c r="C171" s="2" t="s">
        <v>180</v>
      </c>
      <c r="D171" s="4">
        <v>6.3E7</v>
      </c>
      <c r="E171" s="3"/>
      <c r="F171" s="4" t="s">
        <v>6</v>
      </c>
      <c r="G171" s="3">
        <v>5.445888595000005E7</v>
      </c>
      <c r="H171" s="3"/>
      <c r="I171" s="6"/>
    </row>
    <row r="172">
      <c r="A172" s="1">
        <v>46152.0</v>
      </c>
      <c r="B172" s="2" t="s">
        <v>4</v>
      </c>
      <c r="C172" s="2" t="s">
        <v>181</v>
      </c>
      <c r="D172" s="4">
        <v>350000.0</v>
      </c>
      <c r="E172" s="3"/>
      <c r="F172" s="4" t="s">
        <v>6</v>
      </c>
      <c r="G172" s="3">
        <v>5.410888595000005E7</v>
      </c>
      <c r="H172" s="3"/>
      <c r="I172" s="6"/>
    </row>
    <row r="173">
      <c r="A173" s="1">
        <v>46152.0</v>
      </c>
      <c r="B173" s="2" t="s">
        <v>23</v>
      </c>
      <c r="C173" s="2" t="s">
        <v>182</v>
      </c>
      <c r="D173" s="4"/>
      <c r="E173" s="4">
        <v>1000000.0</v>
      </c>
      <c r="F173" s="4" t="s">
        <v>3</v>
      </c>
      <c r="G173" s="3">
        <v>5.510888595000005E7</v>
      </c>
      <c r="H173" s="3"/>
      <c r="I173" s="6"/>
    </row>
    <row r="174">
      <c r="A174" s="1">
        <v>46152.0</v>
      </c>
      <c r="B174" s="2" t="s">
        <v>4</v>
      </c>
      <c r="C174" s="2" t="s">
        <v>183</v>
      </c>
      <c r="D174" s="4">
        <v>5.347465E7</v>
      </c>
      <c r="E174" s="3"/>
      <c r="F174" s="4" t="s">
        <v>6</v>
      </c>
      <c r="G174" s="3">
        <v>1634235.9500000477</v>
      </c>
      <c r="H174" s="3"/>
      <c r="I174" s="6"/>
    </row>
    <row r="175">
      <c r="A175" s="1">
        <v>46152.0</v>
      </c>
      <c r="B175" s="2" t="s">
        <v>4</v>
      </c>
      <c r="C175" s="2" t="s">
        <v>184</v>
      </c>
      <c r="D175" s="4">
        <v>1200000.0</v>
      </c>
      <c r="E175" s="3"/>
      <c r="F175" s="4" t="s">
        <v>6</v>
      </c>
      <c r="G175" s="3">
        <v>434235.9500000477</v>
      </c>
      <c r="H175" s="3"/>
      <c r="I175" s="6"/>
    </row>
    <row r="176">
      <c r="A176" s="1">
        <v>46152.0</v>
      </c>
      <c r="B176" s="2" t="s">
        <v>23</v>
      </c>
      <c r="C176" s="2" t="s">
        <v>185</v>
      </c>
      <c r="D176" s="4"/>
      <c r="E176" s="4">
        <v>2.7620567E8</v>
      </c>
      <c r="F176" s="4" t="s">
        <v>3</v>
      </c>
      <c r="G176" s="3">
        <v>2.7663990595000005E8</v>
      </c>
      <c r="H176" s="3"/>
      <c r="I176" s="6" t="s">
        <v>37</v>
      </c>
    </row>
    <row r="177">
      <c r="A177" s="1">
        <v>46152.0</v>
      </c>
      <c r="B177" s="2" t="s">
        <v>4</v>
      </c>
      <c r="C177" s="2" t="s">
        <v>186</v>
      </c>
      <c r="D177" s="4">
        <v>2.55E8</v>
      </c>
      <c r="E177" s="3"/>
      <c r="F177" s="4" t="s">
        <v>6</v>
      </c>
      <c r="G177" s="3">
        <v>2.1639905950000048E7</v>
      </c>
      <c r="H177" s="3"/>
      <c r="I177" s="6"/>
    </row>
    <row r="178">
      <c r="A178" s="1">
        <v>46152.0</v>
      </c>
      <c r="B178" s="2" t="s">
        <v>4</v>
      </c>
      <c r="C178" s="2" t="s">
        <v>187</v>
      </c>
      <c r="D178" s="4">
        <v>5435700.0</v>
      </c>
      <c r="E178" s="3"/>
      <c r="F178" s="4" t="s">
        <v>6</v>
      </c>
      <c r="G178" s="3">
        <v>1.6204205950000048E7</v>
      </c>
      <c r="H178" s="3"/>
      <c r="I178" s="6"/>
    </row>
    <row r="179">
      <c r="A179" s="1">
        <v>46152.0</v>
      </c>
      <c r="B179" s="2" t="s">
        <v>4</v>
      </c>
      <c r="C179" s="2" t="s">
        <v>188</v>
      </c>
      <c r="D179" s="4">
        <v>2052650.0</v>
      </c>
      <c r="E179" s="3"/>
      <c r="F179" s="4" t="s">
        <v>6</v>
      </c>
      <c r="G179" s="3">
        <v>1.4151555950000048E7</v>
      </c>
      <c r="H179" s="3"/>
      <c r="I179" s="6"/>
    </row>
    <row r="180">
      <c r="A180" s="1">
        <v>46152.0</v>
      </c>
      <c r="B180" s="2" t="s">
        <v>23</v>
      </c>
      <c r="C180" s="2" t="s">
        <v>189</v>
      </c>
      <c r="D180" s="4"/>
      <c r="E180" s="4">
        <v>5.52484E7</v>
      </c>
      <c r="F180" s="4" t="s">
        <v>3</v>
      </c>
      <c r="G180" s="3">
        <v>6.939995595000005E7</v>
      </c>
      <c r="H180" s="3"/>
      <c r="I180" s="6"/>
    </row>
    <row r="181">
      <c r="A181" s="1">
        <v>46152.0</v>
      </c>
      <c r="B181" s="2" t="s">
        <v>179</v>
      </c>
      <c r="C181" s="2" t="s">
        <v>179</v>
      </c>
      <c r="D181" s="4">
        <v>150000.0</v>
      </c>
      <c r="E181" s="3"/>
      <c r="F181" s="3"/>
      <c r="G181" s="3">
        <v>6.924995595000005E7</v>
      </c>
      <c r="H181" s="3"/>
      <c r="I181" s="6"/>
    </row>
    <row r="182">
      <c r="A182" s="1">
        <v>46152.0</v>
      </c>
      <c r="B182" s="2" t="s">
        <v>23</v>
      </c>
      <c r="C182" s="2" t="s">
        <v>190</v>
      </c>
      <c r="D182" s="4"/>
      <c r="E182" s="4">
        <v>5.922492E7</v>
      </c>
      <c r="F182" s="4" t="s">
        <v>3</v>
      </c>
      <c r="G182" s="3">
        <v>1.2847487595000005E8</v>
      </c>
      <c r="H182" s="3"/>
      <c r="I182" s="6"/>
    </row>
    <row r="183">
      <c r="A183" s="1">
        <v>46152.0</v>
      </c>
      <c r="B183" s="2" t="s">
        <v>4</v>
      </c>
      <c r="C183" s="2" t="s">
        <v>191</v>
      </c>
      <c r="D183" s="4">
        <v>3000000.0</v>
      </c>
      <c r="E183" s="3"/>
      <c r="F183" s="4" t="s">
        <v>6</v>
      </c>
      <c r="G183" s="3">
        <v>1.2547487595000005E8</v>
      </c>
      <c r="H183" s="3"/>
      <c r="I183" s="6"/>
    </row>
    <row r="184">
      <c r="A184" s="1">
        <v>46152.0</v>
      </c>
      <c r="B184" s="2" t="s">
        <v>4</v>
      </c>
      <c r="C184" s="2" t="s">
        <v>192</v>
      </c>
      <c r="D184" s="4">
        <v>1.248E8</v>
      </c>
      <c r="E184" s="3"/>
      <c r="F184" s="4" t="s">
        <v>6</v>
      </c>
      <c r="G184" s="3">
        <v>674875.9500000477</v>
      </c>
      <c r="H184" s="4">
        <v>674875.95</v>
      </c>
      <c r="I184" s="6"/>
    </row>
    <row r="185">
      <c r="A185" s="1">
        <v>46153.0</v>
      </c>
      <c r="B185" s="2" t="s">
        <v>4</v>
      </c>
      <c r="C185" s="2" t="s">
        <v>193</v>
      </c>
      <c r="D185" s="4">
        <v>100000.0</v>
      </c>
      <c r="E185" s="3"/>
      <c r="F185" s="4" t="s">
        <v>6</v>
      </c>
      <c r="G185" s="3">
        <v>574875.9500000477</v>
      </c>
      <c r="H185" s="4">
        <v>574875.95</v>
      </c>
      <c r="I185" s="6"/>
    </row>
    <row r="186">
      <c r="A186" s="1">
        <v>46153.0</v>
      </c>
      <c r="B186" s="2" t="s">
        <v>23</v>
      </c>
      <c r="C186" s="2" t="s">
        <v>194</v>
      </c>
      <c r="D186" s="4"/>
      <c r="E186" s="4">
        <v>4.2367917E8</v>
      </c>
      <c r="F186" s="4" t="s">
        <v>3</v>
      </c>
      <c r="G186" s="3">
        <v>4.2425404595000005E8</v>
      </c>
      <c r="H186" s="3"/>
      <c r="I186" s="6"/>
    </row>
    <row r="187">
      <c r="A187" s="1">
        <v>46153.0</v>
      </c>
      <c r="B187" s="2" t="s">
        <v>195</v>
      </c>
      <c r="C187" s="2" t="s">
        <v>195</v>
      </c>
      <c r="D187" s="4">
        <v>400000.0</v>
      </c>
      <c r="E187" s="3"/>
      <c r="F187" s="3"/>
      <c r="G187" s="3">
        <v>4.2385404595000005E8</v>
      </c>
      <c r="H187" s="3"/>
      <c r="I187" s="6"/>
    </row>
    <row r="188">
      <c r="A188" s="1">
        <v>46153.0</v>
      </c>
      <c r="B188" s="2" t="s">
        <v>4</v>
      </c>
      <c r="C188" s="2" t="s">
        <v>196</v>
      </c>
      <c r="D188" s="4">
        <v>2.3795937E8</v>
      </c>
      <c r="E188" s="3"/>
      <c r="F188" s="4" t="s">
        <v>6</v>
      </c>
      <c r="G188" s="3">
        <v>1.8589467595000005E8</v>
      </c>
      <c r="H188" s="3"/>
      <c r="I188" s="6"/>
    </row>
    <row r="189">
      <c r="A189" s="1">
        <v>46153.0</v>
      </c>
      <c r="B189" s="2" t="s">
        <v>4</v>
      </c>
      <c r="C189" s="2" t="s">
        <v>197</v>
      </c>
      <c r="D189" s="4">
        <v>5.59662E7</v>
      </c>
      <c r="E189" s="3"/>
      <c r="F189" s="4" t="s">
        <v>6</v>
      </c>
      <c r="G189" s="3">
        <v>1.2992847595000005E8</v>
      </c>
      <c r="H189" s="3"/>
      <c r="I189" s="6"/>
    </row>
    <row r="190">
      <c r="A190" s="1">
        <v>46153.0</v>
      </c>
      <c r="B190" s="2" t="s">
        <v>4</v>
      </c>
      <c r="C190" s="2" t="s">
        <v>198</v>
      </c>
      <c r="D190" s="4">
        <v>7.058675E7</v>
      </c>
      <c r="E190" s="3"/>
      <c r="F190" s="4" t="s">
        <v>6</v>
      </c>
      <c r="G190" s="3">
        <v>5.934172595000005E7</v>
      </c>
      <c r="H190" s="3"/>
      <c r="I190" s="6"/>
    </row>
    <row r="191">
      <c r="A191" s="1">
        <v>46153.0</v>
      </c>
      <c r="B191" s="2" t="s">
        <v>23</v>
      </c>
      <c r="C191" s="2" t="s">
        <v>199</v>
      </c>
      <c r="D191" s="4"/>
      <c r="E191" s="4">
        <v>1.39318E8</v>
      </c>
      <c r="F191" s="4" t="s">
        <v>3</v>
      </c>
      <c r="G191" s="3">
        <v>1.9865972595000005E8</v>
      </c>
      <c r="H191" s="3"/>
      <c r="I191" s="6"/>
    </row>
    <row r="192">
      <c r="A192" s="1">
        <v>46153.0</v>
      </c>
      <c r="B192" s="2" t="s">
        <v>4</v>
      </c>
      <c r="C192" s="2" t="s">
        <v>200</v>
      </c>
      <c r="D192" s="4">
        <v>5.158725E7</v>
      </c>
      <c r="E192" s="3"/>
      <c r="F192" s="4" t="s">
        <v>6</v>
      </c>
      <c r="G192" s="3">
        <v>1.4707247595000005E8</v>
      </c>
      <c r="H192" s="3"/>
      <c r="I192" s="6"/>
    </row>
    <row r="193">
      <c r="A193" s="1">
        <v>46153.0</v>
      </c>
      <c r="B193" s="2" t="s">
        <v>23</v>
      </c>
      <c r="C193" s="2" t="s">
        <v>201</v>
      </c>
      <c r="D193" s="4"/>
      <c r="E193" s="4">
        <v>1.0045551E8</v>
      </c>
      <c r="F193" s="4" t="s">
        <v>3</v>
      </c>
      <c r="G193" s="3">
        <v>2.4752798595000005E8</v>
      </c>
      <c r="H193" s="4">
        <v>2.4752798595E8</v>
      </c>
      <c r="I193" s="6"/>
    </row>
    <row r="194">
      <c r="A194" s="1">
        <v>46154.0</v>
      </c>
      <c r="B194" s="2" t="s">
        <v>202</v>
      </c>
      <c r="C194" s="2" t="s">
        <v>203</v>
      </c>
      <c r="D194" s="4">
        <v>5.752236E7</v>
      </c>
      <c r="E194" s="3"/>
      <c r="F194" s="4" t="s">
        <v>6</v>
      </c>
      <c r="G194" s="3">
        <v>1.9000562595000005E8</v>
      </c>
      <c r="H194" s="3"/>
      <c r="I194" s="6" t="s">
        <v>37</v>
      </c>
    </row>
    <row r="195">
      <c r="A195" s="1">
        <v>46154.0</v>
      </c>
      <c r="B195" s="2" t="s">
        <v>202</v>
      </c>
      <c r="C195" s="2" t="s">
        <v>204</v>
      </c>
      <c r="D195" s="4">
        <v>1.1416676E8</v>
      </c>
      <c r="E195" s="3"/>
      <c r="F195" s="4" t="s">
        <v>6</v>
      </c>
      <c r="G195" s="3">
        <v>7.583886595000005E7</v>
      </c>
      <c r="H195" s="3"/>
      <c r="I195" s="6" t="s">
        <v>37</v>
      </c>
    </row>
    <row r="196">
      <c r="A196" s="1">
        <v>46154.0</v>
      </c>
      <c r="B196" s="2" t="s">
        <v>202</v>
      </c>
      <c r="C196" s="2" t="s">
        <v>205</v>
      </c>
      <c r="D196" s="4">
        <v>1214540.0</v>
      </c>
      <c r="E196" s="3"/>
      <c r="F196" s="4" t="s">
        <v>6</v>
      </c>
      <c r="G196" s="3">
        <v>7.462432595000005E7</v>
      </c>
      <c r="H196" s="3"/>
      <c r="I196" s="6" t="s">
        <v>37</v>
      </c>
    </row>
    <row r="197">
      <c r="A197" s="1">
        <v>46154.0</v>
      </c>
      <c r="B197" s="2" t="s">
        <v>4</v>
      </c>
      <c r="C197" s="2" t="s">
        <v>206</v>
      </c>
      <c r="D197" s="4">
        <v>6.43158E7</v>
      </c>
      <c r="E197" s="3"/>
      <c r="F197" s="4" t="s">
        <v>6</v>
      </c>
      <c r="G197" s="3">
        <v>1.0308525950000048E7</v>
      </c>
      <c r="H197" s="4">
        <v>1.030852595E7</v>
      </c>
      <c r="I197" s="6"/>
    </row>
    <row r="198">
      <c r="A198" s="1">
        <v>46154.0</v>
      </c>
      <c r="B198" s="2" t="s">
        <v>4</v>
      </c>
      <c r="C198" s="2" t="s">
        <v>207</v>
      </c>
      <c r="D198" s="4">
        <v>2029950.0</v>
      </c>
      <c r="E198" s="3"/>
      <c r="F198" s="4" t="s">
        <v>6</v>
      </c>
      <c r="G198" s="3">
        <v>8278575.950000048</v>
      </c>
      <c r="H198" s="4">
        <v>8278575.95</v>
      </c>
      <c r="I198" s="6"/>
    </row>
    <row r="199">
      <c r="A199" s="1">
        <v>46154.0</v>
      </c>
      <c r="B199" s="2" t="s">
        <v>4</v>
      </c>
      <c r="C199" s="2" t="s">
        <v>208</v>
      </c>
      <c r="D199" s="4">
        <v>2408200.0</v>
      </c>
      <c r="E199" s="3"/>
      <c r="F199" s="4" t="s">
        <v>6</v>
      </c>
      <c r="G199" s="3">
        <v>5870375.950000048</v>
      </c>
      <c r="H199" s="3"/>
      <c r="I199" s="6"/>
    </row>
    <row r="200">
      <c r="A200" s="1">
        <v>46154.0</v>
      </c>
      <c r="B200" s="2" t="s">
        <v>4</v>
      </c>
      <c r="C200" s="2" t="s">
        <v>209</v>
      </c>
      <c r="D200" s="4">
        <v>1863120.0</v>
      </c>
      <c r="E200" s="3"/>
      <c r="F200" s="4" t="s">
        <v>6</v>
      </c>
      <c r="G200" s="3">
        <v>4007255.9500000477</v>
      </c>
      <c r="H200" s="3"/>
      <c r="I200" s="6"/>
    </row>
    <row r="201">
      <c r="A201" s="1">
        <v>46154.0</v>
      </c>
      <c r="B201" s="2" t="s">
        <v>26</v>
      </c>
      <c r="C201" s="2" t="s">
        <v>210</v>
      </c>
      <c r="D201" s="4">
        <v>2641000.0</v>
      </c>
      <c r="E201" s="3"/>
      <c r="F201" s="4" t="s">
        <v>6</v>
      </c>
      <c r="G201" s="3">
        <v>1366255.9500000477</v>
      </c>
      <c r="H201" s="3"/>
      <c r="I201" s="6"/>
    </row>
    <row r="202">
      <c r="A202" s="1">
        <v>46154.0</v>
      </c>
      <c r="B202" s="2" t="s">
        <v>26</v>
      </c>
      <c r="C202" s="2" t="s">
        <v>211</v>
      </c>
      <c r="D202" s="4">
        <v>2500.0</v>
      </c>
      <c r="E202" s="3"/>
      <c r="F202" s="4" t="s">
        <v>6</v>
      </c>
      <c r="G202" s="3">
        <v>1363755.9500000477</v>
      </c>
      <c r="H202" s="3"/>
      <c r="I202" s="6"/>
    </row>
    <row r="203">
      <c r="A203" s="1">
        <v>46154.0</v>
      </c>
      <c r="B203" s="2" t="s">
        <v>23</v>
      </c>
      <c r="C203" s="2" t="s">
        <v>212</v>
      </c>
      <c r="D203" s="4"/>
      <c r="E203" s="4">
        <v>5.0E7</v>
      </c>
      <c r="F203" s="4" t="s">
        <v>3</v>
      </c>
      <c r="G203" s="3">
        <v>5.136375595000005E7</v>
      </c>
      <c r="H203" s="3"/>
      <c r="I203" s="6"/>
    </row>
    <row r="204">
      <c r="A204" s="1">
        <v>46154.0</v>
      </c>
      <c r="B204" s="2" t="s">
        <v>23</v>
      </c>
      <c r="C204" s="2" t="s">
        <v>213</v>
      </c>
      <c r="D204" s="4"/>
      <c r="E204" s="4">
        <v>5240770.0</v>
      </c>
      <c r="F204" s="4" t="s">
        <v>3</v>
      </c>
      <c r="G204" s="3">
        <v>5.660452595000005E7</v>
      </c>
      <c r="H204" s="3"/>
      <c r="I204" s="6"/>
    </row>
    <row r="205">
      <c r="A205" s="1">
        <v>46154.0</v>
      </c>
      <c r="B205" s="2" t="s">
        <v>214</v>
      </c>
      <c r="C205" s="2" t="s">
        <v>214</v>
      </c>
      <c r="D205" s="4">
        <v>100000.0</v>
      </c>
      <c r="E205" s="3"/>
      <c r="F205" s="3"/>
      <c r="G205" s="3">
        <v>5.650452595000005E7</v>
      </c>
      <c r="H205" s="3"/>
      <c r="I205" s="6"/>
    </row>
    <row r="206">
      <c r="A206" s="1">
        <v>46154.0</v>
      </c>
      <c r="B206" s="2" t="s">
        <v>23</v>
      </c>
      <c r="C206" s="2" t="s">
        <v>215</v>
      </c>
      <c r="D206" s="4"/>
      <c r="E206" s="4">
        <v>1.032E8</v>
      </c>
      <c r="F206" s="4" t="s">
        <v>3</v>
      </c>
      <c r="G206" s="3">
        <v>1.5970452595000005E8</v>
      </c>
      <c r="H206" s="3"/>
      <c r="I206" s="6" t="s">
        <v>37</v>
      </c>
    </row>
    <row r="207">
      <c r="A207" s="1">
        <v>46154.0</v>
      </c>
      <c r="B207" s="2" t="s">
        <v>23</v>
      </c>
      <c r="C207" s="2" t="s">
        <v>216</v>
      </c>
      <c r="D207" s="4"/>
      <c r="E207" s="4">
        <v>2.706986E8</v>
      </c>
      <c r="F207" s="4" t="s">
        <v>3</v>
      </c>
      <c r="G207" s="3">
        <v>4.3040312595000005E8</v>
      </c>
      <c r="H207" s="3"/>
      <c r="I207" s="6" t="s">
        <v>37</v>
      </c>
    </row>
    <row r="208">
      <c r="A208" s="1">
        <v>46154.0</v>
      </c>
      <c r="B208" s="2" t="s">
        <v>4</v>
      </c>
      <c r="C208" s="2" t="s">
        <v>217</v>
      </c>
      <c r="D208" s="4">
        <v>4.060445E7</v>
      </c>
      <c r="E208" s="3"/>
      <c r="F208" s="4" t="s">
        <v>6</v>
      </c>
      <c r="G208" s="3">
        <v>3.8979867595000005E8</v>
      </c>
      <c r="H208" s="3"/>
      <c r="I208" s="6" t="s">
        <v>37</v>
      </c>
    </row>
    <row r="209">
      <c r="A209" s="9">
        <v>46154.0</v>
      </c>
      <c r="B209" s="10" t="s">
        <v>4</v>
      </c>
      <c r="C209" s="10" t="s">
        <v>218</v>
      </c>
      <c r="D209" s="11">
        <v>1.10589E8</v>
      </c>
      <c r="E209" s="12"/>
      <c r="F209" s="11" t="s">
        <v>6</v>
      </c>
      <c r="G209" s="12">
        <v>2.7920967595000005E8</v>
      </c>
      <c r="H209" s="11">
        <v>2.7920967595E8</v>
      </c>
      <c r="I209" s="6" t="s">
        <v>37</v>
      </c>
    </row>
    <row r="210">
      <c r="A210" s="1">
        <v>46155.0</v>
      </c>
      <c r="B210" s="2" t="s">
        <v>219</v>
      </c>
      <c r="C210" s="2" t="s">
        <v>220</v>
      </c>
      <c r="D210" s="4">
        <v>2.2598672E8</v>
      </c>
      <c r="E210" s="3"/>
      <c r="F210" s="4" t="s">
        <v>6</v>
      </c>
      <c r="G210" s="3">
        <v>5.322295595000005E7</v>
      </c>
      <c r="H210" s="3"/>
      <c r="I210" s="6" t="s">
        <v>37</v>
      </c>
    </row>
    <row r="211">
      <c r="A211" s="1">
        <v>46155.0</v>
      </c>
      <c r="B211" s="2" t="s">
        <v>219</v>
      </c>
      <c r="C211" s="2" t="s">
        <v>221</v>
      </c>
      <c r="D211" s="4">
        <v>1164880.0</v>
      </c>
      <c r="E211" s="3"/>
      <c r="F211" s="4" t="s">
        <v>6</v>
      </c>
      <c r="G211" s="3">
        <v>5.205807595000005E7</v>
      </c>
      <c r="H211" s="4">
        <v>5.205807595E7</v>
      </c>
      <c r="I211" s="6" t="s">
        <v>37</v>
      </c>
    </row>
    <row r="212">
      <c r="A212" s="1">
        <v>46155.0</v>
      </c>
      <c r="B212" s="2" t="s">
        <v>222</v>
      </c>
      <c r="C212" s="2" t="s">
        <v>223</v>
      </c>
      <c r="D212" s="4">
        <v>2846750.0</v>
      </c>
      <c r="E212" s="3"/>
      <c r="F212" s="4" t="s">
        <v>6</v>
      </c>
      <c r="G212" s="3">
        <v>4.921132595000005E7</v>
      </c>
      <c r="H212" s="4">
        <v>4.921132595E7</v>
      </c>
      <c r="I212" s="6" t="s">
        <v>37</v>
      </c>
    </row>
    <row r="213">
      <c r="A213" s="1">
        <v>46155.0</v>
      </c>
      <c r="B213" s="2" t="s">
        <v>222</v>
      </c>
      <c r="C213" s="2" t="s">
        <v>224</v>
      </c>
      <c r="D213" s="4">
        <v>2500.0</v>
      </c>
      <c r="E213" s="3"/>
      <c r="F213" s="4" t="s">
        <v>6</v>
      </c>
      <c r="G213" s="3">
        <v>4.920882595000005E7</v>
      </c>
      <c r="H213" s="3"/>
      <c r="I213" s="6" t="s">
        <v>37</v>
      </c>
    </row>
    <row r="214">
      <c r="A214" s="1">
        <v>46155.0</v>
      </c>
      <c r="B214" s="2" t="s">
        <v>4</v>
      </c>
      <c r="C214" s="2" t="s">
        <v>225</v>
      </c>
      <c r="D214" s="4">
        <v>1136240.0</v>
      </c>
      <c r="E214" s="3"/>
      <c r="F214" s="4" t="s">
        <v>6</v>
      </c>
      <c r="G214" s="3">
        <v>4.807258595000005E7</v>
      </c>
      <c r="H214" s="3"/>
      <c r="I214" s="6"/>
    </row>
    <row r="215">
      <c r="A215" s="1">
        <v>46155.0</v>
      </c>
      <c r="B215" s="2" t="s">
        <v>4</v>
      </c>
      <c r="C215" s="2" t="s">
        <v>226</v>
      </c>
      <c r="D215" s="4">
        <v>1000000.0</v>
      </c>
      <c r="E215" s="3"/>
      <c r="F215" s="4" t="s">
        <v>6</v>
      </c>
      <c r="G215" s="3">
        <v>4.707258595000005E7</v>
      </c>
      <c r="H215" s="3"/>
      <c r="I215" s="6"/>
    </row>
    <row r="216">
      <c r="A216" s="1">
        <v>46155.0</v>
      </c>
      <c r="B216" s="2" t="s">
        <v>4</v>
      </c>
      <c r="C216" s="2" t="s">
        <v>227</v>
      </c>
      <c r="D216" s="4">
        <v>2.025245E7</v>
      </c>
      <c r="E216" s="3"/>
      <c r="F216" s="4" t="s">
        <v>6</v>
      </c>
      <c r="G216" s="3">
        <v>2.6820135950000048E7</v>
      </c>
      <c r="H216" s="3"/>
      <c r="I216" s="6" t="s">
        <v>37</v>
      </c>
    </row>
    <row r="217">
      <c r="A217" s="1">
        <v>46155.0</v>
      </c>
      <c r="B217" s="2" t="s">
        <v>4</v>
      </c>
      <c r="C217" s="2" t="s">
        <v>228</v>
      </c>
      <c r="D217" s="4">
        <v>200000.0</v>
      </c>
      <c r="E217" s="3"/>
      <c r="F217" s="4" t="s">
        <v>6</v>
      </c>
      <c r="G217" s="3">
        <v>2.6620135950000048E7</v>
      </c>
      <c r="H217" s="3"/>
      <c r="I217" s="6" t="s">
        <v>37</v>
      </c>
    </row>
    <row r="218">
      <c r="A218" s="1">
        <v>46155.0</v>
      </c>
      <c r="B218" s="2" t="s">
        <v>23</v>
      </c>
      <c r="C218" s="2" t="s">
        <v>229</v>
      </c>
      <c r="D218" s="4"/>
      <c r="E218" s="4">
        <v>1.160525E8</v>
      </c>
      <c r="F218" s="4" t="s">
        <v>3</v>
      </c>
      <c r="G218" s="3">
        <v>1.4267263595000005E8</v>
      </c>
      <c r="H218" s="3"/>
      <c r="I218" s="6"/>
    </row>
    <row r="219">
      <c r="A219" s="1">
        <v>46155.0</v>
      </c>
      <c r="B219" s="2" t="s">
        <v>23</v>
      </c>
      <c r="C219" s="2" t="s">
        <v>230</v>
      </c>
      <c r="D219" s="4"/>
      <c r="E219" s="4">
        <v>3.531142E8</v>
      </c>
      <c r="F219" s="4" t="s">
        <v>3</v>
      </c>
      <c r="G219" s="3">
        <v>4.9578683595000005E8</v>
      </c>
      <c r="H219" s="3"/>
      <c r="I219" s="6" t="s">
        <v>37</v>
      </c>
    </row>
    <row r="220">
      <c r="A220" s="1">
        <v>46155.0</v>
      </c>
      <c r="B220" s="2" t="s">
        <v>23</v>
      </c>
      <c r="C220" s="2" t="s">
        <v>231</v>
      </c>
      <c r="D220" s="4"/>
      <c r="E220" s="4">
        <v>7.334E7</v>
      </c>
      <c r="F220" s="4" t="s">
        <v>3</v>
      </c>
      <c r="G220" s="3">
        <v>5.6912683595E8</v>
      </c>
      <c r="H220" s="3"/>
      <c r="I220" s="6"/>
    </row>
    <row r="221">
      <c r="A221" s="1">
        <v>46155.0</v>
      </c>
      <c r="B221" s="2" t="s">
        <v>23</v>
      </c>
      <c r="C221" s="2" t="s">
        <v>232</v>
      </c>
      <c r="D221" s="4"/>
      <c r="E221" s="4">
        <v>2.986035E7</v>
      </c>
      <c r="F221" s="4" t="s">
        <v>3</v>
      </c>
      <c r="G221" s="3">
        <v>5.9898718595E8</v>
      </c>
      <c r="H221" s="3"/>
      <c r="I221" s="6" t="s">
        <v>37</v>
      </c>
    </row>
    <row r="222">
      <c r="A222" s="1">
        <v>46155.0</v>
      </c>
      <c r="B222" s="2" t="s">
        <v>4</v>
      </c>
      <c r="C222" s="2" t="s">
        <v>233</v>
      </c>
      <c r="D222" s="4">
        <v>1.8401095E8</v>
      </c>
      <c r="E222" s="3"/>
      <c r="F222" s="4" t="s">
        <v>6</v>
      </c>
      <c r="G222" s="3">
        <v>4.1497623595000005E8</v>
      </c>
      <c r="H222" s="3"/>
      <c r="I222" s="6"/>
    </row>
    <row r="223">
      <c r="A223" s="1">
        <v>46155.0</v>
      </c>
      <c r="B223" s="2" t="s">
        <v>4</v>
      </c>
      <c r="C223" s="2" t="s">
        <v>234</v>
      </c>
      <c r="D223" s="4">
        <v>6.356544E7</v>
      </c>
      <c r="E223" s="3"/>
      <c r="F223" s="4" t="s">
        <v>6</v>
      </c>
      <c r="G223" s="3">
        <v>3.5141079595000005E8</v>
      </c>
      <c r="H223" s="3"/>
      <c r="I223" s="6"/>
    </row>
    <row r="224">
      <c r="A224" s="1">
        <v>46155.0</v>
      </c>
      <c r="B224" s="2" t="s">
        <v>4</v>
      </c>
      <c r="C224" s="2" t="s">
        <v>235</v>
      </c>
      <c r="D224" s="4">
        <v>5.76E7</v>
      </c>
      <c r="E224" s="3"/>
      <c r="F224" s="4" t="s">
        <v>6</v>
      </c>
      <c r="G224" s="3">
        <v>2.9381079595000005E8</v>
      </c>
      <c r="H224" s="4">
        <v>2.9381079595E8</v>
      </c>
      <c r="I224" s="6"/>
    </row>
    <row r="225">
      <c r="A225" s="1">
        <v>46156.0</v>
      </c>
      <c r="B225" s="2" t="s">
        <v>4</v>
      </c>
      <c r="C225" s="2" t="s">
        <v>236</v>
      </c>
      <c r="D225" s="4">
        <v>5.891145E7</v>
      </c>
      <c r="E225" s="3"/>
      <c r="F225" s="4" t="s">
        <v>6</v>
      </c>
      <c r="G225" s="3">
        <v>2.3489934595000005E8</v>
      </c>
      <c r="H225" s="4">
        <v>2.3489934595E8</v>
      </c>
      <c r="I225" s="6"/>
    </row>
    <row r="226">
      <c r="A226" s="1">
        <v>46156.0</v>
      </c>
      <c r="B226" s="2" t="s">
        <v>4</v>
      </c>
      <c r="C226" s="2" t="s">
        <v>237</v>
      </c>
      <c r="D226" s="4">
        <v>2.970722E7</v>
      </c>
      <c r="E226" s="3"/>
      <c r="F226" s="4" t="s">
        <v>6</v>
      </c>
      <c r="G226" s="3">
        <v>2.0519212595000005E8</v>
      </c>
      <c r="H226" s="3"/>
      <c r="I226" s="6"/>
    </row>
    <row r="227">
      <c r="A227" s="1">
        <v>46156.0</v>
      </c>
      <c r="B227" s="2" t="s">
        <v>4</v>
      </c>
      <c r="C227" s="2" t="s">
        <v>238</v>
      </c>
      <c r="D227" s="4">
        <v>2191620.0</v>
      </c>
      <c r="E227" s="3"/>
      <c r="F227" s="4" t="s">
        <v>6</v>
      </c>
      <c r="G227" s="3">
        <v>2.0300050595000005E8</v>
      </c>
      <c r="H227" s="3"/>
      <c r="I227" s="6"/>
    </row>
    <row r="228">
      <c r="A228" s="1">
        <v>46156.0</v>
      </c>
      <c r="B228" s="2" t="s">
        <v>4</v>
      </c>
      <c r="C228" s="2" t="s">
        <v>239</v>
      </c>
      <c r="D228" s="4">
        <v>1.0573072E8</v>
      </c>
      <c r="E228" s="3"/>
      <c r="F228" s="4" t="s">
        <v>6</v>
      </c>
      <c r="G228" s="3">
        <v>9.726978595000005E7</v>
      </c>
      <c r="H228" s="3"/>
      <c r="I228" s="6" t="s">
        <v>37</v>
      </c>
    </row>
    <row r="229">
      <c r="A229" s="1">
        <v>46156.0</v>
      </c>
      <c r="B229" s="2" t="s">
        <v>4</v>
      </c>
      <c r="C229" s="2" t="s">
        <v>240</v>
      </c>
      <c r="D229" s="4">
        <v>6.086102E7</v>
      </c>
      <c r="E229" s="3"/>
      <c r="F229" s="4" t="s">
        <v>6</v>
      </c>
      <c r="G229" s="3">
        <v>3.640876595000005E7</v>
      </c>
      <c r="H229" s="3"/>
      <c r="I229" s="6" t="s">
        <v>37</v>
      </c>
    </row>
    <row r="230">
      <c r="A230" s="1">
        <v>46156.0</v>
      </c>
      <c r="B230" s="2" t="s">
        <v>26</v>
      </c>
      <c r="C230" s="2" t="s">
        <v>241</v>
      </c>
      <c r="D230" s="4">
        <v>2700000.0</v>
      </c>
      <c r="E230" s="3"/>
      <c r="F230" s="4" t="s">
        <v>6</v>
      </c>
      <c r="G230" s="3">
        <v>3.370876595000005E7</v>
      </c>
      <c r="H230" s="3"/>
      <c r="I230" s="6" t="s">
        <v>37</v>
      </c>
    </row>
    <row r="231">
      <c r="A231" s="1">
        <v>46156.0</v>
      </c>
      <c r="B231" s="2" t="s">
        <v>26</v>
      </c>
      <c r="C231" s="2" t="s">
        <v>242</v>
      </c>
      <c r="D231" s="4">
        <v>2500.0</v>
      </c>
      <c r="E231" s="3"/>
      <c r="F231" s="4" t="s">
        <v>6</v>
      </c>
      <c r="G231" s="3">
        <v>3.370626595000005E7</v>
      </c>
      <c r="H231" s="4">
        <v>3.370626595E7</v>
      </c>
      <c r="I231" s="6" t="s">
        <v>37</v>
      </c>
    </row>
    <row r="232">
      <c r="A232" s="1">
        <v>46157.0</v>
      </c>
      <c r="B232" s="2" t="s">
        <v>243</v>
      </c>
      <c r="C232" s="2" t="s">
        <v>244</v>
      </c>
      <c r="D232" s="4"/>
      <c r="E232" s="4">
        <v>1.53153E7</v>
      </c>
      <c r="F232" s="4" t="s">
        <v>3</v>
      </c>
      <c r="G232" s="3">
        <v>4.902156595000005E7</v>
      </c>
      <c r="H232" s="3"/>
      <c r="I232" s="6" t="s">
        <v>37</v>
      </c>
    </row>
    <row r="233">
      <c r="A233" s="1">
        <v>46157.0</v>
      </c>
      <c r="B233" s="2" t="s">
        <v>4</v>
      </c>
      <c r="C233" s="2" t="s">
        <v>245</v>
      </c>
      <c r="D233" s="4">
        <v>1.516075E7</v>
      </c>
      <c r="E233" s="3"/>
      <c r="F233" s="4" t="s">
        <v>6</v>
      </c>
      <c r="G233" s="3">
        <v>3.386081595000005E7</v>
      </c>
      <c r="H233" s="3"/>
      <c r="I233" s="6" t="s">
        <v>37</v>
      </c>
    </row>
    <row r="234">
      <c r="A234" s="1">
        <v>46157.0</v>
      </c>
      <c r="B234" s="2" t="s">
        <v>23</v>
      </c>
      <c r="C234" s="2" t="s">
        <v>246</v>
      </c>
      <c r="D234" s="4"/>
      <c r="E234" s="4">
        <v>1.0E8</v>
      </c>
      <c r="F234" s="4" t="s">
        <v>3</v>
      </c>
      <c r="G234" s="3">
        <v>1.3386081595000005E8</v>
      </c>
      <c r="H234" s="3"/>
      <c r="I234" s="6" t="s">
        <v>37</v>
      </c>
    </row>
    <row r="235">
      <c r="A235" s="1">
        <v>46157.0</v>
      </c>
      <c r="B235" s="2" t="s">
        <v>23</v>
      </c>
      <c r="C235" s="2" t="s">
        <v>247</v>
      </c>
      <c r="D235" s="4"/>
      <c r="E235" s="4">
        <v>2.2751092E8</v>
      </c>
      <c r="F235" s="4" t="s">
        <v>3</v>
      </c>
      <c r="G235" s="3">
        <v>3.6137173595000005E8</v>
      </c>
      <c r="H235" s="3"/>
      <c r="I235" s="6"/>
    </row>
    <row r="236">
      <c r="A236" s="1">
        <v>46157.0</v>
      </c>
      <c r="B236" s="2" t="s">
        <v>4</v>
      </c>
      <c r="C236" s="2" t="s">
        <v>248</v>
      </c>
      <c r="D236" s="4">
        <v>5.85E7</v>
      </c>
      <c r="E236" s="3"/>
      <c r="F236" s="4" t="s">
        <v>6</v>
      </c>
      <c r="G236" s="3">
        <v>3.0287173595000005E8</v>
      </c>
      <c r="H236" s="4">
        <v>3.0287173595E8</v>
      </c>
      <c r="I236" s="6"/>
    </row>
    <row r="237">
      <c r="A237" s="1">
        <v>46157.0</v>
      </c>
      <c r="B237" s="2" t="s">
        <v>23</v>
      </c>
      <c r="C237" s="2" t="s">
        <v>249</v>
      </c>
      <c r="D237" s="4"/>
      <c r="E237" s="4">
        <v>1.0135444E8</v>
      </c>
      <c r="F237" s="4" t="s">
        <v>3</v>
      </c>
      <c r="G237" s="3">
        <v>4.0422617595000005E8</v>
      </c>
      <c r="H237" s="4">
        <v>4.0422617595E8</v>
      </c>
      <c r="I237" s="6"/>
    </row>
    <row r="238">
      <c r="A238" s="1">
        <v>46157.0</v>
      </c>
      <c r="B238" s="2" t="s">
        <v>4</v>
      </c>
      <c r="C238" s="2" t="s">
        <v>250</v>
      </c>
      <c r="D238" s="4">
        <v>2.3595E8</v>
      </c>
      <c r="E238" s="3"/>
      <c r="F238" s="4" t="s">
        <v>6</v>
      </c>
      <c r="G238" s="3">
        <v>1.6827617595000005E8</v>
      </c>
      <c r="H238" s="3"/>
      <c r="I238" s="6"/>
    </row>
    <row r="239">
      <c r="A239" s="1">
        <v>46157.0</v>
      </c>
      <c r="B239" s="2" t="s">
        <v>23</v>
      </c>
      <c r="C239" s="2" t="s">
        <v>251</v>
      </c>
      <c r="D239" s="4"/>
      <c r="E239" s="4">
        <v>1.87518E8</v>
      </c>
      <c r="F239" s="4" t="s">
        <v>3</v>
      </c>
      <c r="G239" s="3">
        <v>3.5579417595000005E8</v>
      </c>
      <c r="H239" s="3"/>
      <c r="I239" s="6" t="s">
        <v>12</v>
      </c>
    </row>
    <row r="240">
      <c r="A240" s="1">
        <v>46157.0</v>
      </c>
      <c r="B240" s="2" t="s">
        <v>23</v>
      </c>
      <c r="C240" s="2" t="s">
        <v>252</v>
      </c>
      <c r="D240" s="4"/>
      <c r="E240" s="4">
        <v>4.367128E8</v>
      </c>
      <c r="F240" s="4" t="s">
        <v>3</v>
      </c>
      <c r="G240" s="3">
        <v>7.9250697595E8</v>
      </c>
      <c r="H240" s="4">
        <v>7.9250697595E8</v>
      </c>
      <c r="I240" s="6"/>
    </row>
    <row r="241">
      <c r="A241" s="1">
        <v>46158.0</v>
      </c>
      <c r="B241" s="2" t="s">
        <v>253</v>
      </c>
      <c r="C241" s="2" t="s">
        <v>254</v>
      </c>
      <c r="D241" s="4">
        <v>6.65E7</v>
      </c>
      <c r="E241" s="3"/>
      <c r="F241" s="4" t="s">
        <v>6</v>
      </c>
      <c r="G241" s="3">
        <v>7.2600697595E8</v>
      </c>
      <c r="H241" s="3"/>
      <c r="I241" s="6"/>
    </row>
    <row r="242">
      <c r="A242" s="1">
        <v>46158.0</v>
      </c>
      <c r="B242" s="2" t="s">
        <v>253</v>
      </c>
      <c r="C242" s="2" t="s">
        <v>255</v>
      </c>
      <c r="D242" s="4">
        <v>5.88491E7</v>
      </c>
      <c r="E242" s="3"/>
      <c r="F242" s="4" t="s">
        <v>6</v>
      </c>
      <c r="G242" s="3">
        <v>6.6715787595E8</v>
      </c>
      <c r="H242" s="3"/>
      <c r="I242" s="6"/>
    </row>
    <row r="243">
      <c r="A243" s="1">
        <v>46158.0</v>
      </c>
      <c r="B243" s="2" t="s">
        <v>253</v>
      </c>
      <c r="C243" s="2" t="s">
        <v>256</v>
      </c>
      <c r="D243" s="4">
        <v>1.0388625E8</v>
      </c>
      <c r="E243" s="3"/>
      <c r="F243" s="4" t="s">
        <v>6</v>
      </c>
      <c r="G243" s="3">
        <v>5.6327162595E8</v>
      </c>
      <c r="H243" s="3"/>
      <c r="I243" s="6" t="s">
        <v>37</v>
      </c>
    </row>
    <row r="244">
      <c r="A244" s="1">
        <v>46158.0</v>
      </c>
      <c r="B244" s="2" t="s">
        <v>253</v>
      </c>
      <c r="C244" s="2" t="s">
        <v>257</v>
      </c>
      <c r="D244" s="4">
        <v>1.824173E8</v>
      </c>
      <c r="E244" s="3"/>
      <c r="F244" s="4" t="s">
        <v>6</v>
      </c>
      <c r="G244" s="3">
        <v>3.8085432595000005E8</v>
      </c>
      <c r="H244" s="3"/>
      <c r="I244" s="6"/>
    </row>
    <row r="245">
      <c r="A245" s="1">
        <v>46158.0</v>
      </c>
      <c r="B245" s="2" t="s">
        <v>253</v>
      </c>
      <c r="C245" s="2" t="s">
        <v>258</v>
      </c>
      <c r="D245" s="4">
        <v>3.090592E8</v>
      </c>
      <c r="E245" s="3"/>
      <c r="F245" s="4" t="s">
        <v>6</v>
      </c>
      <c r="G245" s="3">
        <v>7.179512595000005E7</v>
      </c>
      <c r="H245" s="3"/>
      <c r="I245" s="6"/>
    </row>
    <row r="246">
      <c r="A246" s="1">
        <v>46158.0</v>
      </c>
      <c r="B246" s="2" t="s">
        <v>23</v>
      </c>
      <c r="C246" s="2" t="s">
        <v>259</v>
      </c>
      <c r="D246" s="4"/>
      <c r="E246" s="4">
        <v>5.0E7</v>
      </c>
      <c r="F246" s="4" t="s">
        <v>3</v>
      </c>
      <c r="G246" s="3">
        <v>1.2179512595000005E8</v>
      </c>
      <c r="H246" s="3"/>
      <c r="I246" s="6"/>
    </row>
    <row r="247">
      <c r="A247" s="1">
        <v>46158.0</v>
      </c>
      <c r="B247" s="2" t="s">
        <v>4</v>
      </c>
      <c r="C247" s="2" t="s">
        <v>260</v>
      </c>
      <c r="D247" s="4">
        <v>1.015965E7</v>
      </c>
      <c r="E247" s="3"/>
      <c r="F247" s="4" t="s">
        <v>6</v>
      </c>
      <c r="G247" s="3">
        <v>1.1163547595000005E8</v>
      </c>
      <c r="H247" s="3"/>
      <c r="I247" s="6"/>
    </row>
    <row r="248">
      <c r="A248" s="1">
        <v>46158.0</v>
      </c>
      <c r="B248" s="2" t="s">
        <v>4</v>
      </c>
      <c r="C248" s="2" t="s">
        <v>261</v>
      </c>
      <c r="D248" s="4">
        <v>1800000.0</v>
      </c>
      <c r="E248" s="3"/>
      <c r="F248" s="4" t="s">
        <v>6</v>
      </c>
      <c r="G248" s="3">
        <v>1.0983547595000005E8</v>
      </c>
      <c r="H248" s="3"/>
      <c r="I248" s="6"/>
    </row>
    <row r="249">
      <c r="A249" s="1">
        <v>46158.0</v>
      </c>
      <c r="B249" s="2" t="s">
        <v>4</v>
      </c>
      <c r="C249" s="2" t="s">
        <v>262</v>
      </c>
      <c r="D249" s="4">
        <v>1.35536E7</v>
      </c>
      <c r="E249" s="3"/>
      <c r="F249" s="4" t="s">
        <v>6</v>
      </c>
      <c r="G249" s="3">
        <v>9.628187595000005E7</v>
      </c>
      <c r="H249" s="4">
        <v>9.628187595E7</v>
      </c>
      <c r="I249" s="6"/>
    </row>
    <row r="250">
      <c r="A250" s="1">
        <v>46158.0</v>
      </c>
      <c r="B250" s="2" t="s">
        <v>13</v>
      </c>
      <c r="C250" s="2" t="s">
        <v>64</v>
      </c>
      <c r="D250" s="4">
        <v>61700.0</v>
      </c>
      <c r="E250" s="3"/>
      <c r="F250" s="3"/>
      <c r="G250" s="3">
        <v>9.622017595000005E7</v>
      </c>
      <c r="H250" s="4">
        <v>9.622017595E7</v>
      </c>
      <c r="I250" s="6"/>
    </row>
    <row r="251">
      <c r="A251" s="1">
        <v>46158.0</v>
      </c>
      <c r="B251" s="2" t="s">
        <v>4</v>
      </c>
      <c r="C251" s="2" t="s">
        <v>263</v>
      </c>
      <c r="D251" s="4">
        <v>4275000.0</v>
      </c>
      <c r="E251" s="3"/>
      <c r="F251" s="4" t="s">
        <v>6</v>
      </c>
      <c r="G251" s="3">
        <v>9.194517595000005E7</v>
      </c>
      <c r="H251" s="3"/>
      <c r="I251" s="6"/>
    </row>
    <row r="252">
      <c r="A252" s="1">
        <v>46158.0</v>
      </c>
      <c r="B252" s="2" t="s">
        <v>23</v>
      </c>
      <c r="C252" s="2" t="s">
        <v>264</v>
      </c>
      <c r="D252" s="4"/>
      <c r="E252" s="4">
        <v>1.0966592E8</v>
      </c>
      <c r="F252" s="4" t="s">
        <v>3</v>
      </c>
      <c r="G252" s="3">
        <v>2.0161109595000005E8</v>
      </c>
      <c r="H252" s="3"/>
      <c r="I252" s="6"/>
    </row>
    <row r="253">
      <c r="A253" s="1">
        <v>46158.0</v>
      </c>
      <c r="B253" s="2" t="s">
        <v>265</v>
      </c>
      <c r="C253" s="2" t="s">
        <v>265</v>
      </c>
      <c r="D253" s="4">
        <v>1300000.0</v>
      </c>
      <c r="E253" s="3"/>
      <c r="F253" s="3"/>
      <c r="G253" s="3">
        <v>2.0031109595000005E8</v>
      </c>
      <c r="H253" s="3"/>
      <c r="I253" s="6"/>
    </row>
    <row r="254">
      <c r="A254" s="1">
        <v>46158.0</v>
      </c>
      <c r="B254" s="2" t="s">
        <v>23</v>
      </c>
      <c r="C254" s="2" t="s">
        <v>266</v>
      </c>
      <c r="D254" s="4"/>
      <c r="E254" s="4">
        <v>1.49058E8</v>
      </c>
      <c r="F254" s="4" t="s">
        <v>3</v>
      </c>
      <c r="G254" s="3">
        <v>3.4936909595000005E8</v>
      </c>
      <c r="H254" s="3"/>
      <c r="I254" s="6"/>
    </row>
    <row r="255">
      <c r="A255" s="1">
        <v>46158.0</v>
      </c>
      <c r="B255" s="2" t="s">
        <v>23</v>
      </c>
      <c r="C255" s="2" t="s">
        <v>267</v>
      </c>
      <c r="D255" s="4"/>
      <c r="E255" s="4">
        <v>1.8033176E8</v>
      </c>
      <c r="F255" s="4" t="s">
        <v>3</v>
      </c>
      <c r="G255" s="3">
        <v>5.2970085595000005E8</v>
      </c>
      <c r="H255" s="3"/>
      <c r="I255" s="6"/>
    </row>
    <row r="256">
      <c r="A256" s="1">
        <v>46158.0</v>
      </c>
      <c r="B256" s="2" t="s">
        <v>23</v>
      </c>
      <c r="C256" s="2" t="s">
        <v>268</v>
      </c>
      <c r="D256" s="4"/>
      <c r="E256" s="4">
        <v>3.531349E8</v>
      </c>
      <c r="F256" s="4" t="s">
        <v>3</v>
      </c>
      <c r="G256" s="3">
        <v>8.8283575595E8</v>
      </c>
      <c r="H256" s="3"/>
      <c r="I256" s="6"/>
    </row>
    <row r="257">
      <c r="A257" s="1">
        <v>46158.0</v>
      </c>
      <c r="B257" s="2" t="s">
        <v>4</v>
      </c>
      <c r="C257" s="2" t="s">
        <v>269</v>
      </c>
      <c r="D257" s="4">
        <v>1.1647545E8</v>
      </c>
      <c r="E257" s="3"/>
      <c r="F257" s="4" t="s">
        <v>6</v>
      </c>
      <c r="G257" s="3">
        <v>7.6636030595E8</v>
      </c>
      <c r="H257" s="3"/>
      <c r="I257" s="6"/>
    </row>
    <row r="258">
      <c r="A258" s="1">
        <v>46158.0</v>
      </c>
      <c r="B258" s="2" t="s">
        <v>4</v>
      </c>
      <c r="C258" s="2" t="s">
        <v>270</v>
      </c>
      <c r="D258" s="4">
        <v>3.5E8</v>
      </c>
      <c r="E258" s="3"/>
      <c r="F258" s="4" t="s">
        <v>6</v>
      </c>
      <c r="G258" s="3">
        <v>4.1636030595000005E8</v>
      </c>
      <c r="H258" s="3"/>
      <c r="I258" s="6"/>
    </row>
    <row r="259">
      <c r="A259" s="1">
        <v>46158.0</v>
      </c>
      <c r="B259" s="2" t="s">
        <v>4</v>
      </c>
      <c r="C259" s="2" t="s">
        <v>271</v>
      </c>
      <c r="D259" s="4">
        <v>5.46E7</v>
      </c>
      <c r="E259" s="3"/>
      <c r="F259" s="4" t="s">
        <v>6</v>
      </c>
      <c r="G259" s="3">
        <v>3.6176030595000005E8</v>
      </c>
      <c r="H259" s="3"/>
      <c r="I259" s="6"/>
    </row>
    <row r="260">
      <c r="A260" s="1">
        <v>46158.0</v>
      </c>
      <c r="B260" s="2" t="s">
        <v>13</v>
      </c>
      <c r="C260" s="2" t="s">
        <v>272</v>
      </c>
      <c r="D260" s="4">
        <v>267500.0</v>
      </c>
      <c r="E260" s="3"/>
      <c r="F260" s="3"/>
      <c r="G260" s="3">
        <v>3.6149280595000005E8</v>
      </c>
      <c r="H260" s="3"/>
      <c r="I260" s="6" t="s">
        <v>8</v>
      </c>
    </row>
    <row r="261">
      <c r="A261" s="1">
        <v>46158.0</v>
      </c>
      <c r="B261" s="2" t="s">
        <v>13</v>
      </c>
      <c r="C261" s="2" t="s">
        <v>273</v>
      </c>
      <c r="D261" s="4">
        <v>88500.0</v>
      </c>
      <c r="E261" s="3"/>
      <c r="F261" s="3"/>
      <c r="G261" s="3">
        <v>3.6140430595000005E8</v>
      </c>
      <c r="H261" s="4">
        <v>3.6140430595E8</v>
      </c>
      <c r="I261" s="6" t="s">
        <v>8</v>
      </c>
    </row>
    <row r="262">
      <c r="A262" s="1">
        <v>46159.0</v>
      </c>
      <c r="B262" s="2" t="s">
        <v>274</v>
      </c>
      <c r="C262" s="2" t="s">
        <v>275</v>
      </c>
      <c r="D262" s="4">
        <v>1.2545176E8</v>
      </c>
      <c r="E262" s="3"/>
      <c r="F262" s="4" t="s">
        <v>6</v>
      </c>
      <c r="G262" s="3">
        <v>2.3595254595000005E8</v>
      </c>
      <c r="H262" s="3"/>
      <c r="I262" s="6" t="s">
        <v>8</v>
      </c>
    </row>
    <row r="263">
      <c r="A263" s="1">
        <v>46159.0</v>
      </c>
      <c r="B263" s="2" t="s">
        <v>274</v>
      </c>
      <c r="C263" s="2" t="s">
        <v>276</v>
      </c>
      <c r="D263" s="4">
        <v>1.46016E8</v>
      </c>
      <c r="E263" s="3"/>
      <c r="F263" s="4" t="s">
        <v>6</v>
      </c>
      <c r="G263" s="3">
        <v>8.993654595000005E7</v>
      </c>
      <c r="H263" s="3"/>
      <c r="I263" s="6" t="s">
        <v>8</v>
      </c>
    </row>
    <row r="264">
      <c r="A264" s="1">
        <v>46159.0</v>
      </c>
      <c r="B264" s="2" t="s">
        <v>274</v>
      </c>
      <c r="C264" s="2" t="s">
        <v>277</v>
      </c>
      <c r="D264" s="4">
        <v>2281500.0</v>
      </c>
      <c r="E264" s="3"/>
      <c r="F264" s="4" t="s">
        <v>6</v>
      </c>
      <c r="G264" s="3">
        <v>8.765504595000005E7</v>
      </c>
      <c r="H264" s="4">
        <v>8.765504595E7</v>
      </c>
      <c r="I264" s="6" t="s">
        <v>8</v>
      </c>
    </row>
    <row r="265">
      <c r="A265" s="1">
        <v>46159.0</v>
      </c>
      <c r="B265" s="2" t="s">
        <v>26</v>
      </c>
      <c r="C265" s="2" t="s">
        <v>278</v>
      </c>
      <c r="D265" s="4">
        <v>1525000.0</v>
      </c>
      <c r="E265" s="3"/>
      <c r="F265" s="4" t="s">
        <v>6</v>
      </c>
      <c r="G265" s="3">
        <v>8.613004595000005E7</v>
      </c>
      <c r="H265" s="4">
        <v>8.613004595E7</v>
      </c>
      <c r="I265" s="6" t="s">
        <v>8</v>
      </c>
    </row>
    <row r="266">
      <c r="A266" s="1">
        <v>46159.0</v>
      </c>
      <c r="B266" s="2" t="s">
        <v>26</v>
      </c>
      <c r="C266" s="2" t="s">
        <v>279</v>
      </c>
      <c r="D266" s="4">
        <v>2500.0</v>
      </c>
      <c r="E266" s="3"/>
      <c r="F266" s="4" t="s">
        <v>6</v>
      </c>
      <c r="G266" s="3">
        <v>8.612754595000005E7</v>
      </c>
      <c r="H266" s="3"/>
      <c r="I266" s="6" t="s">
        <v>12</v>
      </c>
    </row>
    <row r="267">
      <c r="A267" s="1">
        <v>46159.0</v>
      </c>
      <c r="B267" s="2" t="s">
        <v>35</v>
      </c>
      <c r="C267" s="2" t="s">
        <v>280</v>
      </c>
      <c r="D267" s="4">
        <v>750000.0</v>
      </c>
      <c r="E267" s="3"/>
      <c r="F267" s="3"/>
      <c r="G267" s="3">
        <v>8.537754595000005E7</v>
      </c>
      <c r="H267" s="3"/>
      <c r="I267" s="6" t="s">
        <v>8</v>
      </c>
    </row>
    <row r="268">
      <c r="A268" s="1">
        <v>46159.0</v>
      </c>
      <c r="B268" s="2" t="s">
        <v>4</v>
      </c>
      <c r="C268" s="2" t="s">
        <v>281</v>
      </c>
      <c r="D268" s="4">
        <v>1015600.0</v>
      </c>
      <c r="E268" s="3"/>
      <c r="F268" s="4" t="s">
        <v>6</v>
      </c>
      <c r="G268" s="3">
        <v>8.436194595000005E7</v>
      </c>
      <c r="H268" s="3"/>
      <c r="I268" s="6" t="s">
        <v>8</v>
      </c>
    </row>
    <row r="269">
      <c r="A269" s="1">
        <v>46159.0</v>
      </c>
      <c r="B269" s="2" t="s">
        <v>4</v>
      </c>
      <c r="C269" s="2" t="s">
        <v>282</v>
      </c>
      <c r="D269" s="4">
        <v>1379100.0</v>
      </c>
      <c r="E269" s="3"/>
      <c r="F269" s="4" t="s">
        <v>6</v>
      </c>
      <c r="G269" s="3">
        <v>8.298284595000005E7</v>
      </c>
      <c r="H269" s="3"/>
      <c r="I269" s="6" t="s">
        <v>8</v>
      </c>
    </row>
    <row r="270">
      <c r="A270" s="1">
        <v>46159.0</v>
      </c>
      <c r="B270" s="2" t="s">
        <v>4</v>
      </c>
      <c r="C270" s="2" t="s">
        <v>283</v>
      </c>
      <c r="D270" s="4">
        <v>4727900.0</v>
      </c>
      <c r="E270" s="3"/>
      <c r="F270" s="4" t="s">
        <v>6</v>
      </c>
      <c r="G270" s="3">
        <v>7.825494595000005E7</v>
      </c>
      <c r="H270" s="3"/>
      <c r="I270" s="6" t="s">
        <v>8</v>
      </c>
    </row>
    <row r="271">
      <c r="A271" s="1">
        <v>46159.0</v>
      </c>
      <c r="B271" s="2" t="s">
        <v>13</v>
      </c>
      <c r="C271" s="2" t="s">
        <v>284</v>
      </c>
      <c r="D271" s="4">
        <v>343500.0</v>
      </c>
      <c r="E271" s="3"/>
      <c r="F271" s="3"/>
      <c r="G271" s="3">
        <v>7.791144595000005E7</v>
      </c>
      <c r="H271" s="3"/>
      <c r="I271" s="6" t="s">
        <v>8</v>
      </c>
    </row>
    <row r="272">
      <c r="A272" s="1">
        <v>46159.0</v>
      </c>
      <c r="B272" s="2" t="s">
        <v>285</v>
      </c>
      <c r="C272" s="2" t="s">
        <v>285</v>
      </c>
      <c r="D272" s="4">
        <v>100000.0</v>
      </c>
      <c r="E272" s="3"/>
      <c r="F272" s="3"/>
      <c r="G272" s="3">
        <v>7.781144595000005E7</v>
      </c>
      <c r="H272" s="3"/>
      <c r="I272" s="6" t="s">
        <v>8</v>
      </c>
    </row>
    <row r="273">
      <c r="A273" s="1">
        <v>46159.0</v>
      </c>
      <c r="B273" s="2" t="s">
        <v>4</v>
      </c>
      <c r="C273" s="2" t="s">
        <v>286</v>
      </c>
      <c r="D273" s="4">
        <v>5.36055E7</v>
      </c>
      <c r="E273" s="3"/>
      <c r="F273" s="4" t="s">
        <v>6</v>
      </c>
      <c r="G273" s="3">
        <v>2.4205945950000048E7</v>
      </c>
      <c r="H273" s="3"/>
      <c r="I273" s="6" t="s">
        <v>8</v>
      </c>
    </row>
    <row r="274">
      <c r="A274" s="1">
        <v>46159.0</v>
      </c>
      <c r="B274" s="2" t="s">
        <v>23</v>
      </c>
      <c r="C274" s="2" t="s">
        <v>287</v>
      </c>
      <c r="D274" s="4"/>
      <c r="E274" s="4">
        <v>1.5288E8</v>
      </c>
      <c r="F274" s="4" t="s">
        <v>3</v>
      </c>
      <c r="G274" s="3">
        <v>1.7708594595000005E8</v>
      </c>
      <c r="H274" s="3"/>
      <c r="I274" s="6" t="s">
        <v>8</v>
      </c>
    </row>
    <row r="275">
      <c r="A275" s="1">
        <v>46159.0</v>
      </c>
      <c r="B275" s="2" t="s">
        <v>23</v>
      </c>
      <c r="C275" s="2" t="s">
        <v>288</v>
      </c>
      <c r="D275" s="4"/>
      <c r="E275" s="4">
        <v>1.8563886E8</v>
      </c>
      <c r="F275" s="4" t="s">
        <v>3</v>
      </c>
      <c r="G275" s="3">
        <v>3.6272480595000005E8</v>
      </c>
      <c r="H275" s="3"/>
      <c r="I275" s="6" t="s">
        <v>8</v>
      </c>
    </row>
    <row r="276">
      <c r="A276" s="1">
        <v>46159.0</v>
      </c>
      <c r="B276" s="2" t="s">
        <v>23</v>
      </c>
      <c r="C276" s="2" t="s">
        <v>289</v>
      </c>
      <c r="D276" s="4"/>
      <c r="E276" s="4">
        <v>7.5E7</v>
      </c>
      <c r="F276" s="4" t="s">
        <v>3</v>
      </c>
      <c r="G276" s="3">
        <v>4.3772480595000005E8</v>
      </c>
      <c r="H276" s="3"/>
      <c r="I276" s="6" t="s">
        <v>8</v>
      </c>
    </row>
    <row r="277">
      <c r="A277" s="1">
        <v>46159.0</v>
      </c>
      <c r="B277" s="2" t="s">
        <v>4</v>
      </c>
      <c r="C277" s="2" t="s">
        <v>290</v>
      </c>
      <c r="D277" s="4">
        <v>1075200.0</v>
      </c>
      <c r="E277" s="3"/>
      <c r="F277" s="4" t="s">
        <v>6</v>
      </c>
      <c r="G277" s="3">
        <v>4.3664960595000005E8</v>
      </c>
      <c r="H277" s="3"/>
      <c r="I277" s="6" t="s">
        <v>8</v>
      </c>
    </row>
    <row r="278">
      <c r="A278" s="1">
        <v>46159.0</v>
      </c>
      <c r="B278" s="2" t="s">
        <v>4</v>
      </c>
      <c r="C278" s="2" t="s">
        <v>291</v>
      </c>
      <c r="D278" s="4">
        <v>1047400.0</v>
      </c>
      <c r="E278" s="3"/>
      <c r="F278" s="4" t="s">
        <v>6</v>
      </c>
      <c r="G278" s="3">
        <v>4.3560220595000005E8</v>
      </c>
      <c r="H278" s="4">
        <v>4.3560220595E8</v>
      </c>
      <c r="I278" s="6" t="s">
        <v>8</v>
      </c>
    </row>
    <row r="279">
      <c r="A279" s="1">
        <v>46159.0</v>
      </c>
      <c r="B279" s="2" t="s">
        <v>4</v>
      </c>
      <c r="C279" s="2" t="s">
        <v>292</v>
      </c>
      <c r="D279" s="4">
        <v>6.380436E7</v>
      </c>
      <c r="E279" s="3"/>
      <c r="F279" s="4" t="s">
        <v>6</v>
      </c>
      <c r="G279" s="3">
        <v>3.7179784595000005E8</v>
      </c>
      <c r="H279" s="4">
        <v>3.7179784595E8</v>
      </c>
      <c r="I279" s="6" t="s">
        <v>8</v>
      </c>
    </row>
    <row r="280">
      <c r="A280" s="1">
        <v>46159.0</v>
      </c>
      <c r="B280" s="2" t="s">
        <v>4</v>
      </c>
      <c r="C280" s="2" t="s">
        <v>293</v>
      </c>
      <c r="D280" s="4">
        <v>1.3574484E8</v>
      </c>
      <c r="E280" s="3"/>
      <c r="F280" s="4" t="s">
        <v>6</v>
      </c>
      <c r="G280" s="3">
        <v>2.3605300595000005E8</v>
      </c>
      <c r="H280" s="3"/>
      <c r="I280" s="6" t="s">
        <v>8</v>
      </c>
    </row>
    <row r="281">
      <c r="A281" s="1">
        <v>46159.0</v>
      </c>
      <c r="B281" s="2" t="s">
        <v>4</v>
      </c>
      <c r="C281" s="2" t="s">
        <v>294</v>
      </c>
      <c r="D281" s="4">
        <v>3373640.0</v>
      </c>
      <c r="E281" s="3"/>
      <c r="F281" s="4" t="s">
        <v>6</v>
      </c>
      <c r="G281" s="3">
        <v>2.3267936595000005E8</v>
      </c>
      <c r="H281" s="3"/>
      <c r="I281" s="6" t="s">
        <v>8</v>
      </c>
    </row>
    <row r="282">
      <c r="A282" s="1">
        <v>46159.0</v>
      </c>
      <c r="B282" s="2" t="s">
        <v>4</v>
      </c>
      <c r="C282" s="2" t="s">
        <v>295</v>
      </c>
      <c r="D282" s="4">
        <v>7.555626E7</v>
      </c>
      <c r="E282" s="3"/>
      <c r="F282" s="4" t="s">
        <v>6</v>
      </c>
      <c r="G282" s="3">
        <v>1.5712310595000005E8</v>
      </c>
      <c r="H282" s="4">
        <v>1.5712310595E8</v>
      </c>
      <c r="I282" s="6" t="s">
        <v>8</v>
      </c>
    </row>
    <row r="283">
      <c r="A283" s="1">
        <v>46160.0</v>
      </c>
      <c r="B283" s="2" t="s">
        <v>296</v>
      </c>
      <c r="C283" s="2" t="s">
        <v>297</v>
      </c>
      <c r="D283" s="4">
        <v>1100000.0</v>
      </c>
      <c r="E283" s="3"/>
      <c r="F283" s="4" t="s">
        <v>6</v>
      </c>
      <c r="G283" s="3">
        <v>1.5602310595000005E8</v>
      </c>
      <c r="H283" s="3"/>
      <c r="I283" s="6" t="s">
        <v>8</v>
      </c>
    </row>
    <row r="284">
      <c r="A284" s="1">
        <v>46160.0</v>
      </c>
      <c r="B284" s="2" t="s">
        <v>298</v>
      </c>
      <c r="C284" s="2" t="s">
        <v>299</v>
      </c>
      <c r="D284" s="4">
        <v>1155600.0</v>
      </c>
      <c r="E284" s="3"/>
      <c r="F284" s="3"/>
      <c r="G284" s="3">
        <v>1.5486750595000005E8</v>
      </c>
      <c r="H284" s="3"/>
      <c r="I284" s="6" t="s">
        <v>8</v>
      </c>
    </row>
    <row r="285">
      <c r="A285" s="1">
        <v>46160.0</v>
      </c>
      <c r="B285" s="2" t="s">
        <v>296</v>
      </c>
      <c r="C285" s="2" t="s">
        <v>300</v>
      </c>
      <c r="D285" s="4">
        <v>687000.0</v>
      </c>
      <c r="E285" s="3"/>
      <c r="F285" s="4" t="s">
        <v>6</v>
      </c>
      <c r="G285" s="3">
        <v>1.5418050595000005E8</v>
      </c>
      <c r="H285" s="3"/>
      <c r="I285" s="6" t="s">
        <v>8</v>
      </c>
    </row>
    <row r="286">
      <c r="A286" s="1">
        <v>46160.0</v>
      </c>
      <c r="B286" s="2" t="s">
        <v>4</v>
      </c>
      <c r="C286" s="2" t="s">
        <v>301</v>
      </c>
      <c r="D286" s="4">
        <v>22000.0</v>
      </c>
      <c r="E286" s="3"/>
      <c r="F286" s="4" t="s">
        <v>6</v>
      </c>
      <c r="G286" s="3">
        <v>1.5415850595000005E8</v>
      </c>
      <c r="H286" s="3"/>
      <c r="I286" s="6" t="s">
        <v>8</v>
      </c>
    </row>
    <row r="287">
      <c r="A287" s="1">
        <v>46160.0</v>
      </c>
      <c r="B287" s="2" t="s">
        <v>4</v>
      </c>
      <c r="C287" s="2" t="s">
        <v>302</v>
      </c>
      <c r="D287" s="4">
        <v>1.46E8</v>
      </c>
      <c r="E287" s="3"/>
      <c r="F287" s="4" t="s">
        <v>6</v>
      </c>
      <c r="G287" s="3">
        <v>8158505.950000048</v>
      </c>
      <c r="H287" s="3"/>
      <c r="I287" s="6" t="s">
        <v>8</v>
      </c>
    </row>
    <row r="288">
      <c r="A288" s="1">
        <v>46160.0</v>
      </c>
      <c r="B288" s="2" t="s">
        <v>13</v>
      </c>
      <c r="C288" s="2" t="s">
        <v>303</v>
      </c>
      <c r="D288" s="4">
        <v>160000.0</v>
      </c>
      <c r="E288" s="3"/>
      <c r="F288" s="3"/>
      <c r="G288" s="3">
        <v>7998505.950000048</v>
      </c>
      <c r="H288" s="3"/>
      <c r="I288" s="6" t="s">
        <v>8</v>
      </c>
    </row>
    <row r="289">
      <c r="A289" s="1">
        <v>46160.0</v>
      </c>
      <c r="B289" s="2" t="s">
        <v>13</v>
      </c>
      <c r="C289" s="2" t="s">
        <v>304</v>
      </c>
      <c r="D289" s="4">
        <v>56700.0</v>
      </c>
      <c r="E289" s="3"/>
      <c r="F289" s="3"/>
      <c r="G289" s="3">
        <v>7941805.950000048</v>
      </c>
      <c r="H289" s="3"/>
      <c r="I289" s="6" t="s">
        <v>8</v>
      </c>
    </row>
    <row r="290">
      <c r="A290" s="1">
        <v>46160.0</v>
      </c>
      <c r="B290" s="2" t="s">
        <v>4</v>
      </c>
      <c r="C290" s="2" t="s">
        <v>305</v>
      </c>
      <c r="D290" s="4">
        <v>502000.0</v>
      </c>
      <c r="E290" s="3"/>
      <c r="F290" s="4" t="s">
        <v>6</v>
      </c>
      <c r="G290" s="3">
        <v>7439805.950000048</v>
      </c>
      <c r="H290" s="4">
        <v>7439805.95</v>
      </c>
      <c r="I290" s="6" t="s">
        <v>8</v>
      </c>
    </row>
    <row r="291">
      <c r="A291" s="1">
        <v>46161.0</v>
      </c>
      <c r="B291" s="2" t="s">
        <v>26</v>
      </c>
      <c r="C291" s="2" t="s">
        <v>306</v>
      </c>
      <c r="D291" s="4">
        <v>65000.0</v>
      </c>
      <c r="E291" s="3"/>
      <c r="F291" s="4" t="s">
        <v>6</v>
      </c>
      <c r="G291" s="3">
        <v>7374805.950000048</v>
      </c>
      <c r="H291" s="3"/>
      <c r="I291" s="6" t="s">
        <v>8</v>
      </c>
    </row>
    <row r="292">
      <c r="A292" s="1">
        <v>46161.0</v>
      </c>
      <c r="B292" s="2" t="s">
        <v>26</v>
      </c>
      <c r="C292" s="2" t="s">
        <v>307</v>
      </c>
      <c r="D292" s="4">
        <v>2500.0</v>
      </c>
      <c r="E292" s="3"/>
      <c r="F292" s="4" t="s">
        <v>6</v>
      </c>
      <c r="G292" s="3">
        <v>7372305.950000048</v>
      </c>
      <c r="H292" s="4">
        <v>7372305.95</v>
      </c>
      <c r="I292" s="6" t="s">
        <v>8</v>
      </c>
    </row>
    <row r="293">
      <c r="A293" s="1">
        <v>46161.0</v>
      </c>
      <c r="B293" s="2" t="s">
        <v>23</v>
      </c>
      <c r="C293" s="2" t="s">
        <v>308</v>
      </c>
      <c r="D293" s="4"/>
      <c r="E293" s="4">
        <v>1.7568854E8</v>
      </c>
      <c r="F293" s="4" t="s">
        <v>3</v>
      </c>
      <c r="G293" s="3">
        <v>1.8306084595000005E8</v>
      </c>
      <c r="H293" s="4">
        <v>1.8306084595E8</v>
      </c>
      <c r="I293" s="6" t="s">
        <v>8</v>
      </c>
    </row>
    <row r="294">
      <c r="A294" s="1">
        <v>46161.0</v>
      </c>
      <c r="B294" s="2" t="s">
        <v>13</v>
      </c>
      <c r="C294" s="2" t="s">
        <v>309</v>
      </c>
      <c r="D294" s="4">
        <v>585700.0</v>
      </c>
      <c r="E294" s="3"/>
      <c r="F294" s="3"/>
      <c r="G294" s="3">
        <v>1.8247514595000005E8</v>
      </c>
      <c r="H294" s="3"/>
      <c r="I294" s="6" t="s">
        <v>8</v>
      </c>
    </row>
    <row r="295">
      <c r="A295" s="1">
        <v>46161.0</v>
      </c>
      <c r="B295" s="2" t="s">
        <v>13</v>
      </c>
      <c r="C295" s="2" t="s">
        <v>310</v>
      </c>
      <c r="D295" s="4">
        <v>675000.0</v>
      </c>
      <c r="E295" s="3"/>
      <c r="F295" s="3"/>
      <c r="G295" s="3">
        <v>1.8180014595000005E8</v>
      </c>
      <c r="H295" s="3"/>
      <c r="I295" s="6" t="s">
        <v>8</v>
      </c>
    </row>
    <row r="296">
      <c r="A296" s="1">
        <v>46161.0</v>
      </c>
      <c r="B296" s="2" t="s">
        <v>23</v>
      </c>
      <c r="C296" s="2" t="s">
        <v>311</v>
      </c>
      <c r="D296" s="4"/>
      <c r="E296" s="4">
        <v>6.35426E7</v>
      </c>
      <c r="F296" s="4" t="s">
        <v>3</v>
      </c>
      <c r="G296" s="3">
        <v>2.4534274595000005E8</v>
      </c>
      <c r="H296" s="3"/>
      <c r="I296" s="6" t="s">
        <v>8</v>
      </c>
    </row>
    <row r="297">
      <c r="A297" s="1">
        <v>46161.0</v>
      </c>
      <c r="B297" s="2" t="s">
        <v>23</v>
      </c>
      <c r="C297" s="2" t="s">
        <v>312</v>
      </c>
      <c r="D297" s="4"/>
      <c r="E297" s="4">
        <v>7.735686E7</v>
      </c>
      <c r="F297" s="4" t="s">
        <v>3</v>
      </c>
      <c r="G297" s="3">
        <v>3.2269960595000005E8</v>
      </c>
      <c r="H297" s="3"/>
      <c r="I297" s="6" t="s">
        <v>8</v>
      </c>
    </row>
    <row r="298">
      <c r="A298" s="1">
        <v>46161.0</v>
      </c>
      <c r="B298" s="2" t="s">
        <v>4</v>
      </c>
      <c r="C298" s="2" t="s">
        <v>313</v>
      </c>
      <c r="D298" s="4">
        <v>2.5E8</v>
      </c>
      <c r="E298" s="3"/>
      <c r="F298" s="4" t="s">
        <v>6</v>
      </c>
      <c r="G298" s="3">
        <v>7.269960595000005E7</v>
      </c>
      <c r="H298" s="3"/>
      <c r="I298" s="6" t="s">
        <v>8</v>
      </c>
    </row>
    <row r="299">
      <c r="A299" s="1">
        <v>46161.0</v>
      </c>
      <c r="B299" s="2" t="s">
        <v>23</v>
      </c>
      <c r="C299" s="2" t="s">
        <v>314</v>
      </c>
      <c r="D299" s="4"/>
      <c r="E299" s="4">
        <v>7.638E7</v>
      </c>
      <c r="F299" s="4" t="s">
        <v>3</v>
      </c>
      <c r="G299" s="3">
        <v>1.4907960595000005E8</v>
      </c>
      <c r="H299" s="3"/>
      <c r="I299" s="6" t="s">
        <v>8</v>
      </c>
    </row>
    <row r="300">
      <c r="A300" s="1">
        <v>46161.0</v>
      </c>
      <c r="B300" s="2" t="s">
        <v>4</v>
      </c>
      <c r="C300" s="2" t="s">
        <v>315</v>
      </c>
      <c r="D300" s="4">
        <v>1.0E8</v>
      </c>
      <c r="E300" s="3"/>
      <c r="F300" s="4" t="s">
        <v>6</v>
      </c>
      <c r="G300" s="3">
        <v>4.907960595000005E7</v>
      </c>
      <c r="H300" s="3"/>
      <c r="I300" s="6" t="s">
        <v>8</v>
      </c>
    </row>
    <row r="301">
      <c r="A301" s="1">
        <v>46161.0</v>
      </c>
      <c r="B301" s="2" t="s">
        <v>4</v>
      </c>
      <c r="C301" s="2" t="s">
        <v>316</v>
      </c>
      <c r="D301" s="4">
        <v>1.854081E7</v>
      </c>
      <c r="E301" s="3"/>
      <c r="F301" s="4" t="s">
        <v>6</v>
      </c>
      <c r="G301" s="3">
        <v>3.0538795950000048E7</v>
      </c>
      <c r="H301" s="3"/>
      <c r="I301" s="6" t="s">
        <v>8</v>
      </c>
    </row>
    <row r="302">
      <c r="A302" s="1">
        <v>46161.0</v>
      </c>
      <c r="B302" s="2" t="s">
        <v>23</v>
      </c>
      <c r="C302" s="2" t="s">
        <v>317</v>
      </c>
      <c r="D302" s="4"/>
      <c r="E302" s="4">
        <v>3.353244E8</v>
      </c>
      <c r="F302" s="4" t="s">
        <v>3</v>
      </c>
      <c r="G302" s="3">
        <v>3.6586319595000005E8</v>
      </c>
      <c r="H302" s="3"/>
      <c r="I302" s="6" t="s">
        <v>8</v>
      </c>
    </row>
    <row r="303">
      <c r="A303" s="1">
        <v>46161.0</v>
      </c>
      <c r="B303" s="2" t="s">
        <v>318</v>
      </c>
      <c r="C303" s="2" t="s">
        <v>318</v>
      </c>
      <c r="D303" s="4">
        <v>19000.0</v>
      </c>
      <c r="E303" s="3"/>
      <c r="F303" s="3"/>
      <c r="G303" s="3">
        <v>3.6584419595000005E8</v>
      </c>
      <c r="H303" s="4">
        <v>3.6584419595E8</v>
      </c>
      <c r="I303" s="6" t="s">
        <v>8</v>
      </c>
    </row>
    <row r="304">
      <c r="A304" s="1">
        <v>46162.0</v>
      </c>
      <c r="B304" s="2" t="s">
        <v>4</v>
      </c>
      <c r="C304" s="2" t="s">
        <v>319</v>
      </c>
      <c r="D304" s="4">
        <v>6.2E7</v>
      </c>
      <c r="E304" s="3"/>
      <c r="F304" s="4" t="s">
        <v>6</v>
      </c>
      <c r="G304" s="3">
        <v>3.0384419595000005E8</v>
      </c>
      <c r="H304" s="3"/>
      <c r="I304" s="6" t="s">
        <v>8</v>
      </c>
    </row>
    <row r="305">
      <c r="A305" s="1">
        <v>46162.0</v>
      </c>
      <c r="B305" s="2" t="s">
        <v>4</v>
      </c>
      <c r="C305" s="2" t="s">
        <v>320</v>
      </c>
      <c r="D305" s="4">
        <v>6.14989E7</v>
      </c>
      <c r="E305" s="3"/>
      <c r="F305" s="4" t="s">
        <v>6</v>
      </c>
      <c r="G305" s="3">
        <v>2.4234529595000005E8</v>
      </c>
      <c r="H305" s="3"/>
      <c r="I305" s="6" t="s">
        <v>8</v>
      </c>
    </row>
    <row r="306">
      <c r="A306" s="1">
        <v>46162.0</v>
      </c>
      <c r="B306" s="2" t="s">
        <v>4</v>
      </c>
      <c r="C306" s="2" t="s">
        <v>321</v>
      </c>
      <c r="D306" s="4">
        <v>5.789E7</v>
      </c>
      <c r="E306" s="3"/>
      <c r="F306" s="4" t="s">
        <v>6</v>
      </c>
      <c r="G306" s="3">
        <v>1.8445529595000005E8</v>
      </c>
      <c r="H306" s="4">
        <v>1.8445529595E8</v>
      </c>
      <c r="I306" s="6" t="s">
        <v>8</v>
      </c>
    </row>
    <row r="307">
      <c r="A307" s="1">
        <v>46162.0</v>
      </c>
      <c r="B307" s="2" t="s">
        <v>4</v>
      </c>
      <c r="C307" s="2" t="s">
        <v>322</v>
      </c>
      <c r="D307" s="4">
        <v>1.0901E8</v>
      </c>
      <c r="E307" s="3"/>
      <c r="F307" s="4" t="s">
        <v>6</v>
      </c>
      <c r="G307" s="3">
        <v>7.544529595000005E7</v>
      </c>
      <c r="H307" s="4">
        <v>7.544529595E7</v>
      </c>
      <c r="I307" s="6" t="s">
        <v>8</v>
      </c>
    </row>
    <row r="308">
      <c r="A308" s="1">
        <v>46162.0</v>
      </c>
      <c r="B308" s="2" t="s">
        <v>4</v>
      </c>
      <c r="C308" s="2" t="s">
        <v>323</v>
      </c>
      <c r="D308" s="4">
        <v>1.0E7</v>
      </c>
      <c r="E308" s="3"/>
      <c r="F308" s="4" t="s">
        <v>6</v>
      </c>
      <c r="G308" s="3">
        <v>6.544529595000005E7</v>
      </c>
      <c r="H308" s="3"/>
      <c r="I308" s="6" t="s">
        <v>8</v>
      </c>
    </row>
    <row r="309">
      <c r="A309" s="1">
        <v>46162.0</v>
      </c>
      <c r="B309" s="2" t="s">
        <v>4</v>
      </c>
      <c r="C309" s="2" t="s">
        <v>324</v>
      </c>
      <c r="D309" s="4">
        <v>4.8656E7</v>
      </c>
      <c r="E309" s="3"/>
      <c r="F309" s="4" t="s">
        <v>6</v>
      </c>
      <c r="G309" s="3">
        <v>1.6789295950000048E7</v>
      </c>
      <c r="H309" s="3"/>
      <c r="I309" s="6" t="s">
        <v>8</v>
      </c>
    </row>
    <row r="310">
      <c r="A310" s="1">
        <v>46162.0</v>
      </c>
      <c r="B310" s="2" t="s">
        <v>4</v>
      </c>
      <c r="C310" s="2" t="s">
        <v>325</v>
      </c>
      <c r="D310" s="4">
        <v>750000.0</v>
      </c>
      <c r="E310" s="3"/>
      <c r="F310" s="4" t="s">
        <v>6</v>
      </c>
      <c r="G310" s="3">
        <v>1.6039295950000048E7</v>
      </c>
      <c r="H310" s="3"/>
      <c r="I310" s="6" t="s">
        <v>8</v>
      </c>
    </row>
    <row r="311">
      <c r="A311" s="1">
        <v>46162.0</v>
      </c>
      <c r="B311" s="2" t="s">
        <v>4</v>
      </c>
      <c r="C311" s="2" t="s">
        <v>326</v>
      </c>
      <c r="D311" s="4">
        <v>2077210.0</v>
      </c>
      <c r="E311" s="3"/>
      <c r="F311" s="4" t="s">
        <v>6</v>
      </c>
      <c r="G311" s="3">
        <v>1.3962085950000048E7</v>
      </c>
      <c r="H311" s="3"/>
      <c r="I311" s="6" t="s">
        <v>8</v>
      </c>
    </row>
    <row r="312">
      <c r="A312" s="1">
        <v>46162.0</v>
      </c>
      <c r="B312" s="2" t="s">
        <v>4</v>
      </c>
      <c r="C312" s="2" t="s">
        <v>327</v>
      </c>
      <c r="D312" s="4">
        <v>9281300.0</v>
      </c>
      <c r="E312" s="3"/>
      <c r="F312" s="4" t="s">
        <v>6</v>
      </c>
      <c r="G312" s="3">
        <v>4680785.950000048</v>
      </c>
      <c r="H312" s="3"/>
      <c r="I312" s="6" t="s">
        <v>8</v>
      </c>
    </row>
    <row r="313">
      <c r="A313" s="1">
        <v>46162.0</v>
      </c>
      <c r="B313" s="2" t="s">
        <v>35</v>
      </c>
      <c r="C313" s="2" t="s">
        <v>328</v>
      </c>
      <c r="D313" s="4">
        <v>152000.0</v>
      </c>
      <c r="E313" s="3"/>
      <c r="F313" s="3"/>
      <c r="G313" s="3">
        <v>4528785.950000048</v>
      </c>
      <c r="H313" s="3"/>
      <c r="I313" s="6" t="s">
        <v>8</v>
      </c>
    </row>
    <row r="314">
      <c r="A314" s="1">
        <v>46162.0</v>
      </c>
      <c r="B314" s="2" t="s">
        <v>23</v>
      </c>
      <c r="C314" s="2" t="s">
        <v>329</v>
      </c>
      <c r="D314" s="4"/>
      <c r="E314" s="4">
        <v>2.0152904E8</v>
      </c>
      <c r="F314" s="4" t="s">
        <v>3</v>
      </c>
      <c r="G314" s="3">
        <v>2.0605782595000005E8</v>
      </c>
      <c r="H314" s="3"/>
      <c r="I314" s="6" t="s">
        <v>8</v>
      </c>
    </row>
    <row r="315">
      <c r="A315" s="1">
        <v>46162.0</v>
      </c>
      <c r="B315" s="2" t="s">
        <v>23</v>
      </c>
      <c r="C315" s="2" t="s">
        <v>330</v>
      </c>
      <c r="D315" s="4"/>
      <c r="E315" s="4">
        <v>4.2996192E8</v>
      </c>
      <c r="F315" s="4" t="s">
        <v>3</v>
      </c>
      <c r="G315" s="3">
        <v>6.3601974595E8</v>
      </c>
      <c r="H315" s="3"/>
      <c r="I315" s="6" t="s">
        <v>8</v>
      </c>
    </row>
    <row r="316">
      <c r="A316" s="1">
        <v>46162.0</v>
      </c>
      <c r="B316" s="2" t="s">
        <v>23</v>
      </c>
      <c r="C316" s="2" t="s">
        <v>331</v>
      </c>
      <c r="D316" s="4"/>
      <c r="E316" s="4">
        <v>1.5E7</v>
      </c>
      <c r="F316" s="4" t="s">
        <v>3</v>
      </c>
      <c r="G316" s="3">
        <v>6.5101974595E8</v>
      </c>
      <c r="H316" s="3"/>
      <c r="I316" s="6" t="s">
        <v>8</v>
      </c>
    </row>
    <row r="317">
      <c r="A317" s="1">
        <v>46162.0</v>
      </c>
      <c r="B317" s="2" t="s">
        <v>4</v>
      </c>
      <c r="C317" s="2" t="s">
        <v>332</v>
      </c>
      <c r="D317" s="4">
        <v>4.1336479E8</v>
      </c>
      <c r="E317" s="3"/>
      <c r="F317" s="4" t="s">
        <v>6</v>
      </c>
      <c r="G317" s="3">
        <v>2.3765495595000005E8</v>
      </c>
      <c r="H317" s="3"/>
      <c r="I317" s="6" t="s">
        <v>8</v>
      </c>
    </row>
    <row r="318">
      <c r="A318" s="1">
        <v>46162.0</v>
      </c>
      <c r="B318" s="2" t="s">
        <v>4</v>
      </c>
      <c r="C318" s="2" t="s">
        <v>333</v>
      </c>
      <c r="D318" s="4">
        <v>7.105E7</v>
      </c>
      <c r="E318" s="3"/>
      <c r="F318" s="4" t="s">
        <v>6</v>
      </c>
      <c r="G318" s="3">
        <v>1.6660495595000005E8</v>
      </c>
      <c r="H318" s="3"/>
      <c r="I318" s="6" t="s">
        <v>8</v>
      </c>
    </row>
    <row r="319">
      <c r="A319" s="1">
        <v>46162.0</v>
      </c>
      <c r="B319" s="2" t="s">
        <v>23</v>
      </c>
      <c r="C319" s="2" t="s">
        <v>334</v>
      </c>
      <c r="D319" s="4"/>
      <c r="E319" s="4">
        <v>1.65025E7</v>
      </c>
      <c r="F319" s="4" t="s">
        <v>3</v>
      </c>
      <c r="G319" s="3">
        <v>1.8310745595000005E8</v>
      </c>
      <c r="H319" s="4">
        <v>1.8310745595E8</v>
      </c>
      <c r="I319" s="6" t="s">
        <v>8</v>
      </c>
    </row>
    <row r="320">
      <c r="A320" s="1">
        <v>46163.0</v>
      </c>
      <c r="B320" s="2" t="s">
        <v>4</v>
      </c>
      <c r="C320" s="2" t="s">
        <v>335</v>
      </c>
      <c r="D320" s="4">
        <v>5.3013E7</v>
      </c>
      <c r="E320" s="3"/>
      <c r="F320" s="4" t="s">
        <v>6</v>
      </c>
      <c r="G320" s="3">
        <v>1.3009445595000005E8</v>
      </c>
      <c r="H320" s="4">
        <v>1.3009445595E8</v>
      </c>
      <c r="I320" s="6" t="s">
        <v>8</v>
      </c>
    </row>
    <row r="321">
      <c r="A321" s="1">
        <v>46163.0</v>
      </c>
      <c r="B321" s="2" t="s">
        <v>4</v>
      </c>
      <c r="C321" s="2" t="s">
        <v>336</v>
      </c>
      <c r="D321" s="4">
        <v>1.2042153E8</v>
      </c>
      <c r="E321" s="3"/>
      <c r="F321" s="4" t="s">
        <v>6</v>
      </c>
      <c r="G321" s="3">
        <v>9672925.950000048</v>
      </c>
      <c r="H321" s="3"/>
      <c r="I321" s="6" t="s">
        <v>8</v>
      </c>
    </row>
    <row r="322">
      <c r="A322" s="1">
        <v>46163.0</v>
      </c>
      <c r="B322" s="2" t="s">
        <v>4</v>
      </c>
      <c r="C322" s="2" t="s">
        <v>337</v>
      </c>
      <c r="D322" s="4">
        <v>2338980.0</v>
      </c>
      <c r="E322" s="3"/>
      <c r="F322" s="4" t="s">
        <v>6</v>
      </c>
      <c r="G322" s="3">
        <v>7333945.950000048</v>
      </c>
      <c r="H322" s="3"/>
      <c r="I322" s="6" t="s">
        <v>8</v>
      </c>
    </row>
    <row r="323">
      <c r="A323" s="1">
        <v>46163.0</v>
      </c>
      <c r="B323" s="2" t="s">
        <v>4</v>
      </c>
      <c r="C323" s="2" t="s">
        <v>338</v>
      </c>
      <c r="D323" s="4">
        <v>1978300.0</v>
      </c>
      <c r="E323" s="3"/>
      <c r="F323" s="4" t="s">
        <v>6</v>
      </c>
      <c r="G323" s="3">
        <v>5355645.950000048</v>
      </c>
      <c r="H323" s="3"/>
      <c r="I323" s="6" t="s">
        <v>8</v>
      </c>
    </row>
    <row r="324">
      <c r="A324" s="1">
        <v>46163.0</v>
      </c>
      <c r="B324" s="2" t="s">
        <v>4</v>
      </c>
      <c r="C324" s="2" t="s">
        <v>339</v>
      </c>
      <c r="D324" s="4">
        <v>2874500.0</v>
      </c>
      <c r="E324" s="3"/>
      <c r="F324" s="4" t="s">
        <v>6</v>
      </c>
      <c r="G324" s="3">
        <v>2481145.9500000477</v>
      </c>
      <c r="H324" s="3"/>
      <c r="I324" s="6" t="s">
        <v>8</v>
      </c>
    </row>
    <row r="325">
      <c r="A325" s="1">
        <v>46163.0</v>
      </c>
      <c r="B325" s="2" t="s">
        <v>26</v>
      </c>
      <c r="C325" s="2" t="s">
        <v>340</v>
      </c>
      <c r="D325" s="4">
        <v>1675620.0</v>
      </c>
      <c r="E325" s="3"/>
      <c r="F325" s="4" t="s">
        <v>6</v>
      </c>
      <c r="G325" s="3">
        <v>805525.9500000477</v>
      </c>
      <c r="H325" s="3"/>
      <c r="I325" s="6" t="s">
        <v>8</v>
      </c>
    </row>
    <row r="326">
      <c r="A326" s="1">
        <v>46163.0</v>
      </c>
      <c r="B326" s="2" t="s">
        <v>26</v>
      </c>
      <c r="C326" s="2" t="s">
        <v>341</v>
      </c>
      <c r="D326" s="4">
        <v>2500.0</v>
      </c>
      <c r="E326" s="3"/>
      <c r="F326" s="4" t="s">
        <v>6</v>
      </c>
      <c r="G326" s="3">
        <v>803025.9500000477</v>
      </c>
      <c r="H326" s="3"/>
      <c r="I326" s="6" t="s">
        <v>8</v>
      </c>
    </row>
    <row r="327">
      <c r="A327" s="1">
        <v>46163.0</v>
      </c>
      <c r="B327" s="2" t="s">
        <v>26</v>
      </c>
      <c r="C327" s="2" t="s">
        <v>131</v>
      </c>
      <c r="D327" s="4">
        <v>300000.0</v>
      </c>
      <c r="E327" s="3"/>
      <c r="F327" s="4" t="s">
        <v>6</v>
      </c>
      <c r="G327" s="3">
        <v>503025.9500000477</v>
      </c>
      <c r="H327" s="3"/>
      <c r="I327" s="6" t="s">
        <v>8</v>
      </c>
    </row>
    <row r="328">
      <c r="A328" s="1">
        <v>46163.0</v>
      </c>
      <c r="B328" s="2" t="s">
        <v>26</v>
      </c>
      <c r="C328" s="2" t="s">
        <v>132</v>
      </c>
      <c r="D328" s="4">
        <v>2500.0</v>
      </c>
      <c r="E328" s="3"/>
      <c r="F328" s="4" t="s">
        <v>6</v>
      </c>
      <c r="G328" s="3">
        <v>500525.9500000477</v>
      </c>
      <c r="H328" s="4">
        <v>500525.95</v>
      </c>
      <c r="I328" s="6" t="s">
        <v>8</v>
      </c>
    </row>
    <row r="329">
      <c r="A329" s="1">
        <v>46164.0</v>
      </c>
      <c r="B329" s="2" t="s">
        <v>4</v>
      </c>
      <c r="C329" s="2" t="s">
        <v>342</v>
      </c>
      <c r="D329" s="4">
        <v>200000.0</v>
      </c>
      <c r="E329" s="3"/>
      <c r="F329" s="4" t="s">
        <v>6</v>
      </c>
      <c r="G329" s="3">
        <v>300525.9500000477</v>
      </c>
      <c r="H329" s="3"/>
      <c r="I329" s="7" t="s">
        <v>343</v>
      </c>
    </row>
    <row r="330">
      <c r="A330" s="1">
        <v>46164.0</v>
      </c>
      <c r="B330" s="2" t="s">
        <v>23</v>
      </c>
      <c r="C330" s="2" t="s">
        <v>344</v>
      </c>
      <c r="D330" s="4"/>
      <c r="E330" s="4">
        <v>2.8141249E8</v>
      </c>
      <c r="F330" s="4" t="s">
        <v>3</v>
      </c>
      <c r="G330" s="3">
        <v>2.8171301595000005E8</v>
      </c>
      <c r="H330" s="3"/>
      <c r="I330" s="6" t="s">
        <v>8</v>
      </c>
    </row>
    <row r="331">
      <c r="A331" s="1">
        <v>46164.0</v>
      </c>
      <c r="B331" s="2" t="s">
        <v>23</v>
      </c>
      <c r="C331" s="2" t="s">
        <v>345</v>
      </c>
      <c r="D331" s="4"/>
      <c r="E331" s="4">
        <v>5.76E7</v>
      </c>
      <c r="F331" s="4" t="s">
        <v>3</v>
      </c>
      <c r="G331" s="3">
        <v>3.3931301595000005E8</v>
      </c>
      <c r="H331" s="3"/>
      <c r="I331" s="6" t="s">
        <v>8</v>
      </c>
    </row>
    <row r="332">
      <c r="A332" s="1">
        <v>46164.0</v>
      </c>
      <c r="B332" s="2" t="s">
        <v>4</v>
      </c>
      <c r="C332" s="2" t="s">
        <v>346</v>
      </c>
      <c r="D332" s="4">
        <v>1.63415E7</v>
      </c>
      <c r="E332" s="3"/>
      <c r="F332" s="4" t="s">
        <v>6</v>
      </c>
      <c r="G332" s="3">
        <v>3.2297151595000005E8</v>
      </c>
      <c r="H332" s="4">
        <v>3.2297151595E8</v>
      </c>
      <c r="I332" s="6" t="s">
        <v>8</v>
      </c>
    </row>
    <row r="333">
      <c r="A333" s="1">
        <v>46164.0</v>
      </c>
      <c r="B333" s="2" t="s">
        <v>4</v>
      </c>
      <c r="C333" s="2" t="s">
        <v>347</v>
      </c>
      <c r="D333" s="4">
        <v>7.214895E7</v>
      </c>
      <c r="E333" s="3"/>
      <c r="F333" s="4" t="s">
        <v>6</v>
      </c>
      <c r="G333" s="3">
        <v>2.5082256595000005E8</v>
      </c>
      <c r="H333" s="4">
        <v>2.5082256595E8</v>
      </c>
      <c r="I333" s="6" t="s">
        <v>8</v>
      </c>
    </row>
    <row r="334">
      <c r="A334" s="1">
        <v>46164.0</v>
      </c>
      <c r="B334" s="2" t="s">
        <v>4</v>
      </c>
      <c r="C334" s="2" t="s">
        <v>348</v>
      </c>
      <c r="D334" s="4">
        <v>37000.0</v>
      </c>
      <c r="E334" s="3"/>
      <c r="F334" s="4" t="s">
        <v>6</v>
      </c>
      <c r="G334" s="3">
        <v>2.5078556595000005E8</v>
      </c>
      <c r="H334" s="3"/>
      <c r="I334" s="6" t="s">
        <v>8</v>
      </c>
    </row>
    <row r="335">
      <c r="A335" s="1">
        <v>46164.0</v>
      </c>
      <c r="B335" s="2" t="s">
        <v>4</v>
      </c>
      <c r="C335" s="2" t="s">
        <v>349</v>
      </c>
      <c r="D335" s="4">
        <v>2.0E7</v>
      </c>
      <c r="E335" s="3"/>
      <c r="F335" s="4" t="s">
        <v>6</v>
      </c>
      <c r="G335" s="3">
        <v>2.3078556595000005E8</v>
      </c>
      <c r="H335" s="3"/>
      <c r="I335" s="6" t="s">
        <v>8</v>
      </c>
    </row>
    <row r="336">
      <c r="A336" s="1">
        <v>46164.0</v>
      </c>
      <c r="B336" s="2" t="s">
        <v>4</v>
      </c>
      <c r="C336" s="2" t="s">
        <v>350</v>
      </c>
      <c r="D336" s="4">
        <v>7.247235E7</v>
      </c>
      <c r="E336" s="3"/>
      <c r="F336" s="4" t="s">
        <v>6</v>
      </c>
      <c r="G336" s="3">
        <v>1.5831321595000005E8</v>
      </c>
      <c r="H336" s="3"/>
      <c r="I336" s="6" t="s">
        <v>8</v>
      </c>
    </row>
    <row r="337">
      <c r="A337" s="1">
        <v>46164.0</v>
      </c>
      <c r="B337" s="2" t="s">
        <v>4</v>
      </c>
      <c r="C337" s="2" t="s">
        <v>351</v>
      </c>
      <c r="D337" s="4">
        <v>500000.0</v>
      </c>
      <c r="E337" s="3"/>
      <c r="F337" s="4" t="s">
        <v>6</v>
      </c>
      <c r="G337" s="3">
        <v>1.5781321595000005E8</v>
      </c>
      <c r="H337" s="3"/>
      <c r="I337" s="6" t="s">
        <v>8</v>
      </c>
    </row>
    <row r="338">
      <c r="A338" s="1">
        <v>46164.0</v>
      </c>
      <c r="B338" s="2" t="s">
        <v>23</v>
      </c>
      <c r="C338" s="2" t="s">
        <v>352</v>
      </c>
      <c r="D338" s="4"/>
      <c r="E338" s="4">
        <v>3.5862221E8</v>
      </c>
      <c r="F338" s="4" t="s">
        <v>3</v>
      </c>
      <c r="G338" s="3">
        <v>5.1643542595000005E8</v>
      </c>
      <c r="H338" s="3"/>
      <c r="I338" s="6" t="s">
        <v>8</v>
      </c>
    </row>
    <row r="339">
      <c r="A339" s="1">
        <v>46164.0</v>
      </c>
      <c r="B339" s="2" t="s">
        <v>4</v>
      </c>
      <c r="C339" s="2" t="s">
        <v>353</v>
      </c>
      <c r="D339" s="4">
        <v>3.5063244E8</v>
      </c>
      <c r="E339" s="3"/>
      <c r="F339" s="4" t="s">
        <v>6</v>
      </c>
      <c r="G339" s="3">
        <v>1.6580298595000005E8</v>
      </c>
      <c r="H339" s="3"/>
      <c r="I339" s="6" t="s">
        <v>8</v>
      </c>
    </row>
    <row r="340">
      <c r="A340" s="1">
        <v>46164.0</v>
      </c>
      <c r="B340" s="2" t="s">
        <v>4</v>
      </c>
      <c r="C340" s="2" t="s">
        <v>354</v>
      </c>
      <c r="D340" s="4">
        <v>2.0E7</v>
      </c>
      <c r="E340" s="3"/>
      <c r="F340" s="4" t="s">
        <v>6</v>
      </c>
      <c r="G340" s="3">
        <v>1.4580298595000005E8</v>
      </c>
      <c r="H340" s="4">
        <v>1.4580298595E8</v>
      </c>
      <c r="I340" s="6" t="s">
        <v>8</v>
      </c>
    </row>
    <row r="341">
      <c r="A341" s="1">
        <v>46165.0</v>
      </c>
      <c r="B341" s="2" t="s">
        <v>355</v>
      </c>
      <c r="C341" s="2" t="s">
        <v>356</v>
      </c>
      <c r="D341" s="4">
        <v>1537200.0</v>
      </c>
      <c r="E341" s="3"/>
      <c r="F341" s="4" t="s">
        <v>6</v>
      </c>
      <c r="G341" s="3">
        <v>1.4426578595000005E8</v>
      </c>
      <c r="H341" s="3"/>
      <c r="I341" s="6" t="s">
        <v>8</v>
      </c>
    </row>
    <row r="342">
      <c r="A342" s="1">
        <v>46165.0</v>
      </c>
      <c r="B342" s="2" t="s">
        <v>355</v>
      </c>
      <c r="C342" s="2" t="s">
        <v>357</v>
      </c>
      <c r="D342" s="4">
        <v>9357400.0</v>
      </c>
      <c r="E342" s="3"/>
      <c r="F342" s="4" t="s">
        <v>6</v>
      </c>
      <c r="G342" s="3">
        <v>1.3490838595000005E8</v>
      </c>
      <c r="H342" s="3"/>
      <c r="I342" s="6" t="s">
        <v>8</v>
      </c>
    </row>
    <row r="343">
      <c r="A343" s="1">
        <v>46165.0</v>
      </c>
      <c r="B343" s="2" t="s">
        <v>358</v>
      </c>
      <c r="C343" s="2" t="s">
        <v>359</v>
      </c>
      <c r="D343" s="4"/>
      <c r="E343" s="4">
        <v>1.76578E7</v>
      </c>
      <c r="F343" s="4" t="s">
        <v>3</v>
      </c>
      <c r="G343" s="3">
        <v>1.5256618595000005E8</v>
      </c>
      <c r="H343" s="3"/>
      <c r="I343" s="6" t="s">
        <v>8</v>
      </c>
    </row>
    <row r="344">
      <c r="A344" s="1">
        <v>46165.0</v>
      </c>
      <c r="B344" s="2" t="s">
        <v>355</v>
      </c>
      <c r="C344" s="2" t="s">
        <v>360</v>
      </c>
      <c r="D344" s="4">
        <v>1.039417E7</v>
      </c>
      <c r="E344" s="3"/>
      <c r="F344" s="4" t="s">
        <v>6</v>
      </c>
      <c r="G344" s="3">
        <v>1.4217201595000005E8</v>
      </c>
      <c r="H344" s="3"/>
      <c r="I344" s="6" t="s">
        <v>8</v>
      </c>
    </row>
    <row r="345">
      <c r="A345" s="1">
        <v>46165.0</v>
      </c>
      <c r="B345" s="2" t="s">
        <v>355</v>
      </c>
      <c r="C345" s="2" t="s">
        <v>361</v>
      </c>
      <c r="D345" s="4">
        <v>500000.0</v>
      </c>
      <c r="E345" s="3"/>
      <c r="F345" s="4" t="s">
        <v>6</v>
      </c>
      <c r="G345" s="3">
        <v>1.4167201595000005E8</v>
      </c>
      <c r="H345" s="4">
        <v>1.4167201595E8</v>
      </c>
      <c r="I345" s="6" t="s">
        <v>8</v>
      </c>
    </row>
    <row r="346">
      <c r="A346" s="1">
        <v>46165.0</v>
      </c>
      <c r="B346" s="2" t="s">
        <v>355</v>
      </c>
      <c r="C346" s="2" t="s">
        <v>362</v>
      </c>
      <c r="D346" s="4">
        <v>1.414561E8</v>
      </c>
      <c r="E346" s="3"/>
      <c r="F346" s="4" t="s">
        <v>6</v>
      </c>
      <c r="G346" s="3">
        <v>215915.95000004768</v>
      </c>
      <c r="H346" s="4">
        <v>215915.95</v>
      </c>
      <c r="I346" s="6" t="s">
        <v>8</v>
      </c>
    </row>
    <row r="347">
      <c r="A347" s="1">
        <v>46165.0</v>
      </c>
      <c r="B347" s="2" t="s">
        <v>363</v>
      </c>
      <c r="C347" s="2" t="s">
        <v>363</v>
      </c>
      <c r="D347" s="4">
        <v>150000.0</v>
      </c>
      <c r="E347" s="3"/>
      <c r="F347" s="3"/>
      <c r="G347" s="3">
        <v>65915.95000004768</v>
      </c>
      <c r="H347" s="3"/>
      <c r="I347" s="6" t="s">
        <v>8</v>
      </c>
    </row>
    <row r="348">
      <c r="A348" s="1">
        <v>46165.0</v>
      </c>
      <c r="B348" s="2" t="s">
        <v>23</v>
      </c>
      <c r="C348" s="2" t="s">
        <v>364</v>
      </c>
      <c r="D348" s="4"/>
      <c r="E348" s="4">
        <v>4.736159E8</v>
      </c>
      <c r="F348" s="4" t="s">
        <v>3</v>
      </c>
      <c r="G348" s="3">
        <v>4.7368181595000005E8</v>
      </c>
      <c r="H348" s="3"/>
      <c r="I348" s="6" t="s">
        <v>8</v>
      </c>
    </row>
    <row r="349">
      <c r="A349" s="1">
        <v>46165.0</v>
      </c>
      <c r="B349" s="2" t="s">
        <v>23</v>
      </c>
      <c r="C349" s="2" t="s">
        <v>365</v>
      </c>
      <c r="D349" s="4"/>
      <c r="E349" s="4">
        <v>3.1333756E8</v>
      </c>
      <c r="F349" s="4" t="s">
        <v>3</v>
      </c>
      <c r="G349" s="3">
        <v>7.8701937595E8</v>
      </c>
      <c r="H349" s="3"/>
      <c r="I349" s="6" t="s">
        <v>8</v>
      </c>
    </row>
    <row r="350">
      <c r="A350" s="1">
        <v>46165.0</v>
      </c>
      <c r="B350" s="2" t="s">
        <v>4</v>
      </c>
      <c r="C350" s="2" t="s">
        <v>366</v>
      </c>
      <c r="D350" s="4">
        <v>2075000.0</v>
      </c>
      <c r="E350" s="3"/>
      <c r="F350" s="4" t="s">
        <v>6</v>
      </c>
      <c r="G350" s="3">
        <v>7.8494437595E8</v>
      </c>
      <c r="H350" s="3"/>
      <c r="I350" s="6" t="s">
        <v>8</v>
      </c>
    </row>
    <row r="351">
      <c r="A351" s="1">
        <v>46165.0</v>
      </c>
      <c r="B351" s="2" t="s">
        <v>4</v>
      </c>
      <c r="C351" s="2" t="s">
        <v>367</v>
      </c>
      <c r="D351" s="4">
        <v>9.86665E7</v>
      </c>
      <c r="E351" s="3"/>
      <c r="F351" s="4" t="s">
        <v>6</v>
      </c>
      <c r="G351" s="3">
        <v>6.8627787595E8</v>
      </c>
      <c r="H351" s="3"/>
      <c r="I351" s="6" t="s">
        <v>8</v>
      </c>
    </row>
    <row r="352">
      <c r="A352" s="1">
        <v>46165.0</v>
      </c>
      <c r="B352" s="2" t="s">
        <v>4</v>
      </c>
      <c r="C352" s="2" t="s">
        <v>368</v>
      </c>
      <c r="D352" s="4">
        <v>7039200.0</v>
      </c>
      <c r="E352" s="3"/>
      <c r="F352" s="4" t="s">
        <v>6</v>
      </c>
      <c r="G352" s="3">
        <v>6.7923867595E8</v>
      </c>
      <c r="H352" s="3"/>
      <c r="I352" s="6" t="s">
        <v>8</v>
      </c>
    </row>
    <row r="353">
      <c r="A353" s="1">
        <v>46165.0</v>
      </c>
      <c r="B353" s="2" t="s">
        <v>23</v>
      </c>
      <c r="C353" s="2" t="s">
        <v>369</v>
      </c>
      <c r="D353" s="4"/>
      <c r="E353" s="4">
        <v>7.77E7</v>
      </c>
      <c r="F353" s="4" t="s">
        <v>3</v>
      </c>
      <c r="G353" s="3">
        <v>7.5693867595E8</v>
      </c>
      <c r="H353" s="3"/>
      <c r="I353" s="6" t="s">
        <v>8</v>
      </c>
    </row>
    <row r="354">
      <c r="A354" s="1">
        <v>46165.0</v>
      </c>
      <c r="B354" s="2" t="s">
        <v>23</v>
      </c>
      <c r="C354" s="2" t="s">
        <v>370</v>
      </c>
      <c r="D354" s="4"/>
      <c r="E354" s="4">
        <v>4000000.0</v>
      </c>
      <c r="F354" s="4" t="s">
        <v>3</v>
      </c>
      <c r="G354" s="3">
        <v>7.6093867595E8</v>
      </c>
      <c r="H354" s="3"/>
      <c r="I354" s="6" t="s">
        <v>8</v>
      </c>
    </row>
    <row r="355">
      <c r="A355" s="1">
        <v>46165.0</v>
      </c>
      <c r="B355" s="2" t="s">
        <v>4</v>
      </c>
      <c r="C355" s="2" t="s">
        <v>371</v>
      </c>
      <c r="D355" s="4">
        <v>2.6E7</v>
      </c>
      <c r="E355" s="3"/>
      <c r="F355" s="4" t="s">
        <v>6</v>
      </c>
      <c r="G355" s="3">
        <v>7.3493867595E8</v>
      </c>
      <c r="H355" s="3"/>
      <c r="I355" s="6" t="s">
        <v>8</v>
      </c>
    </row>
    <row r="356">
      <c r="A356" s="1">
        <v>46165.0</v>
      </c>
      <c r="B356" s="2" t="s">
        <v>4</v>
      </c>
      <c r="C356" s="2" t="s">
        <v>372</v>
      </c>
      <c r="D356" s="4">
        <v>7.7E7</v>
      </c>
      <c r="E356" s="3"/>
      <c r="F356" s="4" t="s">
        <v>6</v>
      </c>
      <c r="G356" s="3">
        <v>6.5793867595E8</v>
      </c>
      <c r="H356" s="3"/>
      <c r="I356" s="6" t="s">
        <v>37</v>
      </c>
    </row>
    <row r="357">
      <c r="A357" s="1">
        <v>46165.0</v>
      </c>
      <c r="B357" s="2" t="s">
        <v>4</v>
      </c>
      <c r="C357" s="2" t="s">
        <v>373</v>
      </c>
      <c r="D357" s="4">
        <v>5.0E8</v>
      </c>
      <c r="E357" s="3"/>
      <c r="F357" s="4" t="s">
        <v>6</v>
      </c>
      <c r="G357" s="3">
        <v>1.5793867595000005E8</v>
      </c>
      <c r="H357" s="3"/>
      <c r="I357" s="6" t="s">
        <v>37</v>
      </c>
    </row>
    <row r="358">
      <c r="A358" s="1">
        <v>46165.0</v>
      </c>
      <c r="B358" s="2" t="s">
        <v>4</v>
      </c>
      <c r="C358" s="2" t="s">
        <v>374</v>
      </c>
      <c r="D358" s="4">
        <v>6.6E7</v>
      </c>
      <c r="E358" s="3"/>
      <c r="F358" s="4" t="s">
        <v>6</v>
      </c>
      <c r="G358" s="3">
        <v>9.193867595000005E7</v>
      </c>
      <c r="H358" s="4">
        <v>9.193867595E7</v>
      </c>
      <c r="I358" s="6" t="s">
        <v>37</v>
      </c>
    </row>
    <row r="359">
      <c r="A359" s="1">
        <v>46165.0</v>
      </c>
      <c r="B359" s="2" t="s">
        <v>4</v>
      </c>
      <c r="C359" s="2" t="s">
        <v>375</v>
      </c>
      <c r="D359" s="4">
        <v>6.88E7</v>
      </c>
      <c r="E359" s="3"/>
      <c r="F359" s="4" t="s">
        <v>6</v>
      </c>
      <c r="G359" s="3">
        <v>2.3138675950000048E7</v>
      </c>
      <c r="H359" s="4">
        <v>2.313867595E7</v>
      </c>
      <c r="I359" s="6" t="s">
        <v>37</v>
      </c>
    </row>
    <row r="360">
      <c r="A360" s="1">
        <v>46165.0</v>
      </c>
      <c r="B360" s="2" t="s">
        <v>4</v>
      </c>
      <c r="C360" s="2" t="s">
        <v>376</v>
      </c>
      <c r="D360" s="4">
        <v>1744100.0</v>
      </c>
      <c r="E360" s="3"/>
      <c r="F360" s="4" t="s">
        <v>6</v>
      </c>
      <c r="G360" s="3">
        <v>2.1394575950000048E7</v>
      </c>
      <c r="H360" s="3"/>
      <c r="I360" s="6" t="s">
        <v>37</v>
      </c>
    </row>
    <row r="361">
      <c r="A361" s="1">
        <v>46165.0</v>
      </c>
      <c r="B361" s="2" t="s">
        <v>4</v>
      </c>
      <c r="C361" s="2" t="s">
        <v>377</v>
      </c>
      <c r="D361" s="4">
        <v>1.1E7</v>
      </c>
      <c r="E361" s="3"/>
      <c r="F361" s="4" t="s">
        <v>6</v>
      </c>
      <c r="G361" s="3">
        <v>1.0394575950000048E7</v>
      </c>
      <c r="H361" s="3"/>
      <c r="I361" s="6" t="s">
        <v>37</v>
      </c>
    </row>
    <row r="362">
      <c r="A362" s="1">
        <v>46165.0</v>
      </c>
      <c r="B362" s="2" t="s">
        <v>4</v>
      </c>
      <c r="C362" s="2" t="s">
        <v>378</v>
      </c>
      <c r="D362" s="4">
        <v>400000.0</v>
      </c>
      <c r="E362" s="3"/>
      <c r="F362" s="4" t="s">
        <v>6</v>
      </c>
      <c r="G362" s="3">
        <v>9994575.950000048</v>
      </c>
      <c r="H362" s="3"/>
      <c r="I362" s="6" t="s">
        <v>37</v>
      </c>
    </row>
    <row r="363">
      <c r="A363" s="1">
        <v>46165.0</v>
      </c>
      <c r="B363" s="2" t="s">
        <v>4</v>
      </c>
      <c r="C363" s="2" t="s">
        <v>379</v>
      </c>
      <c r="D363" s="4">
        <v>775140.0</v>
      </c>
      <c r="E363" s="3"/>
      <c r="F363" s="4" t="s">
        <v>6</v>
      </c>
      <c r="G363" s="3">
        <v>9219435.950000048</v>
      </c>
      <c r="H363" s="3"/>
      <c r="I363" s="6" t="s">
        <v>37</v>
      </c>
    </row>
    <row r="364">
      <c r="A364" s="1">
        <v>46165.0</v>
      </c>
      <c r="B364" s="2" t="s">
        <v>4</v>
      </c>
      <c r="C364" s="2" t="s">
        <v>380</v>
      </c>
      <c r="D364" s="4">
        <v>9118000.0</v>
      </c>
      <c r="E364" s="3"/>
      <c r="F364" s="4" t="s">
        <v>6</v>
      </c>
      <c r="G364" s="3">
        <v>101435.95000004768</v>
      </c>
      <c r="H364" s="4">
        <v>101435.95</v>
      </c>
      <c r="I364" s="6" t="s">
        <v>37</v>
      </c>
    </row>
    <row r="365">
      <c r="A365" s="1">
        <v>46166.0</v>
      </c>
      <c r="B365" s="2" t="s">
        <v>381</v>
      </c>
      <c r="C365" s="2" t="s">
        <v>382</v>
      </c>
      <c r="D365" s="4"/>
      <c r="E365" s="4">
        <v>8.181675E7</v>
      </c>
      <c r="F365" s="4" t="s">
        <v>3</v>
      </c>
      <c r="G365" s="3">
        <v>8.191818595000005E7</v>
      </c>
      <c r="H365" s="3"/>
      <c r="I365" s="6" t="s">
        <v>8</v>
      </c>
    </row>
    <row r="366">
      <c r="A366" s="1">
        <v>46166.0</v>
      </c>
      <c r="B366" s="2" t="s">
        <v>4</v>
      </c>
      <c r="C366" s="2" t="s">
        <v>383</v>
      </c>
      <c r="D366" s="4">
        <v>7.525E7</v>
      </c>
      <c r="E366" s="3"/>
      <c r="F366" s="4" t="s">
        <v>6</v>
      </c>
      <c r="G366" s="3">
        <v>6668185.950000048</v>
      </c>
      <c r="H366" s="3"/>
      <c r="I366" s="6" t="s">
        <v>8</v>
      </c>
    </row>
    <row r="367">
      <c r="A367" s="1">
        <v>46166.0</v>
      </c>
      <c r="B367" s="2" t="s">
        <v>4</v>
      </c>
      <c r="C367" s="2" t="s">
        <v>384</v>
      </c>
      <c r="D367" s="4">
        <v>1000000.0</v>
      </c>
      <c r="E367" s="3"/>
      <c r="F367" s="4" t="s">
        <v>6</v>
      </c>
      <c r="G367" s="3">
        <v>5668185.950000048</v>
      </c>
      <c r="H367" s="3"/>
      <c r="I367" s="6" t="s">
        <v>37</v>
      </c>
    </row>
    <row r="368">
      <c r="A368" s="1">
        <v>46166.0</v>
      </c>
      <c r="B368" s="2" t="s">
        <v>23</v>
      </c>
      <c r="C368" s="2" t="s">
        <v>385</v>
      </c>
      <c r="D368" s="4"/>
      <c r="E368" s="4">
        <v>5.965357E7</v>
      </c>
      <c r="F368" s="4" t="s">
        <v>3</v>
      </c>
      <c r="G368" s="3">
        <v>6.532175595000005E7</v>
      </c>
      <c r="H368" s="3"/>
      <c r="I368" s="6" t="s">
        <v>8</v>
      </c>
    </row>
    <row r="369">
      <c r="A369" s="1">
        <v>46166.0</v>
      </c>
      <c r="B369" s="2" t="s">
        <v>23</v>
      </c>
      <c r="C369" s="2" t="s">
        <v>386</v>
      </c>
      <c r="D369" s="4"/>
      <c r="E369" s="4">
        <v>2.8389825E8</v>
      </c>
      <c r="F369" s="4" t="s">
        <v>3</v>
      </c>
      <c r="G369" s="3">
        <v>3.4922000595000005E8</v>
      </c>
      <c r="H369" s="3"/>
      <c r="I369" s="6" t="s">
        <v>37</v>
      </c>
    </row>
    <row r="370">
      <c r="A370" s="1">
        <v>46166.0</v>
      </c>
      <c r="B370" s="2" t="s">
        <v>4</v>
      </c>
      <c r="C370" s="2" t="s">
        <v>387</v>
      </c>
      <c r="D370" s="4">
        <v>1.8313625E8</v>
      </c>
      <c r="E370" s="3"/>
      <c r="F370" s="4" t="s">
        <v>6</v>
      </c>
      <c r="G370" s="3">
        <v>1.6608375595000005E8</v>
      </c>
      <c r="H370" s="3"/>
      <c r="I370" s="6" t="s">
        <v>37</v>
      </c>
    </row>
    <row r="371">
      <c r="A371" s="1">
        <v>46166.0</v>
      </c>
      <c r="B371" s="2" t="s">
        <v>4</v>
      </c>
      <c r="C371" s="2" t="s">
        <v>388</v>
      </c>
      <c r="D371" s="4">
        <v>7.525E7</v>
      </c>
      <c r="E371" s="3"/>
      <c r="F371" s="4" t="s">
        <v>6</v>
      </c>
      <c r="G371" s="3">
        <v>9.083375595000005E7</v>
      </c>
      <c r="H371" s="4">
        <v>9.083375595E7</v>
      </c>
      <c r="I371" s="6" t="s">
        <v>37</v>
      </c>
    </row>
    <row r="372">
      <c r="A372" s="1">
        <v>46166.0</v>
      </c>
      <c r="B372" s="2" t="s">
        <v>4</v>
      </c>
      <c r="C372" s="2" t="s">
        <v>389</v>
      </c>
      <c r="D372" s="4">
        <v>6.27088E7</v>
      </c>
      <c r="E372" s="3"/>
      <c r="F372" s="4" t="s">
        <v>6</v>
      </c>
      <c r="G372" s="3">
        <v>2.8124955950000048E7</v>
      </c>
      <c r="H372" s="4">
        <v>2.812495595E7</v>
      </c>
      <c r="I372" s="6" t="s">
        <v>37</v>
      </c>
    </row>
    <row r="373">
      <c r="A373" s="1">
        <v>46166.0</v>
      </c>
      <c r="B373" s="2" t="s">
        <v>13</v>
      </c>
      <c r="C373" s="2" t="s">
        <v>64</v>
      </c>
      <c r="D373" s="4">
        <v>130400.0</v>
      </c>
      <c r="E373" s="3"/>
      <c r="F373" s="3"/>
      <c r="G373" s="3">
        <v>2.7994555950000048E7</v>
      </c>
      <c r="H373" s="3"/>
      <c r="I373" s="6" t="s">
        <v>37</v>
      </c>
    </row>
    <row r="374">
      <c r="A374" s="1">
        <v>46166.0</v>
      </c>
      <c r="B374" s="2" t="s">
        <v>4</v>
      </c>
      <c r="C374" s="2" t="s">
        <v>390</v>
      </c>
      <c r="D374" s="4">
        <v>1000000.0</v>
      </c>
      <c r="E374" s="3"/>
      <c r="F374" s="4" t="s">
        <v>6</v>
      </c>
      <c r="G374" s="3">
        <v>2.6994555950000048E7</v>
      </c>
      <c r="H374" s="4">
        <v>2.699455595E7</v>
      </c>
      <c r="I374" s="6" t="s">
        <v>37</v>
      </c>
    </row>
    <row r="375">
      <c r="A375" s="1">
        <v>46167.0</v>
      </c>
      <c r="B375" s="2" t="s">
        <v>4</v>
      </c>
      <c r="C375" s="2" t="s">
        <v>391</v>
      </c>
      <c r="D375" s="4">
        <v>1438000.0</v>
      </c>
      <c r="E375" s="3"/>
      <c r="F375" s="4" t="s">
        <v>6</v>
      </c>
      <c r="G375" s="3">
        <v>2.5556555950000048E7</v>
      </c>
      <c r="H375" s="3"/>
      <c r="I375" s="6" t="s">
        <v>37</v>
      </c>
    </row>
    <row r="376">
      <c r="A376" s="1">
        <v>46167.0</v>
      </c>
      <c r="B376" s="2" t="s">
        <v>23</v>
      </c>
      <c r="C376" s="2" t="s">
        <v>392</v>
      </c>
      <c r="D376" s="4"/>
      <c r="E376" s="4">
        <v>3.596364E8</v>
      </c>
      <c r="F376" s="4" t="s">
        <v>3</v>
      </c>
      <c r="G376" s="3">
        <v>3.8519295595000005E8</v>
      </c>
      <c r="H376" s="3"/>
      <c r="I376" s="6" t="s">
        <v>37</v>
      </c>
    </row>
    <row r="377">
      <c r="A377" s="1">
        <v>46167.0</v>
      </c>
      <c r="B377" s="2" t="s">
        <v>13</v>
      </c>
      <c r="C377" s="2" t="s">
        <v>64</v>
      </c>
      <c r="D377" s="4">
        <v>168100.0</v>
      </c>
      <c r="E377" s="3"/>
      <c r="F377" s="3"/>
      <c r="G377" s="3">
        <v>3.8502485595000005E8</v>
      </c>
      <c r="H377" s="3"/>
      <c r="I377" s="6" t="s">
        <v>37</v>
      </c>
    </row>
    <row r="378">
      <c r="A378" s="1">
        <v>46167.0</v>
      </c>
      <c r="B378" s="2" t="s">
        <v>4</v>
      </c>
      <c r="C378" s="2" t="s">
        <v>393</v>
      </c>
      <c r="D378" s="4">
        <v>2000000.0</v>
      </c>
      <c r="E378" s="3"/>
      <c r="F378" s="4" t="s">
        <v>6</v>
      </c>
      <c r="G378" s="3">
        <v>3.8302485595000005E8</v>
      </c>
      <c r="H378" s="3"/>
      <c r="I378" s="6" t="s">
        <v>37</v>
      </c>
    </row>
    <row r="379">
      <c r="A379" s="1">
        <v>46167.0</v>
      </c>
      <c r="B379" s="2" t="s">
        <v>23</v>
      </c>
      <c r="C379" s="2" t="s">
        <v>394</v>
      </c>
      <c r="D379" s="4"/>
      <c r="E379" s="4">
        <v>1.146934E8</v>
      </c>
      <c r="F379" s="4" t="s">
        <v>3</v>
      </c>
      <c r="G379" s="3">
        <v>4.9771825595000005E8</v>
      </c>
      <c r="H379" s="3"/>
      <c r="I379" s="6" t="s">
        <v>37</v>
      </c>
    </row>
    <row r="380">
      <c r="A380" s="1">
        <v>46167.0</v>
      </c>
      <c r="B380" s="2" t="s">
        <v>4</v>
      </c>
      <c r="C380" s="2" t="s">
        <v>395</v>
      </c>
      <c r="D380" s="4">
        <v>9.4413E7</v>
      </c>
      <c r="E380" s="3"/>
      <c r="F380" s="4" t="s">
        <v>6</v>
      </c>
      <c r="G380" s="3">
        <v>4.0330525595000005E8</v>
      </c>
      <c r="H380" s="3"/>
      <c r="I380" s="6" t="s">
        <v>37</v>
      </c>
    </row>
    <row r="381">
      <c r="A381" s="1">
        <v>46167.0</v>
      </c>
      <c r="B381" s="2" t="s">
        <v>4</v>
      </c>
      <c r="C381" s="2" t="s">
        <v>396</v>
      </c>
      <c r="D381" s="4">
        <v>6.6E7</v>
      </c>
      <c r="E381" s="3"/>
      <c r="F381" s="4" t="s">
        <v>6</v>
      </c>
      <c r="G381" s="3">
        <v>3.3730525595000005E8</v>
      </c>
      <c r="H381" s="3"/>
      <c r="I381" s="6" t="s">
        <v>37</v>
      </c>
    </row>
    <row r="382">
      <c r="A382" s="1">
        <v>46167.0</v>
      </c>
      <c r="B382" s="2" t="s">
        <v>4</v>
      </c>
      <c r="C382" s="2" t="s">
        <v>397</v>
      </c>
      <c r="D382" s="4">
        <v>5.5418E7</v>
      </c>
      <c r="E382" s="3"/>
      <c r="F382" s="4" t="s">
        <v>6</v>
      </c>
      <c r="G382" s="3">
        <v>2.8188725595000005E8</v>
      </c>
      <c r="H382" s="3"/>
      <c r="I382" s="6" t="s">
        <v>37</v>
      </c>
    </row>
    <row r="383">
      <c r="A383" s="1">
        <v>46167.0</v>
      </c>
      <c r="B383" s="2" t="s">
        <v>4</v>
      </c>
      <c r="C383" s="2" t="s">
        <v>398</v>
      </c>
      <c r="D383" s="4">
        <v>8.28E7</v>
      </c>
      <c r="E383" s="3"/>
      <c r="F383" s="4" t="s">
        <v>6</v>
      </c>
      <c r="G383" s="3">
        <v>1.9908725595000005E8</v>
      </c>
      <c r="H383" s="3"/>
      <c r="I383" s="6" t="s">
        <v>37</v>
      </c>
    </row>
    <row r="384">
      <c r="A384" s="1">
        <v>46167.0</v>
      </c>
      <c r="B384" s="2" t="s">
        <v>4</v>
      </c>
      <c r="C384" s="2" t="s">
        <v>399</v>
      </c>
      <c r="D384" s="4">
        <v>6.0E7</v>
      </c>
      <c r="E384" s="3"/>
      <c r="F384" s="4" t="s">
        <v>6</v>
      </c>
      <c r="G384" s="3">
        <v>1.3908725595000005E8</v>
      </c>
      <c r="H384" s="3"/>
      <c r="I384" s="6" t="s">
        <v>37</v>
      </c>
    </row>
    <row r="385">
      <c r="A385" s="1">
        <v>46167.0</v>
      </c>
      <c r="B385" s="2" t="s">
        <v>4</v>
      </c>
      <c r="C385" s="2" t="s">
        <v>400</v>
      </c>
      <c r="D385" s="4">
        <v>1179000.0</v>
      </c>
      <c r="E385" s="3"/>
      <c r="F385" s="4" t="s">
        <v>6</v>
      </c>
      <c r="G385" s="3">
        <v>1.3790825595000005E8</v>
      </c>
      <c r="H385" s="4">
        <v>1.3790825595E8</v>
      </c>
      <c r="I385" s="6" t="s">
        <v>37</v>
      </c>
    </row>
    <row r="386">
      <c r="A386" s="1">
        <v>46167.0</v>
      </c>
      <c r="B386" s="2" t="s">
        <v>23</v>
      </c>
      <c r="C386" s="2" t="s">
        <v>401</v>
      </c>
      <c r="D386" s="4"/>
      <c r="E386" s="4">
        <v>3.497135E8</v>
      </c>
      <c r="F386" s="4" t="s">
        <v>3</v>
      </c>
      <c r="G386" s="3">
        <v>4.8762175595000005E8</v>
      </c>
      <c r="H386" s="4">
        <v>4.8762175595E8</v>
      </c>
      <c r="I386" s="6" t="s">
        <v>37</v>
      </c>
    </row>
    <row r="387">
      <c r="A387" s="1">
        <v>46167.0</v>
      </c>
      <c r="B387" s="2" t="s">
        <v>4</v>
      </c>
      <c r="C387" s="2" t="s">
        <v>402</v>
      </c>
      <c r="D387" s="4">
        <v>2.099284E8</v>
      </c>
      <c r="E387" s="3"/>
      <c r="F387" s="4" t="s">
        <v>6</v>
      </c>
      <c r="G387" s="3">
        <v>2.7769335595000005E8</v>
      </c>
      <c r="H387" s="3"/>
      <c r="I387" s="6" t="s">
        <v>37</v>
      </c>
    </row>
    <row r="388">
      <c r="A388" s="1">
        <v>46167.0</v>
      </c>
      <c r="B388" s="2" t="s">
        <v>4</v>
      </c>
      <c r="C388" s="2" t="s">
        <v>403</v>
      </c>
      <c r="D388" s="4">
        <v>7.5306E7</v>
      </c>
      <c r="E388" s="3"/>
      <c r="F388" s="4" t="s">
        <v>6</v>
      </c>
      <c r="G388" s="3">
        <v>2.0238735595000005E8</v>
      </c>
      <c r="H388" s="3"/>
      <c r="I388" s="6" t="s">
        <v>37</v>
      </c>
    </row>
    <row r="389">
      <c r="A389" s="1">
        <v>46167.0</v>
      </c>
      <c r="B389" s="2" t="s">
        <v>4</v>
      </c>
      <c r="C389" s="2" t="s">
        <v>404</v>
      </c>
      <c r="D389" s="4">
        <v>5.771675E7</v>
      </c>
      <c r="E389" s="3"/>
      <c r="F389" s="4" t="s">
        <v>6</v>
      </c>
      <c r="G389" s="3">
        <v>1.4467060595000005E8</v>
      </c>
      <c r="H389" s="3"/>
      <c r="I389" s="6" t="s">
        <v>37</v>
      </c>
    </row>
    <row r="390">
      <c r="A390" s="1">
        <v>46167.0</v>
      </c>
      <c r="B390" s="2" t="s">
        <v>4</v>
      </c>
      <c r="C390" s="2" t="s">
        <v>405</v>
      </c>
      <c r="D390" s="4">
        <v>6.5945E7</v>
      </c>
      <c r="E390" s="3"/>
      <c r="F390" s="4" t="s">
        <v>6</v>
      </c>
      <c r="G390" s="3">
        <v>7.872560595000005E7</v>
      </c>
      <c r="H390" s="3"/>
      <c r="I390" s="6" t="s">
        <v>37</v>
      </c>
    </row>
    <row r="391">
      <c r="A391" s="1">
        <v>46167.0</v>
      </c>
      <c r="B391" s="2" t="s">
        <v>4</v>
      </c>
      <c r="C391" s="2" t="s">
        <v>406</v>
      </c>
      <c r="D391" s="4">
        <v>6.6506E7</v>
      </c>
      <c r="E391" s="3"/>
      <c r="F391" s="4" t="s">
        <v>6</v>
      </c>
      <c r="G391" s="3">
        <v>1.2219605950000048E7</v>
      </c>
      <c r="H391" s="3"/>
      <c r="I391" s="6" t="s">
        <v>37</v>
      </c>
    </row>
    <row r="392">
      <c r="A392" s="1">
        <v>46167.0</v>
      </c>
      <c r="B392" s="2" t="s">
        <v>4</v>
      </c>
      <c r="C392" s="2" t="s">
        <v>407</v>
      </c>
      <c r="D392" s="4">
        <v>9523400.0</v>
      </c>
      <c r="E392" s="3"/>
      <c r="F392" s="4" t="s">
        <v>6</v>
      </c>
      <c r="G392" s="3">
        <v>2696205.9500000477</v>
      </c>
      <c r="H392" s="4">
        <v>2696205.95</v>
      </c>
      <c r="I392" s="6" t="s">
        <v>37</v>
      </c>
    </row>
    <row r="393">
      <c r="A393" s="1">
        <v>46168.0</v>
      </c>
      <c r="B393" s="2" t="s">
        <v>23</v>
      </c>
      <c r="C393" s="2" t="s">
        <v>408</v>
      </c>
      <c r="D393" s="4"/>
      <c r="E393" s="4">
        <v>440000.0</v>
      </c>
      <c r="F393" s="4" t="s">
        <v>3</v>
      </c>
      <c r="G393" s="3">
        <v>3136205.9500000477</v>
      </c>
      <c r="H393" s="3"/>
      <c r="I393" s="6" t="s">
        <v>37</v>
      </c>
    </row>
    <row r="394">
      <c r="A394" s="1">
        <v>46168.0</v>
      </c>
      <c r="B394" s="2" t="s">
        <v>4</v>
      </c>
      <c r="C394" s="2" t="s">
        <v>409</v>
      </c>
      <c r="D394" s="4">
        <v>1895000.0</v>
      </c>
      <c r="E394" s="3"/>
      <c r="F394" s="4" t="s">
        <v>6</v>
      </c>
      <c r="G394" s="3">
        <v>1241205.9500000477</v>
      </c>
      <c r="H394" s="3"/>
      <c r="I394" s="6" t="s">
        <v>37</v>
      </c>
    </row>
    <row r="395">
      <c r="A395" s="1">
        <v>46168.0</v>
      </c>
      <c r="B395" s="2" t="s">
        <v>23</v>
      </c>
      <c r="C395" s="2" t="s">
        <v>410</v>
      </c>
      <c r="D395" s="4"/>
      <c r="E395" s="4">
        <v>4.508254E8</v>
      </c>
      <c r="F395" s="4" t="s">
        <v>3</v>
      </c>
      <c r="G395" s="3">
        <v>4.5206660595000005E8</v>
      </c>
      <c r="H395" s="3"/>
      <c r="I395" s="6" t="s">
        <v>37</v>
      </c>
    </row>
    <row r="396">
      <c r="A396" s="1">
        <v>46168.0</v>
      </c>
      <c r="B396" s="2" t="s">
        <v>4</v>
      </c>
      <c r="C396" s="2" t="s">
        <v>411</v>
      </c>
      <c r="D396" s="4">
        <v>23100.0</v>
      </c>
      <c r="E396" s="3"/>
      <c r="F396" s="4" t="s">
        <v>6</v>
      </c>
      <c r="G396" s="3">
        <v>4.5204350595000005E8</v>
      </c>
      <c r="H396" s="3"/>
      <c r="I396" s="6" t="s">
        <v>37</v>
      </c>
    </row>
    <row r="397">
      <c r="A397" s="1">
        <v>46168.0</v>
      </c>
      <c r="B397" s="2" t="s">
        <v>23</v>
      </c>
      <c r="C397" s="2" t="s">
        <v>412</v>
      </c>
      <c r="D397" s="4"/>
      <c r="E397" s="4">
        <v>8.018211E7</v>
      </c>
      <c r="F397" s="4" t="s">
        <v>3</v>
      </c>
      <c r="G397" s="3">
        <v>5.3222561595000005E8</v>
      </c>
      <c r="H397" s="4">
        <v>5.3222561595E8</v>
      </c>
      <c r="I397" s="6" t="s">
        <v>37</v>
      </c>
    </row>
    <row r="398">
      <c r="A398" s="1">
        <v>46168.0</v>
      </c>
      <c r="B398" s="2" t="s">
        <v>4</v>
      </c>
      <c r="C398" s="2" t="s">
        <v>413</v>
      </c>
      <c r="D398" s="4">
        <v>6.15E7</v>
      </c>
      <c r="E398" s="3"/>
      <c r="F398" s="4" t="s">
        <v>6</v>
      </c>
      <c r="G398" s="3">
        <v>4.7072561595000005E8</v>
      </c>
      <c r="H398" s="4">
        <v>4.7072561595E8</v>
      </c>
      <c r="I398" s="6" t="s">
        <v>37</v>
      </c>
    </row>
    <row r="399">
      <c r="A399" s="1">
        <v>46168.0</v>
      </c>
      <c r="B399" s="2" t="s">
        <v>4</v>
      </c>
      <c r="C399" s="2" t="s">
        <v>414</v>
      </c>
      <c r="D399" s="4">
        <v>1000000.0</v>
      </c>
      <c r="E399" s="3"/>
      <c r="F399" s="4" t="s">
        <v>6</v>
      </c>
      <c r="G399" s="3">
        <v>4.6972561595000005E8</v>
      </c>
      <c r="H399" s="3"/>
      <c r="I399" s="6" t="s">
        <v>37</v>
      </c>
    </row>
    <row r="400">
      <c r="A400" s="1">
        <v>46168.0</v>
      </c>
      <c r="B400" s="2" t="s">
        <v>4</v>
      </c>
      <c r="C400" s="2" t="s">
        <v>415</v>
      </c>
      <c r="D400" s="4">
        <v>5.8674E7</v>
      </c>
      <c r="E400" s="3"/>
      <c r="F400" s="4" t="s">
        <v>6</v>
      </c>
      <c r="G400" s="3">
        <v>4.1105161595000005E8</v>
      </c>
      <c r="H400" s="3"/>
      <c r="I400" s="6" t="s">
        <v>37</v>
      </c>
    </row>
    <row r="401">
      <c r="A401" s="1">
        <v>46168.0</v>
      </c>
      <c r="B401" s="2" t="s">
        <v>4</v>
      </c>
      <c r="C401" s="2" t="s">
        <v>416</v>
      </c>
      <c r="D401" s="4">
        <v>1.192642E8</v>
      </c>
      <c r="E401" s="3"/>
      <c r="F401" s="4" t="s">
        <v>6</v>
      </c>
      <c r="G401" s="3">
        <v>2.9178741595000005E8</v>
      </c>
      <c r="H401" s="3"/>
      <c r="I401" s="6" t="s">
        <v>37</v>
      </c>
    </row>
    <row r="402">
      <c r="A402" s="1">
        <v>46168.0</v>
      </c>
      <c r="B402" s="2" t="s">
        <v>4</v>
      </c>
      <c r="C402" s="2" t="s">
        <v>417</v>
      </c>
      <c r="D402" s="4">
        <v>6.02E7</v>
      </c>
      <c r="E402" s="3"/>
      <c r="F402" s="4" t="s">
        <v>6</v>
      </c>
      <c r="G402" s="3">
        <v>2.3158741595000005E8</v>
      </c>
      <c r="H402" s="3"/>
      <c r="I402" s="6" t="s">
        <v>37</v>
      </c>
    </row>
    <row r="403">
      <c r="A403" s="1">
        <v>46168.0</v>
      </c>
      <c r="B403" s="2" t="s">
        <v>4</v>
      </c>
      <c r="C403" s="2" t="s">
        <v>418</v>
      </c>
      <c r="D403" s="4">
        <v>1.182E8</v>
      </c>
      <c r="E403" s="3"/>
      <c r="F403" s="4" t="s">
        <v>6</v>
      </c>
      <c r="G403" s="3">
        <v>1.1338741595000005E8</v>
      </c>
      <c r="H403" s="4">
        <v>1.1338741595E8</v>
      </c>
      <c r="I403" s="6" t="s">
        <v>37</v>
      </c>
    </row>
    <row r="404">
      <c r="A404" s="1">
        <v>46169.0</v>
      </c>
      <c r="B404" s="2" t="s">
        <v>419</v>
      </c>
      <c r="C404" s="2" t="s">
        <v>420</v>
      </c>
      <c r="D404" s="4"/>
      <c r="E404" s="4">
        <v>1.9057515E8</v>
      </c>
      <c r="F404" s="4" t="s">
        <v>3</v>
      </c>
      <c r="G404" s="3">
        <v>3.0396256595000005E8</v>
      </c>
      <c r="H404" s="3"/>
      <c r="I404" s="6" t="s">
        <v>37</v>
      </c>
    </row>
    <row r="405">
      <c r="A405" s="1">
        <v>46169.0</v>
      </c>
      <c r="B405" s="2" t="s">
        <v>4</v>
      </c>
      <c r="C405" s="2" t="s">
        <v>421</v>
      </c>
      <c r="D405" s="4">
        <v>6.45015E7</v>
      </c>
      <c r="E405" s="3"/>
      <c r="F405" s="4" t="s">
        <v>6</v>
      </c>
      <c r="G405" s="3">
        <v>2.3946106595000005E8</v>
      </c>
      <c r="H405" s="3"/>
      <c r="I405" s="6" t="s">
        <v>37</v>
      </c>
    </row>
    <row r="406">
      <c r="A406" s="1">
        <v>46169.0</v>
      </c>
      <c r="B406" s="2" t="s">
        <v>4</v>
      </c>
      <c r="C406" s="2" t="s">
        <v>422</v>
      </c>
      <c r="D406" s="4">
        <v>6.159225E7</v>
      </c>
      <c r="E406" s="3"/>
      <c r="F406" s="4" t="s">
        <v>6</v>
      </c>
      <c r="G406" s="3">
        <v>1.7786881595000005E8</v>
      </c>
      <c r="H406" s="3"/>
      <c r="I406" s="6" t="s">
        <v>37</v>
      </c>
    </row>
    <row r="407">
      <c r="A407" s="1">
        <v>46169.0</v>
      </c>
      <c r="B407" s="2" t="s">
        <v>4</v>
      </c>
      <c r="C407" s="2" t="s">
        <v>423</v>
      </c>
      <c r="D407" s="4">
        <v>6.3231E7</v>
      </c>
      <c r="E407" s="3"/>
      <c r="F407" s="4" t="s">
        <v>6</v>
      </c>
      <c r="G407" s="3">
        <v>1.1463781595000005E8</v>
      </c>
      <c r="H407" s="3"/>
      <c r="I407" s="6" t="s">
        <v>37</v>
      </c>
    </row>
    <row r="408">
      <c r="A408" s="1">
        <v>46169.0</v>
      </c>
      <c r="B408" s="2" t="s">
        <v>4</v>
      </c>
      <c r="C408" s="2" t="s">
        <v>424</v>
      </c>
      <c r="D408" s="4">
        <v>2414490.0</v>
      </c>
      <c r="E408" s="3"/>
      <c r="F408" s="4" t="s">
        <v>6</v>
      </c>
      <c r="G408" s="3">
        <v>1.1222332595000005E8</v>
      </c>
      <c r="H408" s="3"/>
      <c r="I408" s="6" t="s">
        <v>37</v>
      </c>
    </row>
    <row r="409">
      <c r="A409" s="1">
        <v>46169.0</v>
      </c>
      <c r="B409" s="2" t="s">
        <v>4</v>
      </c>
      <c r="C409" s="2" t="s">
        <v>425</v>
      </c>
      <c r="D409" s="4">
        <v>2661900.0</v>
      </c>
      <c r="E409" s="3"/>
      <c r="F409" s="4" t="s">
        <v>6</v>
      </c>
      <c r="G409" s="3">
        <v>1.0956142595000005E8</v>
      </c>
      <c r="H409" s="3"/>
      <c r="I409" s="6" t="s">
        <v>37</v>
      </c>
    </row>
    <row r="410">
      <c r="A410" s="1">
        <v>46169.0</v>
      </c>
      <c r="B410" s="2" t="s">
        <v>13</v>
      </c>
      <c r="C410" s="2" t="s">
        <v>64</v>
      </c>
      <c r="D410" s="4">
        <v>173900.0</v>
      </c>
      <c r="E410" s="3"/>
      <c r="F410" s="3"/>
      <c r="G410" s="3">
        <v>1.0938752595000005E8</v>
      </c>
      <c r="H410" s="4">
        <v>1.0938752595E8</v>
      </c>
      <c r="I410" s="6" t="s">
        <v>37</v>
      </c>
    </row>
    <row r="411">
      <c r="A411" s="1">
        <v>46169.0</v>
      </c>
      <c r="B411" s="2" t="s">
        <v>23</v>
      </c>
      <c r="C411" s="2" t="s">
        <v>426</v>
      </c>
      <c r="D411" s="4"/>
      <c r="E411" s="4">
        <v>4.1065E8</v>
      </c>
      <c r="F411" s="4" t="s">
        <v>3</v>
      </c>
      <c r="G411" s="3">
        <v>5.2003752595000005E8</v>
      </c>
      <c r="H411" s="4">
        <v>5.2003752595E8</v>
      </c>
      <c r="I411" s="6" t="s">
        <v>37</v>
      </c>
    </row>
    <row r="412">
      <c r="A412" s="1">
        <v>46169.0</v>
      </c>
      <c r="B412" s="2" t="s">
        <v>4</v>
      </c>
      <c r="C412" s="2" t="s">
        <v>427</v>
      </c>
      <c r="D412" s="4">
        <v>2.731504E8</v>
      </c>
      <c r="E412" s="3"/>
      <c r="F412" s="4" t="s">
        <v>6</v>
      </c>
      <c r="G412" s="3">
        <v>2.4688712595000005E8</v>
      </c>
      <c r="H412" s="3"/>
      <c r="I412" s="6" t="s">
        <v>37</v>
      </c>
    </row>
    <row r="413">
      <c r="A413" s="1">
        <v>46169.0</v>
      </c>
      <c r="B413" s="2" t="s">
        <v>4</v>
      </c>
      <c r="C413" s="2" t="s">
        <v>428</v>
      </c>
      <c r="D413" s="4">
        <v>1.2934089E8</v>
      </c>
      <c r="E413" s="3"/>
      <c r="F413" s="4" t="s">
        <v>6</v>
      </c>
      <c r="G413" s="3">
        <v>1.1754623595000005E8</v>
      </c>
      <c r="H413" s="3"/>
      <c r="I413" s="6" t="s">
        <v>37</v>
      </c>
    </row>
    <row r="414">
      <c r="A414" s="1">
        <v>46169.0</v>
      </c>
      <c r="B414" s="2" t="s">
        <v>4</v>
      </c>
      <c r="C414" s="2" t="s">
        <v>429</v>
      </c>
      <c r="D414" s="4">
        <v>6.17715E7</v>
      </c>
      <c r="E414" s="3"/>
      <c r="F414" s="4" t="s">
        <v>6</v>
      </c>
      <c r="G414" s="3">
        <v>5.577473595000005E7</v>
      </c>
      <c r="H414" s="3"/>
      <c r="I414" s="6" t="s">
        <v>37</v>
      </c>
    </row>
    <row r="415">
      <c r="A415" s="1">
        <v>46169.0</v>
      </c>
      <c r="B415" s="2" t="s">
        <v>23</v>
      </c>
      <c r="C415" s="2" t="s">
        <v>430</v>
      </c>
      <c r="D415" s="4"/>
      <c r="E415" s="4">
        <v>3064950.0</v>
      </c>
      <c r="F415" s="4" t="s">
        <v>3</v>
      </c>
      <c r="G415" s="3">
        <v>5.883968595000005E7</v>
      </c>
      <c r="H415" s="3"/>
      <c r="I415" s="6" t="s">
        <v>37</v>
      </c>
    </row>
    <row r="416">
      <c r="A416" s="1">
        <v>46169.0</v>
      </c>
      <c r="B416" s="2" t="s">
        <v>23</v>
      </c>
      <c r="C416" s="2" t="s">
        <v>431</v>
      </c>
      <c r="D416" s="4"/>
      <c r="E416" s="4">
        <v>4.075522E8</v>
      </c>
      <c r="F416" s="4" t="s">
        <v>3</v>
      </c>
      <c r="G416" s="3">
        <v>4.6639188595000005E8</v>
      </c>
      <c r="H416" s="4">
        <v>4.6639188595E8</v>
      </c>
      <c r="I416" s="6" t="s">
        <v>37</v>
      </c>
    </row>
    <row r="417">
      <c r="A417" s="1">
        <v>46170.0</v>
      </c>
      <c r="B417" s="2" t="s">
        <v>4</v>
      </c>
      <c r="C417" s="2" t="s">
        <v>432</v>
      </c>
      <c r="D417" s="4">
        <v>6.593E7</v>
      </c>
      <c r="E417" s="3"/>
      <c r="F417" s="4" t="s">
        <v>6</v>
      </c>
      <c r="G417" s="3">
        <v>4.0046188595000005E8</v>
      </c>
      <c r="H417" s="3"/>
      <c r="I417" s="6" t="s">
        <v>37</v>
      </c>
    </row>
    <row r="418">
      <c r="A418" s="1">
        <v>46170.0</v>
      </c>
      <c r="B418" s="2" t="s">
        <v>4</v>
      </c>
      <c r="C418" s="2" t="s">
        <v>433</v>
      </c>
      <c r="D418" s="4">
        <v>6.0114E7</v>
      </c>
      <c r="E418" s="3"/>
      <c r="F418" s="4" t="s">
        <v>6</v>
      </c>
      <c r="G418" s="3">
        <v>3.4034788595000005E8</v>
      </c>
      <c r="H418" s="3"/>
      <c r="I418" s="6" t="s">
        <v>37</v>
      </c>
    </row>
    <row r="419">
      <c r="A419" s="1">
        <v>46170.0</v>
      </c>
      <c r="B419" s="2" t="s">
        <v>4</v>
      </c>
      <c r="C419" s="2" t="s">
        <v>434</v>
      </c>
      <c r="D419" s="4">
        <v>1.451523E8</v>
      </c>
      <c r="E419" s="3"/>
      <c r="F419" s="4" t="s">
        <v>6</v>
      </c>
      <c r="G419" s="3">
        <v>1.9519558595000005E8</v>
      </c>
      <c r="H419" s="3"/>
      <c r="I419" s="6" t="s">
        <v>37</v>
      </c>
    </row>
    <row r="420">
      <c r="A420" s="1">
        <v>46170.0</v>
      </c>
      <c r="B420" s="2" t="s">
        <v>4</v>
      </c>
      <c r="C420" s="2" t="s">
        <v>435</v>
      </c>
      <c r="D420" s="4">
        <v>6.435E7</v>
      </c>
      <c r="E420" s="3"/>
      <c r="F420" s="4" t="s">
        <v>6</v>
      </c>
      <c r="G420" s="3">
        <v>1.3084558595000005E8</v>
      </c>
      <c r="H420" s="3"/>
      <c r="I420" s="6" t="s">
        <v>37</v>
      </c>
    </row>
    <row r="421">
      <c r="A421" s="1">
        <v>46170.0</v>
      </c>
      <c r="B421" s="2" t="s">
        <v>4</v>
      </c>
      <c r="C421" s="2" t="s">
        <v>436</v>
      </c>
      <c r="D421" s="4">
        <v>955600.0</v>
      </c>
      <c r="E421" s="3"/>
      <c r="F421" s="4" t="s">
        <v>6</v>
      </c>
      <c r="G421" s="3">
        <v>1.2988998595000005E8</v>
      </c>
      <c r="H421" s="3"/>
      <c r="I421" s="6" t="s">
        <v>37</v>
      </c>
    </row>
    <row r="422">
      <c r="A422" s="1">
        <v>46170.0</v>
      </c>
      <c r="B422" s="2" t="s">
        <v>4</v>
      </c>
      <c r="C422" s="2" t="s">
        <v>437</v>
      </c>
      <c r="D422" s="4">
        <v>1.27289E7</v>
      </c>
      <c r="E422" s="3"/>
      <c r="F422" s="4" t="s">
        <v>6</v>
      </c>
      <c r="G422" s="3">
        <v>1.1716108595000005E8</v>
      </c>
      <c r="H422" s="3"/>
      <c r="I422" s="6" t="s">
        <v>37</v>
      </c>
    </row>
    <row r="423">
      <c r="A423" s="9">
        <v>46170.0</v>
      </c>
      <c r="B423" s="10" t="s">
        <v>4</v>
      </c>
      <c r="C423" s="10" t="s">
        <v>438</v>
      </c>
      <c r="D423" s="11">
        <v>3064590.0</v>
      </c>
      <c r="E423" s="12"/>
      <c r="F423" s="11" t="s">
        <v>6</v>
      </c>
      <c r="G423" s="12">
        <v>1.1409649595000005E8</v>
      </c>
      <c r="H423" s="11">
        <v>1.1409649595E8</v>
      </c>
      <c r="I423" s="6" t="s">
        <v>37</v>
      </c>
    </row>
    <row r="424">
      <c r="A424" s="1">
        <v>46170.0</v>
      </c>
      <c r="B424" s="2" t="s">
        <v>23</v>
      </c>
      <c r="C424" s="2" t="s">
        <v>439</v>
      </c>
      <c r="D424" s="4"/>
      <c r="E424" s="4">
        <v>1900000.0</v>
      </c>
      <c r="F424" s="4" t="s">
        <v>3</v>
      </c>
      <c r="G424" s="3">
        <v>1.1599649595000005E8</v>
      </c>
      <c r="H424" s="4">
        <v>1.1599649595E8</v>
      </c>
      <c r="I424" s="6" t="s">
        <v>37</v>
      </c>
    </row>
    <row r="425">
      <c r="A425" s="1">
        <v>46170.0</v>
      </c>
      <c r="B425" s="2" t="s">
        <v>4</v>
      </c>
      <c r="C425" s="2" t="s">
        <v>440</v>
      </c>
      <c r="D425" s="4">
        <v>1000000.0</v>
      </c>
      <c r="E425" s="3"/>
      <c r="F425" s="4" t="s">
        <v>6</v>
      </c>
      <c r="G425" s="3">
        <v>1.1499649595000005E8</v>
      </c>
      <c r="H425" s="3"/>
      <c r="I425" s="6" t="s">
        <v>37</v>
      </c>
    </row>
    <row r="426">
      <c r="A426" s="1">
        <v>46170.0</v>
      </c>
      <c r="B426" s="2" t="s">
        <v>23</v>
      </c>
      <c r="C426" s="2" t="s">
        <v>441</v>
      </c>
      <c r="D426" s="3"/>
      <c r="E426" s="4">
        <v>1.969758E7</v>
      </c>
      <c r="F426" s="4" t="s">
        <v>3</v>
      </c>
      <c r="G426" s="3">
        <v>1.3469407595000005E8</v>
      </c>
      <c r="H426" s="3"/>
      <c r="I426" s="6" t="s">
        <v>37</v>
      </c>
    </row>
    <row r="427">
      <c r="A427" s="1">
        <v>46170.0</v>
      </c>
      <c r="B427" s="2" t="s">
        <v>4</v>
      </c>
      <c r="C427" s="2" t="s">
        <v>442</v>
      </c>
      <c r="D427" s="4">
        <v>6.0E7</v>
      </c>
      <c r="E427" s="3"/>
      <c r="F427" s="4" t="s">
        <v>6</v>
      </c>
      <c r="G427" s="3">
        <v>7.469407595000005E7</v>
      </c>
      <c r="H427" s="3"/>
      <c r="I427" s="6" t="s">
        <v>37</v>
      </c>
    </row>
    <row r="428">
      <c r="A428" s="9">
        <v>46170.0</v>
      </c>
      <c r="B428" s="10" t="s">
        <v>23</v>
      </c>
      <c r="C428" s="10" t="s">
        <v>443</v>
      </c>
      <c r="D428" s="11"/>
      <c r="E428" s="11">
        <v>300000.0</v>
      </c>
      <c r="F428" s="11" t="s">
        <v>3</v>
      </c>
      <c r="G428" s="12">
        <v>7.499407595000005E7</v>
      </c>
      <c r="H428" s="11">
        <v>7.499407595E7</v>
      </c>
      <c r="I428" s="6" t="s">
        <v>37</v>
      </c>
    </row>
    <row r="429">
      <c r="A429" s="1">
        <v>46171.0</v>
      </c>
      <c r="B429" s="2" t="s">
        <v>13</v>
      </c>
      <c r="C429" s="2" t="s">
        <v>444</v>
      </c>
      <c r="D429" s="4">
        <v>212100.0</v>
      </c>
      <c r="E429" s="3"/>
      <c r="F429" s="3"/>
      <c r="G429" s="3">
        <v>7.478197595000005E7</v>
      </c>
      <c r="H429" s="4">
        <v>212100.0</v>
      </c>
      <c r="I429" s="6" t="s">
        <v>37</v>
      </c>
    </row>
    <row r="430">
      <c r="A430" s="1">
        <v>46171.0</v>
      </c>
      <c r="B430" s="2" t="s">
        <v>56</v>
      </c>
      <c r="C430" s="2" t="s">
        <v>445</v>
      </c>
      <c r="D430" s="4"/>
      <c r="E430" s="4">
        <v>1.9642755E8</v>
      </c>
      <c r="F430" s="3"/>
      <c r="G430" s="3">
        <v>2.7120952595000005E8</v>
      </c>
      <c r="I430" s="6" t="s">
        <v>37</v>
      </c>
    </row>
    <row r="431">
      <c r="A431" s="1">
        <v>46171.0</v>
      </c>
      <c r="B431" s="2" t="s">
        <v>23</v>
      </c>
      <c r="C431" s="2" t="s">
        <v>446</v>
      </c>
      <c r="D431" s="3"/>
      <c r="E431" s="4">
        <v>6.98544E7</v>
      </c>
      <c r="F431" s="4" t="s">
        <v>3</v>
      </c>
      <c r="G431" s="3">
        <v>3.4106392595000005E8</v>
      </c>
      <c r="H431" s="3"/>
      <c r="I431" s="6" t="s">
        <v>37</v>
      </c>
    </row>
    <row r="432">
      <c r="A432" s="1">
        <v>46171.0</v>
      </c>
      <c r="B432" s="2" t="s">
        <v>23</v>
      </c>
      <c r="C432" s="2" t="s">
        <v>447</v>
      </c>
      <c r="D432" s="3"/>
      <c r="E432" s="4">
        <v>1.2626124E8</v>
      </c>
      <c r="F432" s="4" t="s">
        <v>3</v>
      </c>
      <c r="G432" s="3">
        <v>4.6732516595000005E8</v>
      </c>
      <c r="H432" s="3"/>
      <c r="I432" s="6" t="s">
        <v>37</v>
      </c>
    </row>
    <row r="433">
      <c r="A433" s="1">
        <v>46171.0</v>
      </c>
      <c r="B433" s="2" t="s">
        <v>23</v>
      </c>
      <c r="C433" s="2" t="s">
        <v>448</v>
      </c>
      <c r="D433" s="3"/>
      <c r="E433" s="4">
        <v>1.5678E8</v>
      </c>
      <c r="F433" s="4" t="s">
        <v>3</v>
      </c>
      <c r="G433" s="3">
        <v>6.2410516595E8</v>
      </c>
      <c r="H433" s="3"/>
      <c r="I433" s="6" t="s">
        <v>37</v>
      </c>
    </row>
    <row r="434">
      <c r="A434" s="1">
        <v>46171.0</v>
      </c>
      <c r="B434" s="2" t="s">
        <v>4</v>
      </c>
      <c r="C434" s="2" t="s">
        <v>449</v>
      </c>
      <c r="D434" s="4">
        <v>2.6770803E8</v>
      </c>
      <c r="E434" s="3"/>
      <c r="F434" s="4" t="s">
        <v>6</v>
      </c>
      <c r="G434" s="3">
        <v>3.5639713595000005E8</v>
      </c>
      <c r="H434" s="3"/>
      <c r="I434" s="6" t="s">
        <v>37</v>
      </c>
    </row>
    <row r="435">
      <c r="A435" s="1">
        <v>46171.0</v>
      </c>
      <c r="B435" s="2" t="s">
        <v>4</v>
      </c>
      <c r="C435" s="2" t="s">
        <v>450</v>
      </c>
      <c r="D435" s="4">
        <v>1.0E8</v>
      </c>
      <c r="E435" s="3"/>
      <c r="F435" s="4" t="s">
        <v>6</v>
      </c>
      <c r="G435" s="3">
        <v>2.5639713595000005E8</v>
      </c>
      <c r="H435" s="3"/>
      <c r="I435" s="6" t="s">
        <v>37</v>
      </c>
    </row>
    <row r="436">
      <c r="A436" s="1">
        <v>46171.0</v>
      </c>
      <c r="B436" s="2" t="s">
        <v>13</v>
      </c>
      <c r="C436" s="2" t="s">
        <v>64</v>
      </c>
      <c r="D436" s="4">
        <v>32100.0</v>
      </c>
      <c r="E436" s="3"/>
      <c r="F436" s="3"/>
      <c r="G436" s="3">
        <v>2.5636503595000005E8</v>
      </c>
      <c r="H436" s="4">
        <v>2.5636503595E8</v>
      </c>
      <c r="I436" s="6" t="s">
        <v>37</v>
      </c>
    </row>
    <row r="437">
      <c r="A437" s="1">
        <v>46171.0</v>
      </c>
      <c r="B437" s="2" t="s">
        <v>23</v>
      </c>
      <c r="C437" s="2" t="s">
        <v>451</v>
      </c>
      <c r="D437" s="4"/>
      <c r="E437" s="4">
        <v>250000.0</v>
      </c>
      <c r="F437" s="4" t="s">
        <v>3</v>
      </c>
      <c r="G437" s="3">
        <v>2.5661503595000005E8</v>
      </c>
      <c r="H437" s="4">
        <v>2.5661503595E8</v>
      </c>
      <c r="I437" s="6" t="s">
        <v>37</v>
      </c>
    </row>
    <row r="438">
      <c r="A438" s="1">
        <v>46171.0</v>
      </c>
      <c r="B438" s="2" t="s">
        <v>4</v>
      </c>
      <c r="C438" s="2" t="s">
        <v>452</v>
      </c>
      <c r="D438" s="4">
        <v>3.711945E7</v>
      </c>
      <c r="E438" s="3"/>
      <c r="F438" s="4" t="s">
        <v>6</v>
      </c>
      <c r="G438" s="3">
        <v>2.1949558595000005E8</v>
      </c>
      <c r="H438" s="3"/>
      <c r="I438" s="6" t="s">
        <v>37</v>
      </c>
    </row>
    <row r="439">
      <c r="A439" s="1">
        <v>46171.0</v>
      </c>
      <c r="B439" s="2" t="s">
        <v>4</v>
      </c>
      <c r="C439" s="2" t="s">
        <v>453</v>
      </c>
      <c r="D439" s="4">
        <v>1.552E8</v>
      </c>
      <c r="E439" s="3"/>
      <c r="F439" s="4" t="s">
        <v>6</v>
      </c>
      <c r="G439" s="3">
        <v>6.429558595000005E7</v>
      </c>
      <c r="H439" s="4">
        <v>6.429558595E7</v>
      </c>
      <c r="I439" s="6" t="s">
        <v>37</v>
      </c>
    </row>
    <row r="440">
      <c r="A440" s="1">
        <v>46172.0</v>
      </c>
      <c r="B440" s="2" t="s">
        <v>454</v>
      </c>
      <c r="C440" s="2" t="s">
        <v>455</v>
      </c>
      <c r="D440" s="4"/>
      <c r="E440" s="4">
        <v>6.464001E7</v>
      </c>
      <c r="F440" s="4" t="s">
        <v>3</v>
      </c>
      <c r="G440" s="3">
        <v>1.2893559595000005E8</v>
      </c>
      <c r="H440" s="3"/>
      <c r="I440" s="6" t="s">
        <v>37</v>
      </c>
    </row>
    <row r="441">
      <c r="A441" s="1">
        <v>46172.0</v>
      </c>
      <c r="B441" s="2" t="s">
        <v>4</v>
      </c>
      <c r="C441" s="2" t="s">
        <v>456</v>
      </c>
      <c r="D441" s="4">
        <v>6.932008E7</v>
      </c>
      <c r="E441" s="3"/>
      <c r="F441" s="4" t="s">
        <v>6</v>
      </c>
      <c r="G441" s="3">
        <v>5.961551595000005E7</v>
      </c>
      <c r="H441" s="3"/>
      <c r="I441" s="6" t="s">
        <v>37</v>
      </c>
    </row>
    <row r="442">
      <c r="A442" s="1">
        <v>46172.0</v>
      </c>
      <c r="B442" s="2" t="s">
        <v>26</v>
      </c>
      <c r="C442" s="2" t="s">
        <v>457</v>
      </c>
      <c r="D442" s="4">
        <v>100000.0</v>
      </c>
      <c r="E442" s="3"/>
      <c r="F442" s="4" t="s">
        <v>6</v>
      </c>
      <c r="G442" s="3">
        <v>5.951551595000005E7</v>
      </c>
      <c r="H442" s="3"/>
      <c r="I442" s="6" t="s">
        <v>37</v>
      </c>
    </row>
    <row r="443">
      <c r="A443" s="1">
        <v>46172.0</v>
      </c>
      <c r="B443" s="2" t="s">
        <v>26</v>
      </c>
      <c r="C443" s="2" t="s">
        <v>458</v>
      </c>
      <c r="D443" s="4">
        <v>2500.0</v>
      </c>
      <c r="E443" s="3"/>
      <c r="F443" s="4" t="s">
        <v>6</v>
      </c>
      <c r="G443" s="3">
        <v>5.951301595000005E7</v>
      </c>
      <c r="H443" s="3"/>
      <c r="I443" s="6" t="s">
        <v>37</v>
      </c>
    </row>
    <row r="444">
      <c r="A444" s="1">
        <v>46172.0</v>
      </c>
      <c r="B444" s="2" t="s">
        <v>4</v>
      </c>
      <c r="C444" s="2" t="s">
        <v>459</v>
      </c>
      <c r="D444" s="4">
        <v>1800000.0</v>
      </c>
      <c r="E444" s="3"/>
      <c r="F444" s="4" t="s">
        <v>6</v>
      </c>
      <c r="G444" s="3">
        <v>5.771301595000005E7</v>
      </c>
      <c r="H444" s="3"/>
      <c r="I444" s="6" t="s">
        <v>37</v>
      </c>
    </row>
    <row r="445">
      <c r="A445" s="1">
        <v>46172.0</v>
      </c>
      <c r="B445" s="2" t="s">
        <v>23</v>
      </c>
      <c r="C445" s="2" t="s">
        <v>460</v>
      </c>
      <c r="D445" s="4"/>
      <c r="E445" s="4">
        <v>1.345371E8</v>
      </c>
      <c r="F445" s="4" t="s">
        <v>3</v>
      </c>
      <c r="G445" s="3">
        <v>1.9225011595000005E8</v>
      </c>
      <c r="H445" s="3"/>
      <c r="I445" s="6" t="s">
        <v>37</v>
      </c>
    </row>
    <row r="446">
      <c r="A446" s="1">
        <v>46172.0</v>
      </c>
      <c r="B446" s="2" t="s">
        <v>23</v>
      </c>
      <c r="C446" s="2" t="s">
        <v>461</v>
      </c>
      <c r="D446" s="4"/>
      <c r="E446" s="4">
        <v>1.715904E7</v>
      </c>
      <c r="F446" s="4" t="s">
        <v>3</v>
      </c>
      <c r="G446" s="3">
        <v>2.0940915595000005E8</v>
      </c>
      <c r="H446" s="3"/>
      <c r="I446" s="6" t="s">
        <v>37</v>
      </c>
    </row>
    <row r="447">
      <c r="A447" s="1">
        <v>46172.0</v>
      </c>
      <c r="B447" s="2" t="s">
        <v>13</v>
      </c>
      <c r="C447" s="2" t="s">
        <v>462</v>
      </c>
      <c r="D447" s="4">
        <v>297100.0</v>
      </c>
      <c r="E447" s="3"/>
      <c r="F447" s="3"/>
      <c r="G447" s="3">
        <v>2.0911205595000005E8</v>
      </c>
      <c r="H447" s="3"/>
      <c r="I447" s="6" t="s">
        <v>37</v>
      </c>
    </row>
    <row r="448">
      <c r="A448" s="1">
        <v>46172.0</v>
      </c>
      <c r="B448" s="2" t="s">
        <v>23</v>
      </c>
      <c r="C448" s="2" t="s">
        <v>463</v>
      </c>
      <c r="D448" s="4"/>
      <c r="E448" s="4">
        <v>1.0E8</v>
      </c>
      <c r="F448" s="4" t="s">
        <v>3</v>
      </c>
      <c r="G448" s="3">
        <v>3.0911205595000005E8</v>
      </c>
      <c r="H448" s="3"/>
      <c r="I448" s="6" t="s">
        <v>37</v>
      </c>
    </row>
    <row r="449">
      <c r="A449" s="1">
        <v>46172.0</v>
      </c>
      <c r="B449" s="2" t="s">
        <v>4</v>
      </c>
      <c r="C449" s="2" t="s">
        <v>464</v>
      </c>
      <c r="D449" s="4">
        <v>6.76E7</v>
      </c>
      <c r="E449" s="3"/>
      <c r="F449" s="4" t="s">
        <v>6</v>
      </c>
      <c r="G449" s="3">
        <v>2.4151205595000005E8</v>
      </c>
      <c r="H449" s="4">
        <v>2.4151205595E8</v>
      </c>
      <c r="I449" s="6" t="s">
        <v>37</v>
      </c>
    </row>
    <row r="450">
      <c r="A450" s="1">
        <v>46172.0</v>
      </c>
      <c r="B450" s="2" t="s">
        <v>4</v>
      </c>
      <c r="C450" s="2" t="s">
        <v>465</v>
      </c>
      <c r="D450" s="4">
        <v>6.3954E7</v>
      </c>
      <c r="E450" s="3"/>
      <c r="F450" s="4" t="s">
        <v>6</v>
      </c>
      <c r="G450" s="3">
        <v>1.7755805595000005E8</v>
      </c>
      <c r="H450" s="4">
        <v>1.7755805595E8</v>
      </c>
      <c r="I450" s="6" t="s">
        <v>37</v>
      </c>
    </row>
    <row r="451">
      <c r="A451" s="1">
        <v>46172.0</v>
      </c>
      <c r="B451" s="2" t="s">
        <v>4</v>
      </c>
      <c r="C451" s="2" t="s">
        <v>466</v>
      </c>
      <c r="D451" s="4">
        <v>1.738348E8</v>
      </c>
      <c r="E451" s="3"/>
      <c r="F451" s="4" t="s">
        <v>6</v>
      </c>
      <c r="G451" s="3">
        <v>3723255.9500000477</v>
      </c>
      <c r="H451" s="4">
        <v>3723255.95</v>
      </c>
      <c r="I451" s="6" t="s">
        <v>37</v>
      </c>
    </row>
    <row r="452">
      <c r="A452" s="1">
        <v>46173.0</v>
      </c>
      <c r="B452" s="2" t="s">
        <v>4</v>
      </c>
      <c r="C452" s="2" t="s">
        <v>467</v>
      </c>
      <c r="D452" s="4">
        <v>1000000.0</v>
      </c>
      <c r="E452" s="3"/>
      <c r="F452" s="4" t="s">
        <v>6</v>
      </c>
      <c r="G452" s="3">
        <v>2723255.9500000477</v>
      </c>
      <c r="H452" s="3"/>
      <c r="I452" s="6" t="s">
        <v>37</v>
      </c>
    </row>
    <row r="453">
      <c r="A453" s="1">
        <v>46173.0</v>
      </c>
      <c r="B453" s="2" t="s">
        <v>23</v>
      </c>
      <c r="C453" s="2" t="s">
        <v>468</v>
      </c>
      <c r="D453" s="4"/>
      <c r="E453" s="4">
        <v>1.065976E8</v>
      </c>
      <c r="F453" s="4" t="s">
        <v>3</v>
      </c>
      <c r="G453" s="3">
        <v>1.0932085595000005E8</v>
      </c>
      <c r="H453" s="3"/>
      <c r="I453" s="6" t="s">
        <v>37</v>
      </c>
    </row>
    <row r="454">
      <c r="A454" s="1">
        <v>46173.0</v>
      </c>
      <c r="B454" s="2" t="s">
        <v>4</v>
      </c>
      <c r="C454" s="2" t="s">
        <v>469</v>
      </c>
      <c r="D454" s="4">
        <v>6.18114E7</v>
      </c>
      <c r="E454" s="3"/>
      <c r="F454" s="4" t="s">
        <v>6</v>
      </c>
      <c r="G454" s="3">
        <v>4.750945595000005E7</v>
      </c>
      <c r="H454" s="3"/>
      <c r="I454" s="6" t="s">
        <v>37</v>
      </c>
    </row>
    <row r="455">
      <c r="A455" s="1">
        <v>46173.0</v>
      </c>
      <c r="B455" s="2" t="s">
        <v>23</v>
      </c>
      <c r="C455" s="2" t="s">
        <v>470</v>
      </c>
      <c r="D455" s="4"/>
      <c r="E455" s="4">
        <v>1.273166E8</v>
      </c>
      <c r="F455" s="4" t="s">
        <v>3</v>
      </c>
      <c r="G455" s="3">
        <v>1.7482605595000005E8</v>
      </c>
      <c r="H455" s="3"/>
      <c r="I455" s="6" t="s">
        <v>37</v>
      </c>
    </row>
    <row r="456">
      <c r="A456" s="1">
        <v>46173.0</v>
      </c>
      <c r="B456" s="2" t="s">
        <v>23</v>
      </c>
      <c r="C456" s="2" t="s">
        <v>471</v>
      </c>
      <c r="D456" s="4"/>
      <c r="E456" s="4">
        <v>1.2410928E8</v>
      </c>
      <c r="F456" s="4" t="s">
        <v>3</v>
      </c>
      <c r="G456" s="3">
        <v>2.9893533595000005E8</v>
      </c>
      <c r="H456" s="3"/>
      <c r="I456" s="6" t="s">
        <v>37</v>
      </c>
    </row>
    <row r="457">
      <c r="A457" s="1">
        <v>46173.0</v>
      </c>
      <c r="B457" s="2" t="s">
        <v>23</v>
      </c>
      <c r="C457" s="2" t="s">
        <v>472</v>
      </c>
      <c r="D457" s="4"/>
      <c r="E457" s="4">
        <v>1.5E8</v>
      </c>
      <c r="F457" s="4" t="s">
        <v>3</v>
      </c>
      <c r="G457" s="3">
        <v>4.4893533595000005E8</v>
      </c>
      <c r="H457" s="3"/>
      <c r="I457" s="6" t="s">
        <v>37</v>
      </c>
    </row>
    <row r="458">
      <c r="A458" s="1">
        <v>46173.0</v>
      </c>
      <c r="B458" s="2" t="s">
        <v>4</v>
      </c>
      <c r="C458" s="2" t="s">
        <v>473</v>
      </c>
      <c r="D458" s="4">
        <v>1450000.0</v>
      </c>
      <c r="E458" s="3"/>
      <c r="F458" s="4" t="s">
        <v>6</v>
      </c>
      <c r="G458" s="3">
        <v>4.4748533595000005E8</v>
      </c>
      <c r="H458" s="3"/>
      <c r="I458" s="6" t="s">
        <v>37</v>
      </c>
    </row>
    <row r="459">
      <c r="A459" s="1">
        <v>46173.0</v>
      </c>
      <c r="B459" s="2" t="s">
        <v>4</v>
      </c>
      <c r="C459" s="2" t="s">
        <v>474</v>
      </c>
      <c r="D459" s="4">
        <v>60000.0</v>
      </c>
      <c r="E459" s="3"/>
      <c r="F459" s="4" t="s">
        <v>6</v>
      </c>
      <c r="G459" s="3">
        <v>4.4742533595000005E8</v>
      </c>
      <c r="H459" s="3"/>
      <c r="I459" s="6" t="s">
        <v>37</v>
      </c>
    </row>
    <row r="460">
      <c r="A460" s="1">
        <v>46173.0</v>
      </c>
      <c r="B460" s="2" t="s">
        <v>4</v>
      </c>
      <c r="C460" s="2" t="s">
        <v>475</v>
      </c>
      <c r="D460" s="4">
        <v>1.985676E8</v>
      </c>
      <c r="E460" s="3"/>
      <c r="F460" s="4" t="s">
        <v>6</v>
      </c>
      <c r="G460" s="3">
        <v>2.4885773595000005E8</v>
      </c>
      <c r="H460" s="3"/>
      <c r="I460" s="6" t="s">
        <v>37</v>
      </c>
    </row>
    <row r="461">
      <c r="A461" s="1">
        <v>46173.0</v>
      </c>
      <c r="B461" s="2" t="s">
        <v>4</v>
      </c>
      <c r="C461" s="2" t="s">
        <v>476</v>
      </c>
      <c r="D461" s="4">
        <v>9.446228E7</v>
      </c>
      <c r="E461" s="3"/>
      <c r="F461" s="4" t="s">
        <v>6</v>
      </c>
      <c r="G461" s="3">
        <v>1.5439545595000005E8</v>
      </c>
      <c r="H461" s="3"/>
      <c r="I461" s="6" t="s">
        <v>37</v>
      </c>
    </row>
    <row r="462">
      <c r="A462" s="1">
        <v>46173.0</v>
      </c>
      <c r="B462" s="2" t="s">
        <v>4</v>
      </c>
      <c r="C462" s="2" t="s">
        <v>477</v>
      </c>
      <c r="D462" s="4">
        <v>600000.0</v>
      </c>
      <c r="E462" s="3"/>
      <c r="F462" s="4" t="s">
        <v>6</v>
      </c>
      <c r="G462" s="3">
        <v>1.5379545595000005E8</v>
      </c>
      <c r="H462" s="4">
        <v>1.5379545595E8</v>
      </c>
      <c r="I462" s="6" t="s">
        <v>37</v>
      </c>
    </row>
    <row r="463">
      <c r="A463" s="1">
        <v>46173.0</v>
      </c>
      <c r="B463" s="2" t="s">
        <v>478</v>
      </c>
      <c r="C463" s="2" t="s">
        <v>478</v>
      </c>
      <c r="D463" s="4"/>
      <c r="E463" s="4">
        <v>16.77</v>
      </c>
      <c r="F463" s="4" t="s">
        <v>3</v>
      </c>
      <c r="G463" s="3">
        <v>1.5379547272000006E8</v>
      </c>
      <c r="H463" s="4">
        <v>1.5379547272E8</v>
      </c>
      <c r="I463" s="6" t="s">
        <v>37</v>
      </c>
    </row>
  </sheetData>
  <dataValidations>
    <dataValidation type="list" allowBlank="1" showErrorMessage="1" sqref="I1:I463">
      <formula1>"PRIBADI,PRODUKSI,BANK,EXSPEDISI,V_SALES,OPERASIONAL,NURUL_AINI"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>
        <f>IFERROR(__xludf.DUMMYFUNCTION("IFERROR(QUERY(MEI_2023!A:I, ""SELECT * WHERE D IS NOT NULL AND UPPER(I) = 'EXSPEDISI'"", 1), ""Data EXSPEDISI belum ditemukan"")"),46143.0)</f>
        <v>46143</v>
      </c>
      <c r="B1" s="5" t="str">
        <f>IFERROR(__xludf.DUMMYFUNCTION("""COMPUTED_VALUE"""),"TRSF E-BANKING DB")</f>
        <v>TRSF E-BANKING DB</v>
      </c>
      <c r="C1" s="5" t="str">
        <f>IFERROR(__xludf.DUMMYFUNCTION("""COMPUTED_VALUE"""),"0105/FTSCY/WS95271 100000000.00 titip BRANTAS ABADI SENT")</f>
        <v>0105/FTSCY/WS95271 100000000.00 titip BRANTAS ABADI SENT</v>
      </c>
      <c r="D1" s="5">
        <f>IFERROR(__xludf.DUMMYFUNCTION("""COMPUTED_VALUE"""),1.0E8)</f>
        <v>100000000</v>
      </c>
      <c r="E1" s="5"/>
      <c r="F1" s="5" t="str">
        <f>IFERROR(__xludf.DUMMYFUNCTION("""COMPUTED_VALUE"""),"DB")</f>
        <v>DB</v>
      </c>
      <c r="G1" s="5">
        <f>IFERROR(__xludf.DUMMYFUNCTION("""COMPUTED_VALUE"""),3.5306738995E8)</f>
        <v>353067390</v>
      </c>
      <c r="H1" s="5"/>
      <c r="I1" s="5" t="str">
        <f>IFERROR(__xludf.DUMMYFUNCTION("""COMPUTED_VALUE"""),"EXSPEDISI")</f>
        <v>EXSPEDISI</v>
      </c>
      <c r="J1" s="5">
        <f>SUM(D1:D1000)</f>
        <v>100000000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>
        <f>IFERROR(__xludf.DUMMYFUNCTION("IFERROR(QUERY(MEI_2023!A:I, ""SELECT * WHERE D IS NOT NULL AND UPPER(I) = 'V_SALES'"", 1), ""Data V_SALES belum ditemukan"")"),46143.0)</f>
        <v>46143</v>
      </c>
      <c r="B1" s="5" t="str">
        <f>IFERROR(__xludf.DUMMYFUNCTION("""COMPUTED_VALUE"""),"TRSF E-BANKING DB")</f>
        <v>TRSF E-BANKING DB</v>
      </c>
      <c r="C1" s="5" t="str">
        <f>IFERROR(__xludf.DUMMYFUNCTION("""COMPUTED_VALUE"""),"0105/FTSCY/WS95271 14905300.00 29 dan 30 BROILER MAKMUR TAN")</f>
        <v>0105/FTSCY/WS95271 14905300.00 29 dan 30 BROILER MAKMUR TAN</v>
      </c>
      <c r="D1" s="5">
        <f>IFERROR(__xludf.DUMMYFUNCTION("""COMPUTED_VALUE"""),1.49053E7)</f>
        <v>14905300</v>
      </c>
      <c r="E1" s="5"/>
      <c r="F1" s="5" t="str">
        <f>IFERROR(__xludf.DUMMYFUNCTION("""COMPUTED_VALUE"""),"DB")</f>
        <v>DB</v>
      </c>
      <c r="G1" s="5">
        <f>IFERROR(__xludf.DUMMYFUNCTION("""COMPUTED_VALUE"""),3.3716208995E8)</f>
        <v>337162090</v>
      </c>
      <c r="H1" s="5"/>
      <c r="I1" s="5" t="str">
        <f>IFERROR(__xludf.DUMMYFUNCTION("""COMPUTED_VALUE"""),"V_SALES")</f>
        <v>V_SALES</v>
      </c>
      <c r="J1" s="5">
        <f>SUM(D1:D1000)</f>
        <v>14905300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>
        <f>IFERROR(__xludf.DUMMYFUNCTION("IFERROR(QUERY(MEI_2023!A:I, ""SELECT * WHERE D IS NOT NULL AND UPPER(I) = 'OPERASIONAL'"", 1), ""Data OPERASIONAL belum ditemukan"")"),46144.0)</f>
        <v>46144</v>
      </c>
      <c r="B1" s="5" t="str">
        <f>IFERROR(__xludf.DUMMYFUNCTION("""COMPUTED_VALUE"""),"TRSF E-BANKING DB")</f>
        <v>TRSF E-BANKING DB</v>
      </c>
      <c r="C1" s="5" t="str">
        <f>IFERROR(__xludf.DUMMYFUNCTION("""COMPUTED_VALUE"""),"0205/FTSCY/WS95031 1000000.00 bon 500.000 SUNARTO")</f>
        <v>0205/FTSCY/WS95031 1000000.00 bon 500.000 SUNARTO</v>
      </c>
      <c r="D1" s="5">
        <f>IFERROR(__xludf.DUMMYFUNCTION("""COMPUTED_VALUE"""),1000000.0)</f>
        <v>1000000</v>
      </c>
      <c r="E1" s="5"/>
      <c r="F1" s="5" t="str">
        <f>IFERROR(__xludf.DUMMYFUNCTION("""COMPUTED_VALUE"""),"DB")</f>
        <v>DB</v>
      </c>
      <c r="G1" s="5">
        <f>IFERROR(__xludf.DUMMYFUNCTION("""COMPUTED_VALUE"""),4.1836611995E8)</f>
        <v>418366120</v>
      </c>
      <c r="H1" s="5">
        <f>IFERROR(__xludf.DUMMYFUNCTION("""COMPUTED_VALUE"""),4.1836611995E8)</f>
        <v>418366120</v>
      </c>
      <c r="I1" s="5" t="str">
        <f>IFERROR(__xludf.DUMMYFUNCTION("""COMPUTED_VALUE"""),"OPERASIONAL")</f>
        <v>OPERASIONAL</v>
      </c>
      <c r="J1" s="5">
        <f>SUM(D1:D1000)</f>
        <v>1000000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>
        <f>IFERROR(__xludf.DUMMYFUNCTION("IFERROR(QUERY(MEI_2023!A:I, ""SELECT * WHERE D IS NOT NULL AND UPPER(I) = 'NURUL_AINI'"", 1), ""Data NURUL_AINI belum ditemukan"")"),46164.0)</f>
        <v>46164</v>
      </c>
      <c r="B1" s="5" t="str">
        <f>IFERROR(__xludf.DUMMYFUNCTION("""COMPUTED_VALUE"""),"TRSF E-BANKING DB")</f>
        <v>TRSF E-BANKING DB</v>
      </c>
      <c r="C1" s="5" t="str">
        <f>IFERROR(__xludf.DUMMYFUNCTION("""COMPUTED_VALUE"""),"2205/FTSCY/WS95031 200000.00 NURUL AINI")</f>
        <v>2205/FTSCY/WS95031 200000.00 NURUL AINI</v>
      </c>
      <c r="D1" s="5">
        <f>IFERROR(__xludf.DUMMYFUNCTION("""COMPUTED_VALUE"""),200000.0)</f>
        <v>200000</v>
      </c>
      <c r="E1" s="5"/>
      <c r="F1" s="5" t="str">
        <f>IFERROR(__xludf.DUMMYFUNCTION("""COMPUTED_VALUE"""),"DB")</f>
        <v>DB</v>
      </c>
      <c r="G1" s="5">
        <f>IFERROR(__xludf.DUMMYFUNCTION("""COMPUTED_VALUE"""),300525.9500000477)</f>
        <v>300525.95</v>
      </c>
      <c r="H1" s="5"/>
      <c r="I1" s="5" t="str">
        <f>IFERROR(__xludf.DUMMYFUNCTION("""COMPUTED_VALUE"""),"NURUL_AINI")</f>
        <v>NURUL_AINI</v>
      </c>
      <c r="J1" s="5">
        <f>SUM(D1:D1000)</f>
        <v>200000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>
        <f>IFERROR(__xludf.DUMMYFUNCTION("IFERROR(QUERY(MEI_2023!A:I, ""SELECT * WHERE D IS NOT NULL AND UPPER(I) = ''"", 1), ""Data KOSONG belum ditemukan"") "),46143.0)</f>
        <v>46143</v>
      </c>
      <c r="B1" s="5" t="str">
        <f>IFERROR(__xludf.DUMMYFUNCTION("""COMPUTED_VALUE"""),"TRSF E-BANKING DB")</f>
        <v>TRSF E-BANKING DB</v>
      </c>
      <c r="C1" s="5" t="str">
        <f>IFERROR(__xludf.DUMMYFUNCTION("""COMPUTED_VALUE"""),"0105/FTSCY/WS95031 1365400.00 SUPRIYADI")</f>
        <v>0105/FTSCY/WS95031 1365400.00 SUPRIYADI</v>
      </c>
      <c r="D1" s="5">
        <f>IFERROR(__xludf.DUMMYFUNCTION("""COMPUTED_VALUE"""),1365400.0)</f>
        <v>1365400</v>
      </c>
      <c r="E1" s="5"/>
      <c r="F1" s="5" t="str">
        <f>IFERROR(__xludf.DUMMYFUNCTION("""COMPUTED_VALUE"""),"DB")</f>
        <v>DB</v>
      </c>
      <c r="G1" s="5">
        <f>IFERROR(__xludf.DUMMYFUNCTION("""COMPUTED_VALUE"""),2.1266933995E8)</f>
        <v>212669340</v>
      </c>
      <c r="H1" s="5"/>
      <c r="I1" s="5"/>
      <c r="J1" s="5">
        <f>SUM(D1:D1000)</f>
        <v>6997015320</v>
      </c>
    </row>
    <row r="2">
      <c r="A2" s="8">
        <f>IFERROR(__xludf.DUMMYFUNCTION("""COMPUTED_VALUE"""),46144.0)</f>
        <v>46144</v>
      </c>
      <c r="B2" s="5" t="str">
        <f>IFERROR(__xludf.DUMMYFUNCTION("""COMPUTED_VALUE"""),"TRSF E-BANKING DB")</f>
        <v>TRSF E-BANKING DB</v>
      </c>
      <c r="C2" s="5" t="str">
        <f>IFERROR(__xludf.DUMMYFUNCTION("""COMPUTED_VALUE"""),"0205/FTSCY/WS95031 56125500.00 Wed Apr 29 2026 14:00:00 GMT+0700 (Western Indonesia Time) RUKUN MITRA BERSAM")</f>
        <v>0205/FTSCY/WS95031 56125500.00 Wed Apr 29 2026 14:00:00 GMT+0700 (Western Indonesia Time) RUKUN MITRA BERSAM</v>
      </c>
      <c r="D2" s="5">
        <f>IFERROR(__xludf.DUMMYFUNCTION("""COMPUTED_VALUE"""),5.61255E7)</f>
        <v>56125500</v>
      </c>
      <c r="E2" s="5"/>
      <c r="F2" s="5" t="str">
        <f>IFERROR(__xludf.DUMMYFUNCTION("""COMPUTED_VALUE"""),"DB")</f>
        <v>DB</v>
      </c>
      <c r="G2" s="5">
        <f>IFERROR(__xludf.DUMMYFUNCTION("""COMPUTED_VALUE"""),1.9103658995E8)</f>
        <v>191036590</v>
      </c>
      <c r="H2" s="5"/>
      <c r="I2" s="5"/>
    </row>
    <row r="3">
      <c r="A3" s="8">
        <f>IFERROR(__xludf.DUMMYFUNCTION("""COMPUTED_VALUE"""),46144.0)</f>
        <v>46144</v>
      </c>
      <c r="B3" s="5" t="str">
        <f>IFERROR(__xludf.DUMMYFUNCTION("""COMPUTED_VALUE"""),"TRSF E-BANKING DB")</f>
        <v>TRSF E-BANKING DB</v>
      </c>
      <c r="C3" s="5" t="str">
        <f>IFERROR(__xludf.DUMMYFUNCTION("""COMPUTED_VALUE"""),"0205/FTSCY/WS95031 29108850.00 krg 20 jt EKO SETIYAWAN")</f>
        <v>0205/FTSCY/WS95031 29108850.00 krg 20 jt EKO SETIYAWAN</v>
      </c>
      <c r="D3" s="5">
        <f>IFERROR(__xludf.DUMMYFUNCTION("""COMPUTED_VALUE"""),2.910885E7)</f>
        <v>29108850</v>
      </c>
      <c r="E3" s="5"/>
      <c r="F3" s="5" t="str">
        <f>IFERROR(__xludf.DUMMYFUNCTION("""COMPUTED_VALUE"""),"DB")</f>
        <v>DB</v>
      </c>
      <c r="G3" s="5">
        <f>IFERROR(__xludf.DUMMYFUNCTION("""COMPUTED_VALUE"""),1.6192773995E8)</f>
        <v>161927740</v>
      </c>
      <c r="H3" s="5"/>
      <c r="I3" s="5"/>
    </row>
    <row r="4">
      <c r="A4" s="8">
        <f>IFERROR(__xludf.DUMMYFUNCTION("""COMPUTED_VALUE"""),46144.0)</f>
        <v>46144</v>
      </c>
      <c r="B4" s="5" t="str">
        <f>IFERROR(__xludf.DUMMYFUNCTION("""COMPUTED_VALUE"""),"TRSF E-BANKING DB")</f>
        <v>TRSF E-BANKING DB</v>
      </c>
      <c r="C4" s="5" t="str">
        <f>IFERROR(__xludf.DUMMYFUNCTION("""COMPUTED_VALUE"""),"0205/FTSCY/WS95271 50653710.00 Fri May 01 2026 14:00:00 GMT+0700 (Western Indonesia Time) LAWU ABADI NUSA PT")</f>
        <v>0205/FTSCY/WS95271 50653710.00 Fri May 01 2026 14:00:00 GMT+0700 (Western Indonesia Time) LAWU ABADI NUSA PT</v>
      </c>
      <c r="D4" s="5">
        <f>IFERROR(__xludf.DUMMYFUNCTION("""COMPUTED_VALUE"""),5.065371E7)</f>
        <v>50653710</v>
      </c>
      <c r="E4" s="5"/>
      <c r="F4" s="5" t="str">
        <f>IFERROR(__xludf.DUMMYFUNCTION("""COMPUTED_VALUE"""),"DB")</f>
        <v>DB</v>
      </c>
      <c r="G4" s="5">
        <f>IFERROR(__xludf.DUMMYFUNCTION("""COMPUTED_VALUE"""),1.5473722995E8)</f>
        <v>154737230</v>
      </c>
      <c r="H4" s="5">
        <f>IFERROR(__xludf.DUMMYFUNCTION("""COMPUTED_VALUE"""),1.5473722995E8)</f>
        <v>154737230</v>
      </c>
      <c r="I4" s="5"/>
    </row>
    <row r="5">
      <c r="A5" s="8">
        <f>IFERROR(__xludf.DUMMYFUNCTION("""COMPUTED_VALUE"""),46144.0)</f>
        <v>46144</v>
      </c>
      <c r="B5" s="5" t="str">
        <f>IFERROR(__xludf.DUMMYFUNCTION("""COMPUTED_VALUE"""),"BI-FAST DB")</f>
        <v>BI-FAST DB</v>
      </c>
      <c r="C5" s="5" t="str">
        <f>IFERROR(__xludf.DUMMYFUNCTION("""COMPUTED_VALUE"""),"BIF TRANSFER KE 9 NOUVAL HOLQI RISKU M-BCA")</f>
        <v>BIF TRANSFER KE 9 NOUVAL HOLQI RISKU M-BCA</v>
      </c>
      <c r="D5" s="5">
        <f>IFERROR(__xludf.DUMMYFUNCTION("""COMPUTED_VALUE"""),60000.0)</f>
        <v>60000</v>
      </c>
      <c r="E5" s="5"/>
      <c r="F5" s="5" t="str">
        <f>IFERROR(__xludf.DUMMYFUNCTION("""COMPUTED_VALUE"""),"DB")</f>
        <v>DB</v>
      </c>
      <c r="G5" s="5">
        <f>IFERROR(__xludf.DUMMYFUNCTION("""COMPUTED_VALUE"""),1.5467722995E8)</f>
        <v>154677230</v>
      </c>
      <c r="H5" s="5"/>
      <c r="I5" s="5"/>
    </row>
    <row r="6">
      <c r="A6" s="8">
        <f>IFERROR(__xludf.DUMMYFUNCTION("""COMPUTED_VALUE"""),46144.0)</f>
        <v>46144</v>
      </c>
      <c r="B6" s="5" t="str">
        <f>IFERROR(__xludf.DUMMYFUNCTION("""COMPUTED_VALUE"""),"TRSF E-BANKING DB")</f>
        <v>TRSF E-BANKING DB</v>
      </c>
      <c r="C6" s="5" t="str">
        <f>IFERROR(__xludf.DUMMYFUNCTION("""COMPUTED_VALUE"""),"0205/FTFVA/WS95031 55569/PT PRIMA FAJ pasuruan 5700kg - 40190")</f>
        <v>0205/FTFVA/WS95031 55569/PT PRIMA FAJ pasuruan 5700kg - 40190</v>
      </c>
      <c r="D6" s="5">
        <f>IFERROR(__xludf.DUMMYFUNCTION("""COMPUTED_VALUE"""),9.234E7)</f>
        <v>92340000</v>
      </c>
      <c r="E6" s="5"/>
      <c r="F6" s="5" t="str">
        <f>IFERROR(__xludf.DUMMYFUNCTION("""COMPUTED_VALUE"""),"DB")</f>
        <v>DB</v>
      </c>
      <c r="G6" s="5">
        <f>IFERROR(__xludf.DUMMYFUNCTION("""COMPUTED_VALUE"""),4.4209739995E8)</f>
        <v>442097400</v>
      </c>
      <c r="H6" s="5"/>
      <c r="I6" s="5"/>
    </row>
    <row r="7">
      <c r="A7" s="8">
        <f>IFERROR(__xludf.DUMMYFUNCTION("""COMPUTED_VALUE"""),46144.0)</f>
        <v>46144</v>
      </c>
      <c r="B7" s="5" t="str">
        <f>IFERROR(__xludf.DUMMYFUNCTION("""COMPUTED_VALUE"""),"TRSF E-BANKING DB")</f>
        <v>TRSF E-BANKING DB</v>
      </c>
      <c r="C7" s="5" t="str">
        <f>IFERROR(__xludf.DUMMYFUNCTION("""COMPUTED_VALUE"""),"0205/FTSCY/WS95271 21250000.00 10.5 ton dan 3 ton ponorogo UNGGAS MANDIRI BER")</f>
        <v>0205/FTSCY/WS95271 21250000.00 10.5 ton dan 3 ton ponorogo UNGGAS MANDIRI BER</v>
      </c>
      <c r="D7" s="5">
        <f>IFERROR(__xludf.DUMMYFUNCTION("""COMPUTED_VALUE"""),2.125E7)</f>
        <v>21250000</v>
      </c>
      <c r="E7" s="5"/>
      <c r="F7" s="5" t="str">
        <f>IFERROR(__xludf.DUMMYFUNCTION("""COMPUTED_VALUE"""),"DB")</f>
        <v>DB</v>
      </c>
      <c r="G7" s="5">
        <f>IFERROR(__xludf.DUMMYFUNCTION("""COMPUTED_VALUE"""),4.2084739995E8)</f>
        <v>420847400</v>
      </c>
      <c r="H7" s="5"/>
      <c r="I7" s="5"/>
    </row>
    <row r="8">
      <c r="A8" s="8">
        <f>IFERROR(__xludf.DUMMYFUNCTION("""COMPUTED_VALUE"""),46144.0)</f>
        <v>46144</v>
      </c>
      <c r="B8" s="5" t="str">
        <f>IFERROR(__xludf.DUMMYFUNCTION("""COMPUTED_VALUE"""),"TRSF E-BANKING DB")</f>
        <v>TRSF E-BANKING DB</v>
      </c>
      <c r="C8" s="5" t="str">
        <f>IFERROR(__xludf.DUMMYFUNCTION("""COMPUTED_VALUE"""),"0205/FTSCY/WS95011 60921600.00 Fri May 01 2026 14:00:00 GMT+0700 (Western Indonesia Time) BINTANG TAMA SANTO")</f>
        <v>0205/FTSCY/WS95011 60921600.00 Fri May 01 2026 14:00:00 GMT+0700 (Western Indonesia Time) BINTANG TAMA SANTO</v>
      </c>
      <c r="D8" s="5">
        <f>IFERROR(__xludf.DUMMYFUNCTION("""COMPUTED_VALUE"""),6.09216E7)</f>
        <v>60921600</v>
      </c>
      <c r="E8" s="5"/>
      <c r="F8" s="5" t="str">
        <f>IFERROR(__xludf.DUMMYFUNCTION("""COMPUTED_VALUE"""),"DB")</f>
        <v>DB</v>
      </c>
      <c r="G8" s="5">
        <f>IFERROR(__xludf.DUMMYFUNCTION("""COMPUTED_VALUE"""),7.404519994999999E7)</f>
        <v>74045199.95</v>
      </c>
      <c r="H8" s="5"/>
      <c r="I8" s="5"/>
    </row>
    <row r="9">
      <c r="A9" s="8">
        <f>IFERROR(__xludf.DUMMYFUNCTION("""COMPUTED_VALUE"""),46144.0)</f>
        <v>46144</v>
      </c>
      <c r="B9" s="5" t="str">
        <f>IFERROR(__xludf.DUMMYFUNCTION("""COMPUTED_VALUE"""),"TRSF E-BANKING DB")</f>
        <v>TRSF E-BANKING DB</v>
      </c>
      <c r="C9" s="5" t="str">
        <f>IFERROR(__xludf.DUMMYFUNCTION("""COMPUTED_VALUE"""),"0205/FTSCY/WS95011 42491200.00 kd laila pasuruan SUPER UNGGAS JAYA")</f>
        <v>0205/FTSCY/WS95011 42491200.00 kd laila pasuruan SUPER UNGGAS JAYA</v>
      </c>
      <c r="D9" s="5">
        <f>IFERROR(__xludf.DUMMYFUNCTION("""COMPUTED_VALUE"""),4.24912E7)</f>
        <v>42491200</v>
      </c>
      <c r="E9" s="5"/>
      <c r="F9" s="5" t="str">
        <f>IFERROR(__xludf.DUMMYFUNCTION("""COMPUTED_VALUE"""),"DB")</f>
        <v>DB</v>
      </c>
      <c r="G9" s="5">
        <f>IFERROR(__xludf.DUMMYFUNCTION("""COMPUTED_VALUE"""),3.1553999949999988E7)</f>
        <v>31553999.95</v>
      </c>
      <c r="H9" s="5">
        <f>IFERROR(__xludf.DUMMYFUNCTION("""COMPUTED_VALUE"""),3.155399995E7)</f>
        <v>31553999.95</v>
      </c>
      <c r="I9" s="5"/>
    </row>
    <row r="10">
      <c r="A10" s="8">
        <f>IFERROR(__xludf.DUMMYFUNCTION("""COMPUTED_VALUE"""),46145.0)</f>
        <v>46145</v>
      </c>
      <c r="B10" s="5" t="str">
        <f>IFERROR(__xludf.DUMMYFUNCTION("""COMPUTED_VALUE"""),"TRSF E-BANKING DB")</f>
        <v>TRSF E-BANKING DB</v>
      </c>
      <c r="C10" s="5" t="str">
        <f>IFERROR(__xludf.DUMMYFUNCTION("""COMPUTED_VALUE"""),"0305/FTSCY/WS95031 2672320.00 MUJIANTO")</f>
        <v>0305/FTSCY/WS95031 2672320.00 MUJIANTO</v>
      </c>
      <c r="D10" s="5">
        <f>IFERROR(__xludf.DUMMYFUNCTION("""COMPUTED_VALUE"""),2672320.0)</f>
        <v>2672320</v>
      </c>
      <c r="E10" s="5"/>
      <c r="F10" s="5" t="str">
        <f>IFERROR(__xludf.DUMMYFUNCTION("""COMPUTED_VALUE"""),"DB")</f>
        <v>DB</v>
      </c>
      <c r="G10" s="5">
        <f>IFERROR(__xludf.DUMMYFUNCTION("""COMPUTED_VALUE"""),2.6476139949999988E7)</f>
        <v>26476139.95</v>
      </c>
      <c r="H10" s="5"/>
      <c r="I10" s="5"/>
    </row>
    <row r="11">
      <c r="A11" s="8">
        <f>IFERROR(__xludf.DUMMYFUNCTION("""COMPUTED_VALUE"""),46145.0)</f>
        <v>46145</v>
      </c>
      <c r="B11" s="5" t="str">
        <f>IFERROR(__xludf.DUMMYFUNCTION("""COMPUTED_VALUE"""),"TRSF E-BANKING DB")</f>
        <v>TRSF E-BANKING DB</v>
      </c>
      <c r="C11" s="5" t="str">
        <f>IFERROR(__xludf.DUMMYFUNCTION("""COMPUTED_VALUE"""),"0305/FTSCY/WS95271 118846900.00 lunas SURYA INTI TERNAK")</f>
        <v>0305/FTSCY/WS95271 118846900.00 lunas SURYA INTI TERNAK</v>
      </c>
      <c r="D11" s="5">
        <f>IFERROR(__xludf.DUMMYFUNCTION("""COMPUTED_VALUE"""),1.188469E8)</f>
        <v>118846900</v>
      </c>
      <c r="E11" s="5"/>
      <c r="F11" s="5" t="str">
        <f>IFERROR(__xludf.DUMMYFUNCTION("""COMPUTED_VALUE"""),"DB")</f>
        <v>DB</v>
      </c>
      <c r="G11" s="5">
        <f>IFERROR(__xludf.DUMMYFUNCTION("""COMPUTED_VALUE"""),2.3675170995E8)</f>
        <v>236751710</v>
      </c>
      <c r="H11" s="5">
        <f>IFERROR(__xludf.DUMMYFUNCTION("""COMPUTED_VALUE"""),2.3675170995E8)</f>
        <v>236751710</v>
      </c>
      <c r="I11" s="5"/>
    </row>
    <row r="12">
      <c r="A12" s="8">
        <f>IFERROR(__xludf.DUMMYFUNCTION("""COMPUTED_VALUE"""),46145.0)</f>
        <v>46145</v>
      </c>
      <c r="B12" s="5" t="str">
        <f>IFERROR(__xludf.DUMMYFUNCTION("""COMPUTED_VALUE"""),"TARIKAN ATM 03/05")</f>
        <v>TARIKAN ATM 03/05</v>
      </c>
      <c r="C12" s="5" t="str">
        <f>IFERROR(__xludf.DUMMYFUNCTION("""COMPUTED_VALUE"""),"TARIKAN ATM 03/05")</f>
        <v>TARIKAN ATM 03/05</v>
      </c>
      <c r="D12" s="5">
        <f>IFERROR(__xludf.DUMMYFUNCTION("""COMPUTED_VALUE"""),1250000.0)</f>
        <v>1250000</v>
      </c>
      <c r="E12" s="5"/>
      <c r="F12" s="5"/>
      <c r="G12" s="5">
        <f>IFERROR(__xludf.DUMMYFUNCTION("""COMPUTED_VALUE"""),2.3879542995E8)</f>
        <v>238795430</v>
      </c>
      <c r="H12" s="5"/>
      <c r="I12" s="5"/>
    </row>
    <row r="13">
      <c r="A13" s="8">
        <f>IFERROR(__xludf.DUMMYFUNCTION("""COMPUTED_VALUE"""),46145.0)</f>
        <v>46145</v>
      </c>
      <c r="B13" s="5" t="str">
        <f>IFERROR(__xludf.DUMMYFUNCTION("""COMPUTED_VALUE"""),"TRSF E-BANKING DB")</f>
        <v>TRSF E-BANKING DB</v>
      </c>
      <c r="C13" s="5" t="str">
        <f>IFERROR(__xludf.DUMMYFUNCTION("""COMPUTED_VALUE"""),"0305/FTSCY/WS95031 3901120.00 SUPRIYADI")</f>
        <v>0305/FTSCY/WS95031 3901120.00 SUPRIYADI</v>
      </c>
      <c r="D13" s="5">
        <f>IFERROR(__xludf.DUMMYFUNCTION("""COMPUTED_VALUE"""),3901120.0)</f>
        <v>3901120</v>
      </c>
      <c r="E13" s="5"/>
      <c r="F13" s="5" t="str">
        <f>IFERROR(__xludf.DUMMYFUNCTION("""COMPUTED_VALUE"""),"DB")</f>
        <v>DB</v>
      </c>
      <c r="G13" s="5">
        <f>IFERROR(__xludf.DUMMYFUNCTION("""COMPUTED_VALUE"""),4.6198317995000005E8)</f>
        <v>461983180</v>
      </c>
      <c r="H13" s="5">
        <f>IFERROR(__xludf.DUMMYFUNCTION("""COMPUTED_VALUE"""),4.6198317995E8)</f>
        <v>461983180</v>
      </c>
      <c r="I13" s="5"/>
    </row>
    <row r="14">
      <c r="A14" s="8">
        <f>IFERROR(__xludf.DUMMYFUNCTION("""COMPUTED_VALUE"""),46146.0)</f>
        <v>46146</v>
      </c>
      <c r="B14" s="5" t="str">
        <f>IFERROR(__xludf.DUMMYFUNCTION("""COMPUTED_VALUE"""),"TRSF E-BANKING DB")</f>
        <v>TRSF E-BANKING DB</v>
      </c>
      <c r="C14" s="5" t="str">
        <f>IFERROR(__xludf.DUMMYFUNCTION("""COMPUTED_VALUE"""),"0405/FTSCY/WS95031 1957600.00 MUJIANTO")</f>
        <v>0405/FTSCY/WS95031 1957600.00 MUJIANTO</v>
      </c>
      <c r="D14" s="5">
        <f>IFERROR(__xludf.DUMMYFUNCTION("""COMPUTED_VALUE"""),1957600.0)</f>
        <v>1957600</v>
      </c>
      <c r="E14" s="5"/>
      <c r="F14" s="5" t="str">
        <f>IFERROR(__xludf.DUMMYFUNCTION("""COMPUTED_VALUE"""),"DB")</f>
        <v>DB</v>
      </c>
      <c r="G14" s="5">
        <f>IFERROR(__xludf.DUMMYFUNCTION("""COMPUTED_VALUE"""),4.6002557995000005E8)</f>
        <v>460025580</v>
      </c>
      <c r="H14" s="5"/>
      <c r="I14" s="5"/>
    </row>
    <row r="15">
      <c r="A15" s="8">
        <f>IFERROR(__xludf.DUMMYFUNCTION("""COMPUTED_VALUE"""),46146.0)</f>
        <v>46146</v>
      </c>
      <c r="B15" s="5" t="str">
        <f>IFERROR(__xludf.DUMMYFUNCTION("""COMPUTED_VALUE"""),"TRSF E-BANKING DB")</f>
        <v>TRSF E-BANKING DB</v>
      </c>
      <c r="C15" s="5" t="str">
        <f>IFERROR(__xludf.DUMMYFUNCTION("""COMPUTED_VALUE"""),"0405/FTSCY/WS95031 5788400.00 ponrogo lunas HERMAWAN")</f>
        <v>0405/FTSCY/WS95031 5788400.00 ponrogo lunas HERMAWAN</v>
      </c>
      <c r="D15" s="5">
        <f>IFERROR(__xludf.DUMMYFUNCTION("""COMPUTED_VALUE"""),5788400.0)</f>
        <v>5788400</v>
      </c>
      <c r="E15" s="5"/>
      <c r="F15" s="5" t="str">
        <f>IFERROR(__xludf.DUMMYFUNCTION("""COMPUTED_VALUE"""),"DB")</f>
        <v>DB</v>
      </c>
      <c r="G15" s="5">
        <f>IFERROR(__xludf.DUMMYFUNCTION("""COMPUTED_VALUE"""),4.5423717995000005E8)</f>
        <v>454237180</v>
      </c>
      <c r="H15" s="5"/>
      <c r="I15" s="5"/>
    </row>
    <row r="16">
      <c r="A16" s="8">
        <f>IFERROR(__xludf.DUMMYFUNCTION("""COMPUTED_VALUE"""),46146.0)</f>
        <v>46146</v>
      </c>
      <c r="B16" s="5" t="str">
        <f>IFERROR(__xludf.DUMMYFUNCTION("""COMPUTED_VALUE"""),"TRSF E-BANKING DB")</f>
        <v>TRSF E-BANKING DB</v>
      </c>
      <c r="C16" s="5" t="str">
        <f>IFERROR(__xludf.DUMMYFUNCTION("""COMPUTED_VALUE"""),"0405/FTSCY/WS95271 153283200.00 Fri May 01 2026 14:00:00 GMT+0700 (Western Indonesia Time) ANDALAN YASA MITRA")</f>
        <v>0405/FTSCY/WS95271 153283200.00 Fri May 01 2026 14:00:00 GMT+0700 (Western Indonesia Time) ANDALAN YASA MITRA</v>
      </c>
      <c r="D16" s="5">
        <f>IFERROR(__xludf.DUMMYFUNCTION("""COMPUTED_VALUE"""),1.532832E8)</f>
        <v>153283200</v>
      </c>
      <c r="E16" s="5"/>
      <c r="F16" s="5" t="str">
        <f>IFERROR(__xludf.DUMMYFUNCTION("""COMPUTED_VALUE"""),"DB")</f>
        <v>DB</v>
      </c>
      <c r="G16" s="5">
        <f>IFERROR(__xludf.DUMMYFUNCTION("""COMPUTED_VALUE"""),3.0095397995000005E8)</f>
        <v>300953980</v>
      </c>
      <c r="H16" s="5"/>
      <c r="I16" s="5"/>
    </row>
    <row r="17">
      <c r="A17" s="8">
        <f>IFERROR(__xludf.DUMMYFUNCTION("""COMPUTED_VALUE"""),46146.0)</f>
        <v>46146</v>
      </c>
      <c r="B17" s="5" t="str">
        <f>IFERROR(__xludf.DUMMYFUNCTION("""COMPUTED_VALUE"""),"TRSF E-BANKING DB")</f>
        <v>TRSF E-BANKING DB</v>
      </c>
      <c r="C17" s="5" t="str">
        <f>IFERROR(__xludf.DUMMYFUNCTION("""COMPUTED_VALUE"""),"0405/FTSCY/WS95271 64000000.00 Thu Apr 02 2026 14:00:00 GMT+0700 (Western Indonesia Time) BINTANG TAMA SANTO")</f>
        <v>0405/FTSCY/WS95271 64000000.00 Thu Apr 02 2026 14:00:00 GMT+0700 (Western Indonesia Time) BINTANG TAMA SANTO</v>
      </c>
      <c r="D17" s="5">
        <f>IFERROR(__xludf.DUMMYFUNCTION("""COMPUTED_VALUE"""),6.4E7)</f>
        <v>64000000</v>
      </c>
      <c r="E17" s="5"/>
      <c r="F17" s="5" t="str">
        <f>IFERROR(__xludf.DUMMYFUNCTION("""COMPUTED_VALUE"""),"DB")</f>
        <v>DB</v>
      </c>
      <c r="G17" s="5">
        <f>IFERROR(__xludf.DUMMYFUNCTION("""COMPUTED_VALUE"""),2.3695397995000005E8)</f>
        <v>236953980</v>
      </c>
      <c r="H17" s="5"/>
      <c r="I17" s="5"/>
    </row>
    <row r="18">
      <c r="A18" s="8">
        <f>IFERROR(__xludf.DUMMYFUNCTION("""COMPUTED_VALUE"""),46146.0)</f>
        <v>46146</v>
      </c>
      <c r="B18" s="5" t="str">
        <f>IFERROR(__xludf.DUMMYFUNCTION("""COMPUTED_VALUE"""),"TRSF E-BANKING DB")</f>
        <v>TRSF E-BANKING DB</v>
      </c>
      <c r="C18" s="5" t="str">
        <f>IFERROR(__xludf.DUMMYFUNCTION("""COMPUTED_VALUE"""),"0405/FTSCY/WS95271 73401480.00 Sat May 02 2026 14:00:00 GMT+0700 (Western Indonesia Time) ANDALAN YASA MITRA")</f>
        <v>0405/FTSCY/WS95271 73401480.00 Sat May 02 2026 14:00:00 GMT+0700 (Western Indonesia Time) ANDALAN YASA MITRA</v>
      </c>
      <c r="D18" s="5">
        <f>IFERROR(__xludf.DUMMYFUNCTION("""COMPUTED_VALUE"""),7.340148E7)</f>
        <v>73401480</v>
      </c>
      <c r="E18" s="5"/>
      <c r="F18" s="5" t="str">
        <f>IFERROR(__xludf.DUMMYFUNCTION("""COMPUTED_VALUE"""),"DB")</f>
        <v>DB</v>
      </c>
      <c r="G18" s="5">
        <f>IFERROR(__xludf.DUMMYFUNCTION("""COMPUTED_VALUE"""),1.6355249995000005E8)</f>
        <v>163552500</v>
      </c>
      <c r="H18" s="5"/>
      <c r="I18" s="5"/>
    </row>
    <row r="19">
      <c r="A19" s="8">
        <f>IFERROR(__xludf.DUMMYFUNCTION("""COMPUTED_VALUE"""),46146.0)</f>
        <v>46146</v>
      </c>
      <c r="B19" s="5" t="str">
        <f>IFERROR(__xludf.DUMMYFUNCTION("""COMPUTED_VALUE"""),"TRSF E-BANKING DB")</f>
        <v>TRSF E-BANKING DB</v>
      </c>
      <c r="C19" s="5" t="str">
        <f>IFERROR(__xludf.DUMMYFUNCTION("""COMPUTED_VALUE"""),"0405/FTSCY/WS95031 70000000.00 pelunasan ANDALAN YASA MITRA")</f>
        <v>0405/FTSCY/WS95031 70000000.00 pelunasan ANDALAN YASA MITRA</v>
      </c>
      <c r="D19" s="5">
        <f>IFERROR(__xludf.DUMMYFUNCTION("""COMPUTED_VALUE"""),7.0E7)</f>
        <v>70000000</v>
      </c>
      <c r="E19" s="5"/>
      <c r="F19" s="5" t="str">
        <f>IFERROR(__xludf.DUMMYFUNCTION("""COMPUTED_VALUE"""),"DB")</f>
        <v>DB</v>
      </c>
      <c r="G19" s="5">
        <f>IFERROR(__xludf.DUMMYFUNCTION("""COMPUTED_VALUE"""),9.355249995000005E7)</f>
        <v>93552499.95</v>
      </c>
      <c r="H19" s="5"/>
      <c r="I19" s="5"/>
    </row>
    <row r="20">
      <c r="A20" s="8">
        <f>IFERROR(__xludf.DUMMYFUNCTION("""COMPUTED_VALUE"""),46146.0)</f>
        <v>46146</v>
      </c>
      <c r="B20" s="5" t="str">
        <f>IFERROR(__xludf.DUMMYFUNCTION("""COMPUTED_VALUE"""),"TRSF E-BANKING DB")</f>
        <v>TRSF E-BANKING DB</v>
      </c>
      <c r="C20" s="5" t="str">
        <f>IFERROR(__xludf.DUMMYFUNCTION("""COMPUTED_VALUE"""),"0405/FTSCY/WS95011 130877960.00 02/04 krg 100 jt BROILER MAKMUR TAN")</f>
        <v>0405/FTSCY/WS95011 130877960.00 02/04 krg 100 jt BROILER MAKMUR TAN</v>
      </c>
      <c r="D20" s="5">
        <f>IFERROR(__xludf.DUMMYFUNCTION("""COMPUTED_VALUE"""),1.3087796E8)</f>
        <v>130877960</v>
      </c>
      <c r="E20" s="5"/>
      <c r="F20" s="5" t="str">
        <f>IFERROR(__xludf.DUMMYFUNCTION("""COMPUTED_VALUE"""),"DB")</f>
        <v>DB</v>
      </c>
      <c r="G20" s="5">
        <f>IFERROR(__xludf.DUMMYFUNCTION("""COMPUTED_VALUE"""),1.9724539950000048E7)</f>
        <v>19724539.95</v>
      </c>
      <c r="H20" s="5"/>
      <c r="I20" s="5"/>
    </row>
    <row r="21">
      <c r="A21" s="8">
        <f>IFERROR(__xludf.DUMMYFUNCTION("""COMPUTED_VALUE"""),46146.0)</f>
        <v>46146</v>
      </c>
      <c r="B21" s="5" t="str">
        <f>IFERROR(__xludf.DUMMYFUNCTION("""COMPUTED_VALUE"""),"TRSF E-BANKING DB")</f>
        <v>TRSF E-BANKING DB</v>
      </c>
      <c r="C21" s="5" t="str">
        <f>IFERROR(__xludf.DUMMYFUNCTION("""COMPUTED_VALUE"""),"0405/FTSCY/WS95031 19632300.00 krg 36.2 jt EKO SETIYAWAN")</f>
        <v>0405/FTSCY/WS95031 19632300.00 krg 36.2 jt EKO SETIYAWAN</v>
      </c>
      <c r="D21" s="5">
        <f>IFERROR(__xludf.DUMMYFUNCTION("""COMPUTED_VALUE"""),1.96323E7)</f>
        <v>19632300</v>
      </c>
      <c r="E21" s="5"/>
      <c r="F21" s="5" t="str">
        <f>IFERROR(__xludf.DUMMYFUNCTION("""COMPUTED_VALUE"""),"DB")</f>
        <v>DB</v>
      </c>
      <c r="G21" s="5">
        <f>IFERROR(__xludf.DUMMYFUNCTION("""COMPUTED_VALUE"""),92239.95000004768)</f>
        <v>92239.95</v>
      </c>
      <c r="H21" s="5"/>
      <c r="I21" s="5"/>
    </row>
    <row r="22">
      <c r="A22" s="8">
        <f>IFERROR(__xludf.DUMMYFUNCTION("""COMPUTED_VALUE"""),46146.0)</f>
        <v>46146</v>
      </c>
      <c r="B22" s="5" t="str">
        <f>IFERROR(__xludf.DUMMYFUNCTION("""COMPUTED_VALUE"""),"KARTU DEBIT")</f>
        <v>KARTU DEBIT</v>
      </c>
      <c r="C22" s="5" t="str">
        <f>IFERROR(__xludf.DUMMYFUNCTION("""COMPUTED_VALUE"""),"IDM FPID GAMBANGAN 6019009510239343")</f>
        <v>IDM FPID GAMBANGAN 6019009510239343</v>
      </c>
      <c r="D22" s="5">
        <f>IFERROR(__xludf.DUMMYFUNCTION("""COMPUTED_VALUE"""),206400.0)</f>
        <v>206400</v>
      </c>
      <c r="E22" s="5"/>
      <c r="F22" s="5"/>
      <c r="G22" s="5">
        <f>IFERROR(__xludf.DUMMYFUNCTION("""COMPUTED_VALUE"""),3.7449066995000005E8)</f>
        <v>374490670</v>
      </c>
      <c r="H22" s="5"/>
      <c r="I22" s="5"/>
    </row>
    <row r="23">
      <c r="A23" s="8">
        <f>IFERROR(__xludf.DUMMYFUNCTION("""COMPUTED_VALUE"""),46146.0)</f>
        <v>46146</v>
      </c>
      <c r="B23" s="5" t="str">
        <f>IFERROR(__xludf.DUMMYFUNCTION("""COMPUTED_VALUE"""),"TRSF E-BANKING DB")</f>
        <v>TRSF E-BANKING DB</v>
      </c>
      <c r="C23" s="5" t="str">
        <f>IFERROR(__xludf.DUMMYFUNCTION("""COMPUTED_VALUE"""),"0405/FTFVA/WS95031 55569/PT PRIMA FAJ pasuruan 11.4 ton - 40190")</f>
        <v>0405/FTFVA/WS95031 55569/PT PRIMA FAJ pasuruan 11.4 ton - 40190</v>
      </c>
      <c r="D23" s="5">
        <f>IFERROR(__xludf.DUMMYFUNCTION("""COMPUTED_VALUE"""),1.938E8)</f>
        <v>193800000</v>
      </c>
      <c r="E23" s="5"/>
      <c r="F23" s="5" t="str">
        <f>IFERROR(__xludf.DUMMYFUNCTION("""COMPUTED_VALUE"""),"DB")</f>
        <v>DB</v>
      </c>
      <c r="G23" s="5">
        <f>IFERROR(__xludf.DUMMYFUNCTION("""COMPUTED_VALUE"""),3.3086316995000005E8)</f>
        <v>330863170</v>
      </c>
      <c r="H23" s="5"/>
      <c r="I23" s="5"/>
    </row>
    <row r="24">
      <c r="A24" s="8">
        <f>IFERROR(__xludf.DUMMYFUNCTION("""COMPUTED_VALUE"""),46146.0)</f>
        <v>46146</v>
      </c>
      <c r="B24" s="5" t="str">
        <f>IFERROR(__xludf.DUMMYFUNCTION("""COMPUTED_VALUE"""),"TRSF E-BANKING DB")</f>
        <v>TRSF E-BANKING DB</v>
      </c>
      <c r="C24" s="5" t="str">
        <f>IFERROR(__xludf.DUMMYFUNCTION("""COMPUTED_VALUE"""),"0405/FTSCY/WS95031 1000000.00 sisa bon 1.5 jt SUNARTO")</f>
        <v>0405/FTSCY/WS95031 1000000.00 sisa bon 1.5 jt SUNARTO</v>
      </c>
      <c r="D24" s="5">
        <f>IFERROR(__xludf.DUMMYFUNCTION("""COMPUTED_VALUE"""),1000000.0)</f>
        <v>1000000</v>
      </c>
      <c r="E24" s="5"/>
      <c r="F24" s="5" t="str">
        <f>IFERROR(__xludf.DUMMYFUNCTION("""COMPUTED_VALUE"""),"DB")</f>
        <v>DB</v>
      </c>
      <c r="G24" s="5">
        <f>IFERROR(__xludf.DUMMYFUNCTION("""COMPUTED_VALUE"""),3.2986316995000005E8)</f>
        <v>329863170</v>
      </c>
      <c r="H24" s="5"/>
      <c r="I24" s="5"/>
    </row>
    <row r="25">
      <c r="A25" s="8">
        <f>IFERROR(__xludf.DUMMYFUNCTION("""COMPUTED_VALUE"""),46146.0)</f>
        <v>46146</v>
      </c>
      <c r="B25" s="5" t="str">
        <f>IFERROR(__xludf.DUMMYFUNCTION("""COMPUTED_VALUE"""),"TRSF E-BANKING DB")</f>
        <v>TRSF E-BANKING DB</v>
      </c>
      <c r="C25" s="5" t="str">
        <f>IFERROR(__xludf.DUMMYFUNCTION("""COMPUTED_VALUE"""),"0405/FTSCY/WS95011 58585600.00 Fri Apr 03 2026 14:00:00 GMT+0700 (Western Indonesia Time) TUMBUH OPTIMAL PRI")</f>
        <v>0405/FTSCY/WS95011 58585600.00 Fri Apr 03 2026 14:00:00 GMT+0700 (Western Indonesia Time) TUMBUH OPTIMAL PRI</v>
      </c>
      <c r="D25" s="5">
        <f>IFERROR(__xludf.DUMMYFUNCTION("""COMPUTED_VALUE"""),5.85856E7)</f>
        <v>58585600</v>
      </c>
      <c r="E25" s="5"/>
      <c r="F25" s="5" t="str">
        <f>IFERROR(__xludf.DUMMYFUNCTION("""COMPUTED_VALUE"""),"DB")</f>
        <v>DB</v>
      </c>
      <c r="G25" s="5">
        <f>IFERROR(__xludf.DUMMYFUNCTION("""COMPUTED_VALUE"""),2.7127756995000005E8)</f>
        <v>271277570</v>
      </c>
      <c r="H25" s="5"/>
      <c r="I25" s="5"/>
    </row>
    <row r="26">
      <c r="A26" s="8">
        <f>IFERROR(__xludf.DUMMYFUNCTION("""COMPUTED_VALUE"""),46146.0)</f>
        <v>46146</v>
      </c>
      <c r="B26" s="5" t="str">
        <f>IFERROR(__xludf.DUMMYFUNCTION("""COMPUTED_VALUE"""),"TRSF E-BANKING DB")</f>
        <v>TRSF E-BANKING DB</v>
      </c>
      <c r="C26" s="5" t="str">
        <f>IFERROR(__xludf.DUMMYFUNCTION("""COMPUTED_VALUE"""),"0405/FTSCY/WS95011 57275100.00 Thu Apr 02 2026 14:00:00 GMT+0700 (Western Indonesia Time) RUKUN MITRA BERSAM")</f>
        <v>0405/FTSCY/WS95011 57275100.00 Thu Apr 02 2026 14:00:00 GMT+0700 (Western Indonesia Time) RUKUN MITRA BERSAM</v>
      </c>
      <c r="D26" s="5">
        <f>IFERROR(__xludf.DUMMYFUNCTION("""COMPUTED_VALUE"""),5.72751E7)</f>
        <v>57275100</v>
      </c>
      <c r="E26" s="5"/>
      <c r="F26" s="5" t="str">
        <f>IFERROR(__xludf.DUMMYFUNCTION("""COMPUTED_VALUE"""),"DB")</f>
        <v>DB</v>
      </c>
      <c r="G26" s="5">
        <f>IFERROR(__xludf.DUMMYFUNCTION("""COMPUTED_VALUE"""),2.1400246995000005E8)</f>
        <v>214002470</v>
      </c>
      <c r="H26" s="5"/>
      <c r="I26" s="5"/>
    </row>
    <row r="27">
      <c r="A27" s="8">
        <f>IFERROR(__xludf.DUMMYFUNCTION("""COMPUTED_VALUE"""),46146.0)</f>
        <v>46146</v>
      </c>
      <c r="B27" s="5" t="str">
        <f>IFERROR(__xludf.DUMMYFUNCTION("""COMPUTED_VALUE"""),"TRSF E-BANKING DB")</f>
        <v>TRSF E-BANKING DB</v>
      </c>
      <c r="C27" s="5" t="str">
        <f>IFERROR(__xludf.DUMMYFUNCTION("""COMPUTED_VALUE"""),"0405/FTSCY/WS95011 100000000.00 pelunasan BROILER MAKMUR TAN")</f>
        <v>0405/FTSCY/WS95011 100000000.00 pelunasan BROILER MAKMUR TAN</v>
      </c>
      <c r="D27" s="5">
        <f>IFERROR(__xludf.DUMMYFUNCTION("""COMPUTED_VALUE"""),1.0E8)</f>
        <v>100000000</v>
      </c>
      <c r="E27" s="5"/>
      <c r="F27" s="5" t="str">
        <f>IFERROR(__xludf.DUMMYFUNCTION("""COMPUTED_VALUE"""),"DB")</f>
        <v>DB</v>
      </c>
      <c r="G27" s="5">
        <f>IFERROR(__xludf.DUMMYFUNCTION("""COMPUTED_VALUE"""),1.1400246995000005E8)</f>
        <v>114002470</v>
      </c>
      <c r="H27" s="5"/>
      <c r="I27" s="5"/>
    </row>
    <row r="28">
      <c r="A28" s="8">
        <f>IFERROR(__xludf.DUMMYFUNCTION("""COMPUTED_VALUE"""),46146.0)</f>
        <v>46146</v>
      </c>
      <c r="B28" s="5" t="str">
        <f>IFERROR(__xludf.DUMMYFUNCTION("""COMPUTED_VALUE"""),"TRSF E-BANKING DB")</f>
        <v>TRSF E-BANKING DB</v>
      </c>
      <c r="C28" s="5" t="str">
        <f>IFERROR(__xludf.DUMMYFUNCTION("""COMPUTED_VALUE"""),"0405/FTSCY/WS95011 48363600.00 Sun May 03 2026 14:00:00 GMT+0700 (Western Indonesia Time) ANUGERAH KARTIKA A")</f>
        <v>0405/FTSCY/WS95011 48363600.00 Sun May 03 2026 14:00:00 GMT+0700 (Western Indonesia Time) ANUGERAH KARTIKA A</v>
      </c>
      <c r="D28" s="5">
        <f>IFERROR(__xludf.DUMMYFUNCTION("""COMPUTED_VALUE"""),4.83636E7)</f>
        <v>48363600</v>
      </c>
      <c r="E28" s="5"/>
      <c r="F28" s="5" t="str">
        <f>IFERROR(__xludf.DUMMYFUNCTION("""COMPUTED_VALUE"""),"DB")</f>
        <v>DB</v>
      </c>
      <c r="G28" s="5">
        <f>IFERROR(__xludf.DUMMYFUNCTION("""COMPUTED_VALUE"""),6.563886995000005E7)</f>
        <v>65638869.95</v>
      </c>
      <c r="H28" s="5"/>
      <c r="I28" s="5"/>
    </row>
    <row r="29">
      <c r="A29" s="8">
        <f>IFERROR(__xludf.DUMMYFUNCTION("""COMPUTED_VALUE"""),46146.0)</f>
        <v>46146</v>
      </c>
      <c r="B29" s="5" t="str">
        <f>IFERROR(__xludf.DUMMYFUNCTION("""COMPUTED_VALUE"""),"TRSF E-BANKING DB")</f>
        <v>TRSF E-BANKING DB</v>
      </c>
      <c r="C29" s="5" t="str">
        <f>IFERROR(__xludf.DUMMYFUNCTION("""COMPUTED_VALUE"""),"0405/FTSCY/WS95011 58132800.00 Sun May 03 2026 14:00:00 GMT+0700 (Western Indonesia Time) ANUGERAH KARTIKA A")</f>
        <v>0405/FTSCY/WS95011 58132800.00 Sun May 03 2026 14:00:00 GMT+0700 (Western Indonesia Time) ANUGERAH KARTIKA A</v>
      </c>
      <c r="D29" s="5">
        <f>IFERROR(__xludf.DUMMYFUNCTION("""COMPUTED_VALUE"""),5.81328E7)</f>
        <v>58132800</v>
      </c>
      <c r="E29" s="5"/>
      <c r="F29" s="5" t="str">
        <f>IFERROR(__xludf.DUMMYFUNCTION("""COMPUTED_VALUE"""),"DB")</f>
        <v>DB</v>
      </c>
      <c r="G29" s="5">
        <f>IFERROR(__xludf.DUMMYFUNCTION("""COMPUTED_VALUE"""),7506069.950000048)</f>
        <v>7506069.95</v>
      </c>
      <c r="H29" s="5"/>
      <c r="I29" s="5"/>
    </row>
    <row r="30">
      <c r="A30" s="8">
        <f>IFERROR(__xludf.DUMMYFUNCTION("""COMPUTED_VALUE"""),46147.0)</f>
        <v>46147</v>
      </c>
      <c r="B30" s="5" t="str">
        <f>IFERROR(__xludf.DUMMYFUNCTION("""COMPUTED_VALUE"""),"TRSF E-BANKING DB TANGGAL :04/05")</f>
        <v>TRSF E-BANKING DB TANGGAL :04/05</v>
      </c>
      <c r="C30" s="5" t="str">
        <f>IFERROR(__xludf.DUMMYFUNCTION("""COMPUTED_VALUE"""),"0405/FTSCY/WS95031 MUJIANTO")</f>
        <v>0405/FTSCY/WS95031 MUJIANTO</v>
      </c>
      <c r="D30" s="5">
        <f>IFERROR(__xludf.DUMMYFUNCTION("""COMPUTED_VALUE"""),1000000.0)</f>
        <v>1000000</v>
      </c>
      <c r="E30" s="5"/>
      <c r="F30" s="5" t="str">
        <f>IFERROR(__xludf.DUMMYFUNCTION("""COMPUTED_VALUE"""),"DB")</f>
        <v>DB</v>
      </c>
      <c r="G30" s="5">
        <f>IFERROR(__xludf.DUMMYFUNCTION("""COMPUTED_VALUE"""),1.0656216995000005E8)</f>
        <v>106562170</v>
      </c>
      <c r="H30" s="5">
        <f>IFERROR(__xludf.DUMMYFUNCTION("""COMPUTED_VALUE"""),1.0656216995E8)</f>
        <v>106562170</v>
      </c>
      <c r="I30" s="5"/>
    </row>
    <row r="31">
      <c r="A31" s="8">
        <f>IFERROR(__xludf.DUMMYFUNCTION("""COMPUTED_VALUE"""),46147.0)</f>
        <v>46147</v>
      </c>
      <c r="B31" s="5" t="str">
        <f>IFERROR(__xludf.DUMMYFUNCTION("""COMPUTED_VALUE"""),"TRSF E-BANKING DB")</f>
        <v>TRSF E-BANKING DB</v>
      </c>
      <c r="C31" s="5" t="str">
        <f>IFERROR(__xludf.DUMMYFUNCTION("""COMPUTED_VALUE"""),"0505/FTSCY/WS95271 95700000.00 Fri Apr 03 2026 14:00:00 GMT+0700 (Western Indonesia Time) ANDALAN YASA MITRA")</f>
        <v>0505/FTSCY/WS95271 95700000.00 Fri Apr 03 2026 14:00:00 GMT+0700 (Western Indonesia Time) ANDALAN YASA MITRA</v>
      </c>
      <c r="D31" s="5">
        <f>IFERROR(__xludf.DUMMYFUNCTION("""COMPUTED_VALUE"""),9.57E7)</f>
        <v>95700000</v>
      </c>
      <c r="E31" s="5"/>
      <c r="F31" s="5" t="str">
        <f>IFERROR(__xludf.DUMMYFUNCTION("""COMPUTED_VALUE"""),"DB")</f>
        <v>DB</v>
      </c>
      <c r="G31" s="5">
        <f>IFERROR(__xludf.DUMMYFUNCTION("""COMPUTED_VALUE"""),1.0862169950000048E7)</f>
        <v>10862169.95</v>
      </c>
      <c r="H31" s="5">
        <f>IFERROR(__xludf.DUMMYFUNCTION("""COMPUTED_VALUE"""),1.086216995E7)</f>
        <v>10862169.95</v>
      </c>
      <c r="I31" s="5"/>
    </row>
    <row r="32">
      <c r="A32" s="8">
        <f>IFERROR(__xludf.DUMMYFUNCTION("""COMPUTED_VALUE"""),46147.0)</f>
        <v>46147</v>
      </c>
      <c r="B32" s="5" t="str">
        <f>IFERROR(__xludf.DUMMYFUNCTION("""COMPUTED_VALUE"""),"TRSF E-BANKING DB")</f>
        <v>TRSF E-BANKING DB</v>
      </c>
      <c r="C32" s="5" t="str">
        <f>IFERROR(__xludf.DUMMYFUNCTION("""COMPUTED_VALUE"""),"0505/FTSCY/WS95031 4660550.00 lunas SUPRIYADI")</f>
        <v>0505/FTSCY/WS95031 4660550.00 lunas SUPRIYADI</v>
      </c>
      <c r="D32" s="5">
        <f>IFERROR(__xludf.DUMMYFUNCTION("""COMPUTED_VALUE"""),4660550.0)</f>
        <v>4660550</v>
      </c>
      <c r="E32" s="5"/>
      <c r="F32" s="5" t="str">
        <f>IFERROR(__xludf.DUMMYFUNCTION("""COMPUTED_VALUE"""),"DB")</f>
        <v>DB</v>
      </c>
      <c r="G32" s="5">
        <f>IFERROR(__xludf.DUMMYFUNCTION("""COMPUTED_VALUE"""),6201619.950000048)</f>
        <v>6201619.95</v>
      </c>
      <c r="H32" s="5"/>
      <c r="I32" s="5"/>
    </row>
    <row r="33">
      <c r="A33" s="8">
        <f>IFERROR(__xludf.DUMMYFUNCTION("""COMPUTED_VALUE"""),46147.0)</f>
        <v>46147</v>
      </c>
      <c r="B33" s="5" t="str">
        <f>IFERROR(__xludf.DUMMYFUNCTION("""COMPUTED_VALUE"""),"TRSF E-BANKING DB")</f>
        <v>TRSF E-BANKING DB</v>
      </c>
      <c r="C33" s="5" t="str">
        <f>IFERROR(__xludf.DUMMYFUNCTION("""COMPUTED_VALUE"""),"0505/FTSCY/WS95031 2963240.00 lunas HERMAWAN")</f>
        <v>0505/FTSCY/WS95031 2963240.00 lunas HERMAWAN</v>
      </c>
      <c r="D33" s="5">
        <f>IFERROR(__xludf.DUMMYFUNCTION("""COMPUTED_VALUE"""),2963240.0)</f>
        <v>2963240</v>
      </c>
      <c r="E33" s="5"/>
      <c r="F33" s="5" t="str">
        <f>IFERROR(__xludf.DUMMYFUNCTION("""COMPUTED_VALUE"""),"DB")</f>
        <v>DB</v>
      </c>
      <c r="G33" s="5">
        <f>IFERROR(__xludf.DUMMYFUNCTION("""COMPUTED_VALUE"""),3238379.9500000477)</f>
        <v>3238379.95</v>
      </c>
      <c r="H33" s="5"/>
      <c r="I33" s="5"/>
    </row>
    <row r="34">
      <c r="A34" s="8">
        <f>IFERROR(__xludf.DUMMYFUNCTION("""COMPUTED_VALUE"""),46147.0)</f>
        <v>46147</v>
      </c>
      <c r="B34" s="5" t="str">
        <f>IFERROR(__xludf.DUMMYFUNCTION("""COMPUTED_VALUE"""),"BI-FAST DB")</f>
        <v>BI-FAST DB</v>
      </c>
      <c r="C34" s="5" t="str">
        <f>IFERROR(__xludf.DUMMYFUNCTION("""COMPUTED_VALUE"""),"BIF TRANSFER KE 2 SULISTIAWATI, SPD M-BCA")</f>
        <v>BIF TRANSFER KE 2 SULISTIAWATI, SPD M-BCA</v>
      </c>
      <c r="D34" s="5">
        <f>IFERROR(__xludf.DUMMYFUNCTION("""COMPUTED_VALUE"""),2500000.0)</f>
        <v>2500000</v>
      </c>
      <c r="E34" s="5"/>
      <c r="F34" s="5" t="str">
        <f>IFERROR(__xludf.DUMMYFUNCTION("""COMPUTED_VALUE"""),"DB")</f>
        <v>DB</v>
      </c>
      <c r="G34" s="5">
        <f>IFERROR(__xludf.DUMMYFUNCTION("""COMPUTED_VALUE"""),738379.9500000477)</f>
        <v>738379.95</v>
      </c>
      <c r="H34" s="5"/>
      <c r="I34" s="5"/>
    </row>
    <row r="35">
      <c r="A35" s="8">
        <f>IFERROR(__xludf.DUMMYFUNCTION("""COMPUTED_VALUE"""),46147.0)</f>
        <v>46147</v>
      </c>
      <c r="B35" s="5" t="str">
        <f>IFERROR(__xludf.DUMMYFUNCTION("""COMPUTED_VALUE"""),"BI-FAST DB")</f>
        <v>BI-FAST DB</v>
      </c>
      <c r="C35" s="5" t="str">
        <f>IFERROR(__xludf.DUMMYFUNCTION("""COMPUTED_VALUE"""),"BIF BIAYA TXN KE 2 SULISTIAWATI, SPD M-BCA")</f>
        <v>BIF BIAYA TXN KE 2 SULISTIAWATI, SPD M-BCA</v>
      </c>
      <c r="D35" s="5">
        <f>IFERROR(__xludf.DUMMYFUNCTION("""COMPUTED_VALUE"""),2500.0)</f>
        <v>2500</v>
      </c>
      <c r="E35" s="5"/>
      <c r="F35" s="5" t="str">
        <f>IFERROR(__xludf.DUMMYFUNCTION("""COMPUTED_VALUE"""),"DB")</f>
        <v>DB</v>
      </c>
      <c r="G35" s="5">
        <f>IFERROR(__xludf.DUMMYFUNCTION("""COMPUTED_VALUE"""),735879.9500000477)</f>
        <v>735879.95</v>
      </c>
      <c r="H35" s="5"/>
      <c r="I35" s="5"/>
    </row>
    <row r="36">
      <c r="A36" s="8">
        <f>IFERROR(__xludf.DUMMYFUNCTION("""COMPUTED_VALUE"""),46147.0)</f>
        <v>46147</v>
      </c>
      <c r="B36" s="5" t="str">
        <f>IFERROR(__xludf.DUMMYFUNCTION("""COMPUTED_VALUE"""),"TRSF E-BANKING DB")</f>
        <v>TRSF E-BANKING DB</v>
      </c>
      <c r="C36" s="5" t="str">
        <f>IFERROR(__xludf.DUMMYFUNCTION("""COMPUTED_VALUE"""),"0505/FTSCY/WS95271 183425600.00 Sun May 03 2026 14:00:00 GMT+0700 (Western Indonesia Time) BROILER MAKMUR TAN")</f>
        <v>0505/FTSCY/WS95271 183425600.00 Sun May 03 2026 14:00:00 GMT+0700 (Western Indonesia Time) BROILER MAKMUR TAN</v>
      </c>
      <c r="D36" s="5">
        <f>IFERROR(__xludf.DUMMYFUNCTION("""COMPUTED_VALUE"""),1.834256E8)</f>
        <v>183425600</v>
      </c>
      <c r="E36" s="5"/>
      <c r="F36" s="5" t="str">
        <f>IFERROR(__xludf.DUMMYFUNCTION("""COMPUTED_VALUE"""),"DB")</f>
        <v>DB</v>
      </c>
      <c r="G36" s="5">
        <f>IFERROR(__xludf.DUMMYFUNCTION("""COMPUTED_VALUE"""),2.8773562995000005E8)</f>
        <v>287735630</v>
      </c>
      <c r="H36" s="5"/>
      <c r="I36" s="5"/>
    </row>
    <row r="37">
      <c r="A37" s="8">
        <f>IFERROR(__xludf.DUMMYFUNCTION("""COMPUTED_VALUE"""),46147.0)</f>
        <v>46147</v>
      </c>
      <c r="B37" s="5" t="str">
        <f>IFERROR(__xludf.DUMMYFUNCTION("""COMPUTED_VALUE"""),"TRSF E-BANKING DB")</f>
        <v>TRSF E-BANKING DB</v>
      </c>
      <c r="C37" s="5" t="str">
        <f>IFERROR(__xludf.DUMMYFUNCTION("""COMPUTED_VALUE"""),"0505/FTSCY/WS95011 115257300.00 Sun May 03 2026 14:00:00 GMT+0700 (Western Indonesia Time) BINTANG TAMA SANTO")</f>
        <v>0505/FTSCY/WS95011 115257300.00 Sun May 03 2026 14:00:00 GMT+0700 (Western Indonesia Time) BINTANG TAMA SANTO</v>
      </c>
      <c r="D37" s="5">
        <f>IFERROR(__xludf.DUMMYFUNCTION("""COMPUTED_VALUE"""),1.152573E8)</f>
        <v>115257300</v>
      </c>
      <c r="E37" s="5"/>
      <c r="F37" s="5" t="str">
        <f>IFERROR(__xludf.DUMMYFUNCTION("""COMPUTED_VALUE"""),"DB")</f>
        <v>DB</v>
      </c>
      <c r="G37" s="5">
        <f>IFERROR(__xludf.DUMMYFUNCTION("""COMPUTED_VALUE"""),1.7247832995000005E8)</f>
        <v>172478330</v>
      </c>
      <c r="H37" s="5"/>
      <c r="I37" s="5"/>
    </row>
    <row r="38">
      <c r="A38" s="8">
        <f>IFERROR(__xludf.DUMMYFUNCTION("""COMPUTED_VALUE"""),46147.0)</f>
        <v>46147</v>
      </c>
      <c r="B38" s="5" t="str">
        <f>IFERROR(__xludf.DUMMYFUNCTION("""COMPUTED_VALUE"""),"TRSF E-BANKING DB")</f>
        <v>TRSF E-BANKING DB</v>
      </c>
      <c r="C38" s="5" t="str">
        <f>IFERROR(__xludf.DUMMYFUNCTION("""COMPUTED_VALUE"""),"0505/FTSCY/WS95011 148652740.00 Sun May 03 2026 14:00:00 GMT+0700 (Western Indonesia Time) SUPER UNGGAS JAYA")</f>
        <v>0505/FTSCY/WS95011 148652740.00 Sun May 03 2026 14:00:00 GMT+0700 (Western Indonesia Time) SUPER UNGGAS JAYA</v>
      </c>
      <c r="D38" s="5">
        <f>IFERROR(__xludf.DUMMYFUNCTION("""COMPUTED_VALUE"""),1.4865274E8)</f>
        <v>148652740</v>
      </c>
      <c r="E38" s="5"/>
      <c r="F38" s="5" t="str">
        <f>IFERROR(__xludf.DUMMYFUNCTION("""COMPUTED_VALUE"""),"DB")</f>
        <v>DB</v>
      </c>
      <c r="G38" s="5">
        <f>IFERROR(__xludf.DUMMYFUNCTION("""COMPUTED_VALUE"""),2.3825589950000048E7)</f>
        <v>23825589.95</v>
      </c>
      <c r="H38" s="5"/>
      <c r="I38" s="5"/>
    </row>
    <row r="39">
      <c r="A39" s="8">
        <f>IFERROR(__xludf.DUMMYFUNCTION("""COMPUTED_VALUE"""),46147.0)</f>
        <v>46147</v>
      </c>
      <c r="B39" s="5" t="str">
        <f>IFERROR(__xludf.DUMMYFUNCTION("""COMPUTED_VALUE"""),"TRSF E-BANKING DB")</f>
        <v>TRSF E-BANKING DB</v>
      </c>
      <c r="C39" s="5" t="str">
        <f>IFERROR(__xludf.DUMMYFUNCTION("""COMPUTED_VALUE"""),"0505/FTSCY/WS95031 911980.00 NURHAYATI")</f>
        <v>0505/FTSCY/WS95031 911980.00 NURHAYATI</v>
      </c>
      <c r="D39" s="5">
        <f>IFERROR(__xludf.DUMMYFUNCTION("""COMPUTED_VALUE"""),911980.0)</f>
        <v>911980</v>
      </c>
      <c r="E39" s="5"/>
      <c r="F39" s="5" t="str">
        <f>IFERROR(__xludf.DUMMYFUNCTION("""COMPUTED_VALUE"""),"DB")</f>
        <v>DB</v>
      </c>
      <c r="G39" s="5">
        <f>IFERROR(__xludf.DUMMYFUNCTION("""COMPUTED_VALUE"""),2.2913609950000048E7)</f>
        <v>22913609.95</v>
      </c>
      <c r="H39" s="5"/>
      <c r="I39" s="5"/>
    </row>
    <row r="40">
      <c r="A40" s="8">
        <f>IFERROR(__xludf.DUMMYFUNCTION("""COMPUTED_VALUE"""),46147.0)</f>
        <v>46147</v>
      </c>
      <c r="B40" s="5" t="str">
        <f>IFERROR(__xludf.DUMMYFUNCTION("""COMPUTED_VALUE"""),"TRSF E-BANKING DB")</f>
        <v>TRSF E-BANKING DB</v>
      </c>
      <c r="C40" s="5" t="str">
        <f>IFERROR(__xludf.DUMMYFUNCTION("""COMPUTED_VALUE"""),"0505/FTSCY/WS95271 20000000.00 titip UNGGAS MANDIRI BER")</f>
        <v>0505/FTSCY/WS95271 20000000.00 titip UNGGAS MANDIRI BER</v>
      </c>
      <c r="D40" s="5">
        <f>IFERROR(__xludf.DUMMYFUNCTION("""COMPUTED_VALUE"""),2.0E7)</f>
        <v>20000000</v>
      </c>
      <c r="E40" s="5"/>
      <c r="F40" s="5" t="str">
        <f>IFERROR(__xludf.DUMMYFUNCTION("""COMPUTED_VALUE"""),"DB")</f>
        <v>DB</v>
      </c>
      <c r="G40" s="5">
        <f>IFERROR(__xludf.DUMMYFUNCTION("""COMPUTED_VALUE"""),2913609.9500000477)</f>
        <v>2913609.95</v>
      </c>
      <c r="H40" s="5"/>
      <c r="I40" s="5"/>
    </row>
    <row r="41">
      <c r="A41" s="8">
        <f>IFERROR(__xludf.DUMMYFUNCTION("""COMPUTED_VALUE"""),46147.0)</f>
        <v>46147</v>
      </c>
      <c r="B41" s="5" t="str">
        <f>IFERROR(__xludf.DUMMYFUNCTION("""COMPUTED_VALUE"""),"TRSF E-BANKING DB")</f>
        <v>TRSF E-BANKING DB</v>
      </c>
      <c r="C41" s="5" t="str">
        <f>IFERROR(__xludf.DUMMYFUNCTION("""COMPUTED_VALUE"""),"0505/FTSCY/WS95031 29300000.00 2900kg magetan UNGGAS MANDIRI BER")</f>
        <v>0505/FTSCY/WS95031 29300000.00 2900kg magetan UNGGAS MANDIRI BER</v>
      </c>
      <c r="D41" s="5">
        <f>IFERROR(__xludf.DUMMYFUNCTION("""COMPUTED_VALUE"""),2.93E7)</f>
        <v>29300000</v>
      </c>
      <c r="E41" s="5"/>
      <c r="F41" s="5" t="str">
        <f>IFERROR(__xludf.DUMMYFUNCTION("""COMPUTED_VALUE"""),"DB")</f>
        <v>DB</v>
      </c>
      <c r="G41" s="5">
        <f>IFERROR(__xludf.DUMMYFUNCTION("""COMPUTED_VALUE"""),2.5458129950000048E7)</f>
        <v>25458129.95</v>
      </c>
      <c r="H41" s="5">
        <f>IFERROR(__xludf.DUMMYFUNCTION("""COMPUTED_VALUE"""),2.545812995E7)</f>
        <v>25458129.95</v>
      </c>
      <c r="I41" s="5"/>
    </row>
    <row r="42">
      <c r="A42" s="8">
        <f>IFERROR(__xludf.DUMMYFUNCTION("""COMPUTED_VALUE"""),46148.0)</f>
        <v>46148</v>
      </c>
      <c r="B42" s="5" t="str">
        <f>IFERROR(__xludf.DUMMYFUNCTION("""COMPUTED_VALUE"""),"TRSF E-BANKING DB")</f>
        <v>TRSF E-BANKING DB</v>
      </c>
      <c r="C42" s="5" t="str">
        <f>IFERROR(__xludf.DUMMYFUNCTION("""COMPUTED_VALUE"""),"0605/FTSCY/WS95031 1500000.00 SUPRIYADI")</f>
        <v>0605/FTSCY/WS95031 1500000.00 SUPRIYADI</v>
      </c>
      <c r="D42" s="5">
        <f>IFERROR(__xludf.DUMMYFUNCTION("""COMPUTED_VALUE"""),1500000.0)</f>
        <v>1500000</v>
      </c>
      <c r="E42" s="5"/>
      <c r="F42" s="5" t="str">
        <f>IFERROR(__xludf.DUMMYFUNCTION("""COMPUTED_VALUE"""),"DB")</f>
        <v>DB</v>
      </c>
      <c r="G42" s="5">
        <f>IFERROR(__xludf.DUMMYFUNCTION("""COMPUTED_VALUE"""),1.7525055995000005E8)</f>
        <v>175250560</v>
      </c>
      <c r="H42" s="5"/>
      <c r="I42" s="5"/>
    </row>
    <row r="43">
      <c r="A43" s="8">
        <f>IFERROR(__xludf.DUMMYFUNCTION("""COMPUTED_VALUE"""),46148.0)</f>
        <v>46148</v>
      </c>
      <c r="B43" s="5" t="str">
        <f>IFERROR(__xludf.DUMMYFUNCTION("""COMPUTED_VALUE"""),"TRSF E-BANKING DB")</f>
        <v>TRSF E-BANKING DB</v>
      </c>
      <c r="C43" s="5" t="str">
        <f>IFERROR(__xludf.DUMMYFUNCTION("""COMPUTED_VALUE"""),"0605/FTSCY/WS95031 2349830.00 MUJIANTO")</f>
        <v>0605/FTSCY/WS95031 2349830.00 MUJIANTO</v>
      </c>
      <c r="D43" s="5">
        <f>IFERROR(__xludf.DUMMYFUNCTION("""COMPUTED_VALUE"""),2349830.0)</f>
        <v>2349830</v>
      </c>
      <c r="E43" s="5"/>
      <c r="F43" s="5" t="str">
        <f>IFERROR(__xludf.DUMMYFUNCTION("""COMPUTED_VALUE"""),"DB")</f>
        <v>DB</v>
      </c>
      <c r="G43" s="5">
        <f>IFERROR(__xludf.DUMMYFUNCTION("""COMPUTED_VALUE"""),1.7290072995000005E8)</f>
        <v>172900730</v>
      </c>
      <c r="H43" s="5"/>
      <c r="I43" s="5"/>
    </row>
    <row r="44">
      <c r="A44" s="8">
        <f>IFERROR(__xludf.DUMMYFUNCTION("""COMPUTED_VALUE"""),46148.0)</f>
        <v>46148</v>
      </c>
      <c r="B44" s="5" t="str">
        <f>IFERROR(__xludf.DUMMYFUNCTION("""COMPUTED_VALUE"""),"TRSF E-BANKING DB")</f>
        <v>TRSF E-BANKING DB</v>
      </c>
      <c r="C44" s="5" t="str">
        <f>IFERROR(__xludf.DUMMYFUNCTION("""COMPUTED_VALUE"""),"0605/FTSCY/WS95031 2898880.00 HERMAWAN")</f>
        <v>0605/FTSCY/WS95031 2898880.00 HERMAWAN</v>
      </c>
      <c r="D44" s="5">
        <f>IFERROR(__xludf.DUMMYFUNCTION("""COMPUTED_VALUE"""),2898880.0)</f>
        <v>2898880</v>
      </c>
      <c r="E44" s="5"/>
      <c r="F44" s="5" t="str">
        <f>IFERROR(__xludf.DUMMYFUNCTION("""COMPUTED_VALUE"""),"DB")</f>
        <v>DB</v>
      </c>
      <c r="G44" s="5">
        <f>IFERROR(__xludf.DUMMYFUNCTION("""COMPUTED_VALUE"""),1.7000184995000005E8)</f>
        <v>170001850</v>
      </c>
      <c r="H44" s="5"/>
      <c r="I44" s="5"/>
    </row>
    <row r="45">
      <c r="A45" s="8">
        <f>IFERROR(__xludf.DUMMYFUNCTION("""COMPUTED_VALUE"""),46148.0)</f>
        <v>46148</v>
      </c>
      <c r="B45" s="5" t="str">
        <f>IFERROR(__xludf.DUMMYFUNCTION("""COMPUTED_VALUE"""),"TRSF E-BANKING DB")</f>
        <v>TRSF E-BANKING DB</v>
      </c>
      <c r="C45" s="5" t="str">
        <f>IFERROR(__xludf.DUMMYFUNCTION("""COMPUTED_VALUE"""),"0605/FTSCY/WS95031 64237800.00 kd sumadi blora TUMBUH OPTIMAL PRI")</f>
        <v>0605/FTSCY/WS95031 64237800.00 kd sumadi blora TUMBUH OPTIMAL PRI</v>
      </c>
      <c r="D45" s="5">
        <f>IFERROR(__xludf.DUMMYFUNCTION("""COMPUTED_VALUE"""),6.42378E7)</f>
        <v>64237800</v>
      </c>
      <c r="E45" s="5"/>
      <c r="F45" s="5" t="str">
        <f>IFERROR(__xludf.DUMMYFUNCTION("""COMPUTED_VALUE"""),"DB")</f>
        <v>DB</v>
      </c>
      <c r="G45" s="5">
        <f>IFERROR(__xludf.DUMMYFUNCTION("""COMPUTED_VALUE"""),1.0576404995000005E8)</f>
        <v>105764050</v>
      </c>
      <c r="H45" s="5"/>
      <c r="I45" s="5"/>
    </row>
    <row r="46">
      <c r="A46" s="8">
        <f>IFERROR(__xludf.DUMMYFUNCTION("""COMPUTED_VALUE"""),46148.0)</f>
        <v>46148</v>
      </c>
      <c r="B46" s="5" t="str">
        <f>IFERROR(__xludf.DUMMYFUNCTION("""COMPUTED_VALUE"""),"TRSF E-BANKING DB")</f>
        <v>TRSF E-BANKING DB</v>
      </c>
      <c r="C46" s="5" t="str">
        <f>IFERROR(__xludf.DUMMYFUNCTION("""COMPUTED_VALUE"""),"0605/FTSCY/WS95031 24237800.00 krg 40 jt EKO SETIYAWAN")</f>
        <v>0605/FTSCY/WS95031 24237800.00 krg 40 jt EKO SETIYAWAN</v>
      </c>
      <c r="D46" s="5">
        <f>IFERROR(__xludf.DUMMYFUNCTION("""COMPUTED_VALUE"""),2.42378E7)</f>
        <v>24237800</v>
      </c>
      <c r="E46" s="5"/>
      <c r="F46" s="5" t="str">
        <f>IFERROR(__xludf.DUMMYFUNCTION("""COMPUTED_VALUE"""),"DB")</f>
        <v>DB</v>
      </c>
      <c r="G46" s="5">
        <f>IFERROR(__xludf.DUMMYFUNCTION("""COMPUTED_VALUE"""),8.152624995000005E7)</f>
        <v>81526249.95</v>
      </c>
      <c r="H46" s="5"/>
      <c r="I46" s="5"/>
    </row>
    <row r="47">
      <c r="A47" s="8">
        <f>IFERROR(__xludf.DUMMYFUNCTION("""COMPUTED_VALUE"""),46148.0)</f>
        <v>46148</v>
      </c>
      <c r="B47" s="5" t="str">
        <f>IFERROR(__xludf.DUMMYFUNCTION("""COMPUTED_VALUE"""),"TRSF E-BANKING DB")</f>
        <v>TRSF E-BANKING DB</v>
      </c>
      <c r="C47" s="5" t="str">
        <f>IFERROR(__xludf.DUMMYFUNCTION("""COMPUTED_VALUE"""),"0605/FTSCY/WS95271 5824900.00 krg 30 jt EKO SETIYAWAN")</f>
        <v>0605/FTSCY/WS95271 5824900.00 krg 30 jt EKO SETIYAWAN</v>
      </c>
      <c r="D47" s="5">
        <f>IFERROR(__xludf.DUMMYFUNCTION("""COMPUTED_VALUE"""),5824900.0)</f>
        <v>5824900</v>
      </c>
      <c r="E47" s="5"/>
      <c r="F47" s="5" t="str">
        <f>IFERROR(__xludf.DUMMYFUNCTION("""COMPUTED_VALUE"""),"DB")</f>
        <v>DB</v>
      </c>
      <c r="G47" s="5">
        <f>IFERROR(__xludf.DUMMYFUNCTION("""COMPUTED_VALUE"""),7.570134995000005E7)</f>
        <v>75701349.95</v>
      </c>
      <c r="H47" s="5"/>
      <c r="I47" s="5"/>
    </row>
    <row r="48">
      <c r="A48" s="8">
        <f>IFERROR(__xludf.DUMMYFUNCTION("""COMPUTED_VALUE"""),46148.0)</f>
        <v>46148</v>
      </c>
      <c r="B48" s="5" t="str">
        <f>IFERROR(__xludf.DUMMYFUNCTION("""COMPUTED_VALUE"""),"TRSF E-BANKING DB")</f>
        <v>TRSF E-BANKING DB</v>
      </c>
      <c r="C48" s="5" t="str">
        <f>IFERROR(__xludf.DUMMYFUNCTION("""COMPUTED_VALUE"""),"0605/FTSCY/WS95031 300000.00 ANDE DOSO ANGGORO")</f>
        <v>0605/FTSCY/WS95031 300000.00 ANDE DOSO ANGGORO</v>
      </c>
      <c r="D48" s="5">
        <f>IFERROR(__xludf.DUMMYFUNCTION("""COMPUTED_VALUE"""),300000.0)</f>
        <v>300000</v>
      </c>
      <c r="E48" s="5"/>
      <c r="F48" s="5" t="str">
        <f>IFERROR(__xludf.DUMMYFUNCTION("""COMPUTED_VALUE"""),"DB")</f>
        <v>DB</v>
      </c>
      <c r="G48" s="5">
        <f>IFERROR(__xludf.DUMMYFUNCTION("""COMPUTED_VALUE"""),7.540134995000005E7)</f>
        <v>75401349.95</v>
      </c>
      <c r="H48" s="5"/>
      <c r="I48" s="5"/>
    </row>
    <row r="49">
      <c r="A49" s="8">
        <f>IFERROR(__xludf.DUMMYFUNCTION("""COMPUTED_VALUE"""),46148.0)</f>
        <v>46148</v>
      </c>
      <c r="B49" s="5" t="str">
        <f>IFERROR(__xludf.DUMMYFUNCTION("""COMPUTED_VALUE"""),"TRSF E-BANKING DB")</f>
        <v>TRSF E-BANKING DB</v>
      </c>
      <c r="C49" s="5" t="str">
        <f>IFERROR(__xludf.DUMMYFUNCTION("""COMPUTED_VALUE"""),"0605/FTSCY/WS95271 58880250.00 Mon May 04 2026 14:00:00 GMT+0700 (Western Indonesia Time) BINTANG TAMA SANTO")</f>
        <v>0605/FTSCY/WS95271 58880250.00 Mon May 04 2026 14:00:00 GMT+0700 (Western Indonesia Time) BINTANG TAMA SANTO</v>
      </c>
      <c r="D49" s="5">
        <f>IFERROR(__xludf.DUMMYFUNCTION("""COMPUTED_VALUE"""),5.888025E7)</f>
        <v>58880250</v>
      </c>
      <c r="E49" s="5"/>
      <c r="F49" s="5" t="str">
        <f>IFERROR(__xludf.DUMMYFUNCTION("""COMPUTED_VALUE"""),"DB")</f>
        <v>DB</v>
      </c>
      <c r="G49" s="5">
        <f>IFERROR(__xludf.DUMMYFUNCTION("""COMPUTED_VALUE"""),1.6521099950000048E7)</f>
        <v>16521099.95</v>
      </c>
      <c r="H49" s="5"/>
      <c r="I49" s="5"/>
    </row>
    <row r="50">
      <c r="A50" s="8">
        <f>IFERROR(__xludf.DUMMYFUNCTION("""COMPUTED_VALUE"""),46148.0)</f>
        <v>46148</v>
      </c>
      <c r="B50" s="5" t="str">
        <f>IFERROR(__xludf.DUMMYFUNCTION("""COMPUTED_VALUE"""),"TRSF E-BANKING DB")</f>
        <v>TRSF E-BANKING DB</v>
      </c>
      <c r="C50" s="5" t="str">
        <f>IFERROR(__xludf.DUMMYFUNCTION("""COMPUTED_VALUE"""),"0605/FTSCY/WS95031 200000.00 LIA SETIA NINGSIH")</f>
        <v>0605/FTSCY/WS95031 200000.00 LIA SETIA NINGSIH</v>
      </c>
      <c r="D50" s="5">
        <f>IFERROR(__xludf.DUMMYFUNCTION("""COMPUTED_VALUE"""),200000.0)</f>
        <v>200000</v>
      </c>
      <c r="E50" s="5"/>
      <c r="F50" s="5" t="str">
        <f>IFERROR(__xludf.DUMMYFUNCTION("""COMPUTED_VALUE"""),"DB")</f>
        <v>DB</v>
      </c>
      <c r="G50" s="5">
        <f>IFERROR(__xludf.DUMMYFUNCTION("""COMPUTED_VALUE"""),1.6321099950000048E7)</f>
        <v>16321099.95</v>
      </c>
      <c r="H50" s="5"/>
      <c r="I50" s="5"/>
    </row>
    <row r="51">
      <c r="A51" s="8">
        <f>IFERROR(__xludf.DUMMYFUNCTION("""COMPUTED_VALUE"""),46148.0)</f>
        <v>46148</v>
      </c>
      <c r="B51" s="5" t="str">
        <f>IFERROR(__xludf.DUMMYFUNCTION("""COMPUTED_VALUE"""),"TRSF E-BANKING DB")</f>
        <v>TRSF E-BANKING DB</v>
      </c>
      <c r="C51" s="5" t="str">
        <f>IFERROR(__xludf.DUMMYFUNCTION("""COMPUTED_VALUE"""),"0605/FTSCY/WS95271 630700.00 pelunasan UNGGAS MANDIRI BER")</f>
        <v>0605/FTSCY/WS95271 630700.00 pelunasan UNGGAS MANDIRI BER</v>
      </c>
      <c r="D51" s="5">
        <f>IFERROR(__xludf.DUMMYFUNCTION("""COMPUTED_VALUE"""),630700.0)</f>
        <v>630700</v>
      </c>
      <c r="E51" s="5"/>
      <c r="F51" s="5" t="str">
        <f>IFERROR(__xludf.DUMMYFUNCTION("""COMPUTED_VALUE"""),"DB")</f>
        <v>DB</v>
      </c>
      <c r="G51" s="5">
        <f>IFERROR(__xludf.DUMMYFUNCTION("""COMPUTED_VALUE"""),6.2943224595E8)</f>
        <v>629432246</v>
      </c>
      <c r="H51" s="5"/>
      <c r="I51" s="5"/>
    </row>
    <row r="52">
      <c r="A52" s="8">
        <f>IFERROR(__xludf.DUMMYFUNCTION("""COMPUTED_VALUE"""),46148.0)</f>
        <v>46148</v>
      </c>
      <c r="B52" s="5" t="str">
        <f>IFERROR(__xludf.DUMMYFUNCTION("""COMPUTED_VALUE"""),"TRSF E-BANKING DB")</f>
        <v>TRSF E-BANKING DB</v>
      </c>
      <c r="C52" s="5" t="str">
        <f>IFERROR(__xludf.DUMMYFUNCTION("""COMPUTED_VALUE"""),"0605/FTSCY/WS95271 97193250.00 Mon May 04 2026 14:00:00 GMT+0700 (Western Indonesia Time) BINTANG TAMA SANTO")</f>
        <v>0605/FTSCY/WS95271 97193250.00 Mon May 04 2026 14:00:00 GMT+0700 (Western Indonesia Time) BINTANG TAMA SANTO</v>
      </c>
      <c r="D52" s="5">
        <f>IFERROR(__xludf.DUMMYFUNCTION("""COMPUTED_VALUE"""),9.719325E7)</f>
        <v>97193250</v>
      </c>
      <c r="E52" s="5"/>
      <c r="F52" s="5" t="str">
        <f>IFERROR(__xludf.DUMMYFUNCTION("""COMPUTED_VALUE"""),"DB")</f>
        <v>DB</v>
      </c>
      <c r="G52" s="5">
        <f>IFERROR(__xludf.DUMMYFUNCTION("""COMPUTED_VALUE"""),5.3223899595000005E8)</f>
        <v>532238996</v>
      </c>
      <c r="H52" s="5"/>
      <c r="I52" s="5"/>
    </row>
    <row r="53">
      <c r="A53" s="8">
        <f>IFERROR(__xludf.DUMMYFUNCTION("""COMPUTED_VALUE"""),46148.0)</f>
        <v>46148</v>
      </c>
      <c r="B53" s="5" t="str">
        <f>IFERROR(__xludf.DUMMYFUNCTION("""COMPUTED_VALUE"""),"TRSF E-BANKING DB")</f>
        <v>TRSF E-BANKING DB</v>
      </c>
      <c r="C53" s="5" t="str">
        <f>IFERROR(__xludf.DUMMYFUNCTION("""COMPUTED_VALUE"""),"0605/FTSCY/WS95271 49554450.00 Mon May 04 2026 14:00:00 GMT+0700 (Western Indonesia Time) ANUGERAH KARTIKA A")</f>
        <v>0605/FTSCY/WS95271 49554450.00 Mon May 04 2026 14:00:00 GMT+0700 (Western Indonesia Time) ANUGERAH KARTIKA A</v>
      </c>
      <c r="D53" s="5">
        <f>IFERROR(__xludf.DUMMYFUNCTION("""COMPUTED_VALUE"""),4.955445E7)</f>
        <v>49554450</v>
      </c>
      <c r="E53" s="5"/>
      <c r="F53" s="5" t="str">
        <f>IFERROR(__xludf.DUMMYFUNCTION("""COMPUTED_VALUE"""),"DB")</f>
        <v>DB</v>
      </c>
      <c r="G53" s="5">
        <f>IFERROR(__xludf.DUMMYFUNCTION("""COMPUTED_VALUE"""),4.8268454595000005E8)</f>
        <v>482684546</v>
      </c>
      <c r="H53" s="5"/>
      <c r="I53" s="5"/>
    </row>
    <row r="54">
      <c r="A54" s="8">
        <f>IFERROR(__xludf.DUMMYFUNCTION("""COMPUTED_VALUE"""),46148.0)</f>
        <v>46148</v>
      </c>
      <c r="B54" s="5" t="str">
        <f>IFERROR(__xludf.DUMMYFUNCTION("""COMPUTED_VALUE"""),"TRSF E-BANKING DB")</f>
        <v>TRSF E-BANKING DB</v>
      </c>
      <c r="C54" s="5" t="str">
        <f>IFERROR(__xludf.DUMMYFUNCTION("""COMPUTED_VALUE"""),"0605/FTSCY/WS95271 46431100.00 Mon May 04 2026 14:00:00 GMT+0700 (Western Indonesia Time) ANDALAN YASA MITRA")</f>
        <v>0605/FTSCY/WS95271 46431100.00 Mon May 04 2026 14:00:00 GMT+0700 (Western Indonesia Time) ANDALAN YASA MITRA</v>
      </c>
      <c r="D54" s="5">
        <f>IFERROR(__xludf.DUMMYFUNCTION("""COMPUTED_VALUE"""),4.64311E7)</f>
        <v>46431100</v>
      </c>
      <c r="E54" s="5"/>
      <c r="F54" s="5" t="str">
        <f>IFERROR(__xludf.DUMMYFUNCTION("""COMPUTED_VALUE"""),"DB")</f>
        <v>DB</v>
      </c>
      <c r="G54" s="5">
        <f>IFERROR(__xludf.DUMMYFUNCTION("""COMPUTED_VALUE"""),4.3625344595000005E8)</f>
        <v>436253446</v>
      </c>
      <c r="H54" s="5"/>
      <c r="I54" s="5"/>
    </row>
    <row r="55">
      <c r="A55" s="8">
        <f>IFERROR(__xludf.DUMMYFUNCTION("""COMPUTED_VALUE"""),46148.0)</f>
        <v>46148</v>
      </c>
      <c r="B55" s="5" t="str">
        <f>IFERROR(__xludf.DUMMYFUNCTION("""COMPUTED_VALUE"""),"TRSF E-BANKING DB")</f>
        <v>TRSF E-BANKING DB</v>
      </c>
      <c r="C55" s="5" t="str">
        <f>IFERROR(__xludf.DUMMYFUNCTION("""COMPUTED_VALUE"""),"0605/FTSCY/WS95011 332426330.00 Mon May 04 2026 14:00:00 GMT+0700 (Western Indonesia Time) BROILER MAKMUR TAN")</f>
        <v>0605/FTSCY/WS95011 332426330.00 Mon May 04 2026 14:00:00 GMT+0700 (Western Indonesia Time) BROILER MAKMUR TAN</v>
      </c>
      <c r="D55" s="5">
        <f>IFERROR(__xludf.DUMMYFUNCTION("""COMPUTED_VALUE"""),3.3242633E8)</f>
        <v>332426330</v>
      </c>
      <c r="E55" s="5"/>
      <c r="F55" s="5" t="str">
        <f>IFERROR(__xludf.DUMMYFUNCTION("""COMPUTED_VALUE"""),"DB")</f>
        <v>DB</v>
      </c>
      <c r="G55" s="5">
        <f>IFERROR(__xludf.DUMMYFUNCTION("""COMPUTED_VALUE"""),1.5854711595000005E8)</f>
        <v>158547116</v>
      </c>
      <c r="H55" s="5"/>
      <c r="I55" s="5"/>
    </row>
    <row r="56">
      <c r="A56" s="8">
        <f>IFERROR(__xludf.DUMMYFUNCTION("""COMPUTED_VALUE"""),46148.0)</f>
        <v>46148</v>
      </c>
      <c r="B56" s="5" t="str">
        <f>IFERROR(__xludf.DUMMYFUNCTION("""COMPUTED_VALUE"""),"KARTU DEBIT")</f>
        <v>KARTU DEBIT</v>
      </c>
      <c r="C56" s="5" t="str">
        <f>IFERROR(__xludf.DUMMYFUNCTION("""COMPUTED_VALUE"""),"ALFAMRT Y207 BRTN 6019009510239343")</f>
        <v>ALFAMRT Y207 BRTN 6019009510239343</v>
      </c>
      <c r="D56" s="5">
        <f>IFERROR(__xludf.DUMMYFUNCTION("""COMPUTED_VALUE"""),386600.0)</f>
        <v>386600</v>
      </c>
      <c r="E56" s="5"/>
      <c r="F56" s="5"/>
      <c r="G56" s="5">
        <f>IFERROR(__xludf.DUMMYFUNCTION("""COMPUTED_VALUE"""),1.5816051595000005E8)</f>
        <v>158160516</v>
      </c>
      <c r="H56" s="5"/>
      <c r="I56" s="5"/>
    </row>
    <row r="57">
      <c r="A57" s="8">
        <f>IFERROR(__xludf.DUMMYFUNCTION("""COMPUTED_VALUE"""),46149.0)</f>
        <v>46149</v>
      </c>
      <c r="B57" s="5" t="str">
        <f>IFERROR(__xludf.DUMMYFUNCTION("""COMPUTED_VALUE"""),"BI-FAST DB")</f>
        <v>BI-FAST DB</v>
      </c>
      <c r="C57" s="5" t="str">
        <f>IFERROR(__xludf.DUMMYFUNCTION("""COMPUTED_VALUE"""),"BIF TRANSFER KE 8 MISWATI M-BCA")</f>
        <v>BIF TRANSFER KE 8 MISWATI M-BCA</v>
      </c>
      <c r="D57" s="5">
        <f>IFERROR(__xludf.DUMMYFUNCTION("""COMPUTED_VALUE"""),500000.0)</f>
        <v>500000</v>
      </c>
      <c r="E57" s="5"/>
      <c r="F57" s="5" t="str">
        <f>IFERROR(__xludf.DUMMYFUNCTION("""COMPUTED_VALUE"""),"DB")</f>
        <v>DB</v>
      </c>
      <c r="G57" s="5">
        <f>IFERROR(__xludf.DUMMYFUNCTION("""COMPUTED_VALUE"""),2.5597146595000005E8)</f>
        <v>255971466</v>
      </c>
      <c r="H57" s="5"/>
      <c r="I57" s="5"/>
    </row>
    <row r="58">
      <c r="A58" s="8">
        <f>IFERROR(__xludf.DUMMYFUNCTION("""COMPUTED_VALUE"""),46149.0)</f>
        <v>46149</v>
      </c>
      <c r="B58" s="5" t="str">
        <f>IFERROR(__xludf.DUMMYFUNCTION("""COMPUTED_VALUE"""),"BI-FAST DB")</f>
        <v>BI-FAST DB</v>
      </c>
      <c r="C58" s="5" t="str">
        <f>IFERROR(__xludf.DUMMYFUNCTION("""COMPUTED_VALUE"""),"BIF BIAYA TXN KE 8 MISWATI M-BCA")</f>
        <v>BIF BIAYA TXN KE 8 MISWATI M-BCA</v>
      </c>
      <c r="D58" s="5">
        <f>IFERROR(__xludf.DUMMYFUNCTION("""COMPUTED_VALUE"""),2500.0)</f>
        <v>2500</v>
      </c>
      <c r="E58" s="5"/>
      <c r="F58" s="5" t="str">
        <f>IFERROR(__xludf.DUMMYFUNCTION("""COMPUTED_VALUE"""),"DB")</f>
        <v>DB</v>
      </c>
      <c r="G58" s="5">
        <f>IFERROR(__xludf.DUMMYFUNCTION("""COMPUTED_VALUE"""),2.5596896595000005E8)</f>
        <v>255968966</v>
      </c>
      <c r="H58" s="5"/>
      <c r="I58" s="5"/>
    </row>
    <row r="59">
      <c r="A59" s="8">
        <f>IFERROR(__xludf.DUMMYFUNCTION("""COMPUTED_VALUE"""),46149.0)</f>
        <v>46149</v>
      </c>
      <c r="B59" s="5" t="str">
        <f>IFERROR(__xludf.DUMMYFUNCTION("""COMPUTED_VALUE"""),"TRSF E-BANKING DB")</f>
        <v>TRSF E-BANKING DB</v>
      </c>
      <c r="C59" s="5" t="str">
        <f>IFERROR(__xludf.DUMMYFUNCTION("""COMPUTED_VALUE"""),"0705/FTSCY/WS95031 1592260.00 magetan lidia HERMAWAN")</f>
        <v>0705/FTSCY/WS95031 1592260.00 magetan lidia HERMAWAN</v>
      </c>
      <c r="D59" s="5">
        <f>IFERROR(__xludf.DUMMYFUNCTION("""COMPUTED_VALUE"""),1592260.0)</f>
        <v>1592260</v>
      </c>
      <c r="E59" s="5"/>
      <c r="F59" s="5" t="str">
        <f>IFERROR(__xludf.DUMMYFUNCTION("""COMPUTED_VALUE"""),"DB")</f>
        <v>DB</v>
      </c>
      <c r="G59" s="5">
        <f>IFERROR(__xludf.DUMMYFUNCTION("""COMPUTED_VALUE"""),2.5437670595000005E8)</f>
        <v>254376706</v>
      </c>
      <c r="H59" s="5"/>
      <c r="I59" s="5"/>
    </row>
    <row r="60">
      <c r="A60" s="8">
        <f>IFERROR(__xludf.DUMMYFUNCTION("""COMPUTED_VALUE"""),46149.0)</f>
        <v>46149</v>
      </c>
      <c r="B60" s="5" t="str">
        <f>IFERROR(__xludf.DUMMYFUNCTION("""COMPUTED_VALUE"""),"TRSF E-BANKING DB")</f>
        <v>TRSF E-BANKING DB</v>
      </c>
      <c r="C60" s="5" t="str">
        <f>IFERROR(__xludf.DUMMYFUNCTION("""COMPUTED_VALUE"""),"0705/FTSCY/WS95031 1918620.00 blitar MUJIANTO")</f>
        <v>0705/FTSCY/WS95031 1918620.00 blitar MUJIANTO</v>
      </c>
      <c r="D60" s="5">
        <f>IFERROR(__xludf.DUMMYFUNCTION("""COMPUTED_VALUE"""),1918620.0)</f>
        <v>1918620</v>
      </c>
      <c r="E60" s="5"/>
      <c r="F60" s="5" t="str">
        <f>IFERROR(__xludf.DUMMYFUNCTION("""COMPUTED_VALUE"""),"DB")</f>
        <v>DB</v>
      </c>
      <c r="G60" s="5">
        <f>IFERROR(__xludf.DUMMYFUNCTION("""COMPUTED_VALUE"""),2.5245808595000005E8)</f>
        <v>252458086</v>
      </c>
      <c r="H60" s="5">
        <f>IFERROR(__xludf.DUMMYFUNCTION("""COMPUTED_VALUE"""),2.5245808595E8)</f>
        <v>252458086</v>
      </c>
      <c r="I60" s="5"/>
    </row>
    <row r="61">
      <c r="A61" s="8">
        <f>IFERROR(__xludf.DUMMYFUNCTION("""COMPUTED_VALUE"""),46149.0)</f>
        <v>46149</v>
      </c>
      <c r="B61" s="5" t="str">
        <f>IFERROR(__xludf.DUMMYFUNCTION("""COMPUTED_VALUE"""),"KARTU DEBIT")</f>
        <v>KARTU DEBIT</v>
      </c>
      <c r="C61" s="5" t="str">
        <f>IFERROR(__xludf.DUMMYFUNCTION("""COMPUTED_VALUE"""),"MIXUE 6019009510239343")</f>
        <v>MIXUE 6019009510239343</v>
      </c>
      <c r="D61" s="5">
        <f>IFERROR(__xludf.DUMMYFUNCTION("""COMPUTED_VALUE"""),59000.0)</f>
        <v>59000</v>
      </c>
      <c r="E61" s="5"/>
      <c r="F61" s="5"/>
      <c r="G61" s="5">
        <f>IFERROR(__xludf.DUMMYFUNCTION("""COMPUTED_VALUE"""),3.1233618595000005E8)</f>
        <v>312336186</v>
      </c>
      <c r="H61" s="5"/>
      <c r="I61" s="5"/>
    </row>
    <row r="62">
      <c r="A62" s="8">
        <f>IFERROR(__xludf.DUMMYFUNCTION("""COMPUTED_VALUE"""),46149.0)</f>
        <v>46149</v>
      </c>
      <c r="B62" s="5" t="str">
        <f>IFERROR(__xludf.DUMMYFUNCTION("""COMPUTED_VALUE"""),"TRSF E-BANKING DB")</f>
        <v>TRSF E-BANKING DB</v>
      </c>
      <c r="C62" s="5" t="str">
        <f>IFERROR(__xludf.DUMMYFUNCTION("""COMPUTED_VALUE"""),"0705/FTFVA/WS95031 55569/PT PRIMA FAJ pasuruan 9.6 ton - 40190")</f>
        <v>0705/FTFVA/WS95031 55569/PT PRIMA FAJ pasuruan 9.6 ton - 40190</v>
      </c>
      <c r="D62" s="5">
        <f>IFERROR(__xludf.DUMMYFUNCTION("""COMPUTED_VALUE"""),1.728E8)</f>
        <v>172800000</v>
      </c>
      <c r="E62" s="5"/>
      <c r="F62" s="5" t="str">
        <f>IFERROR(__xludf.DUMMYFUNCTION("""COMPUTED_VALUE"""),"DB")</f>
        <v>DB</v>
      </c>
      <c r="G62" s="5">
        <f>IFERROR(__xludf.DUMMYFUNCTION("""COMPUTED_VALUE"""),1.3953618595000005E8)</f>
        <v>139536186</v>
      </c>
      <c r="H62" s="5">
        <f>IFERROR(__xludf.DUMMYFUNCTION("""COMPUTED_VALUE"""),1.3953618595E8)</f>
        <v>139536186</v>
      </c>
      <c r="I62" s="5"/>
    </row>
    <row r="63">
      <c r="A63" s="8">
        <f>IFERROR(__xludf.DUMMYFUNCTION("""COMPUTED_VALUE"""),46150.0)</f>
        <v>46150</v>
      </c>
      <c r="B63" s="5" t="str">
        <f>IFERROR(__xludf.DUMMYFUNCTION("""COMPUTED_VALUE"""),"TRSF E-BANKING DB TANGGAL :07/05")</f>
        <v>TRSF E-BANKING DB TANGGAL :07/05</v>
      </c>
      <c r="C63" s="5" t="str">
        <f>IFERROR(__xludf.DUMMYFUNCTION("""COMPUTED_VALUE"""),"0705/FTSCY/WS95031 SUPRIYADI")</f>
        <v>0705/FTSCY/WS95031 SUPRIYADI</v>
      </c>
      <c r="D63" s="5">
        <f>IFERROR(__xludf.DUMMYFUNCTION("""COMPUTED_VALUE"""),1000000.0)</f>
        <v>1000000</v>
      </c>
      <c r="E63" s="5"/>
      <c r="F63" s="5" t="str">
        <f>IFERROR(__xludf.DUMMYFUNCTION("""COMPUTED_VALUE"""),"DB")</f>
        <v>DB</v>
      </c>
      <c r="G63" s="5">
        <f>IFERROR(__xludf.DUMMYFUNCTION("""COMPUTED_VALUE"""),1.3853618595000005E8)</f>
        <v>138536186</v>
      </c>
      <c r="H63" s="5"/>
      <c r="I63" s="5"/>
    </row>
    <row r="64">
      <c r="A64" s="8">
        <f>IFERROR(__xludf.DUMMYFUNCTION("""COMPUTED_VALUE"""),46150.0)</f>
        <v>46150</v>
      </c>
      <c r="B64" s="5" t="str">
        <f>IFERROR(__xludf.DUMMYFUNCTION("""COMPUTED_VALUE"""),"TRSF E-BANKING DB TANGGAL :07/05")</f>
        <v>TRSF E-BANKING DB TANGGAL :07/05</v>
      </c>
      <c r="C64" s="5" t="str">
        <f>IFERROR(__xludf.DUMMYFUNCTION("""COMPUTED_VALUE"""),"0705/FTSCY/WS95271 Wed May 06 2026 14:00:00 GMT+0700 (Western Indonesia Time) RUKUN MITRA BERSAM")</f>
        <v>0705/FTSCY/WS95271 Wed May 06 2026 14:00:00 GMT+0700 (Western Indonesia Time) RUKUN MITRA BERSAM</v>
      </c>
      <c r="D64" s="5">
        <f>IFERROR(__xludf.DUMMYFUNCTION("""COMPUTED_VALUE"""),5.95085E7)</f>
        <v>59508500</v>
      </c>
      <c r="E64" s="5"/>
      <c r="F64" s="5" t="str">
        <f>IFERROR(__xludf.DUMMYFUNCTION("""COMPUTED_VALUE"""),"DB")</f>
        <v>DB</v>
      </c>
      <c r="G64" s="5">
        <f>IFERROR(__xludf.DUMMYFUNCTION("""COMPUTED_VALUE"""),7.902768595000005E7)</f>
        <v>79027685.95</v>
      </c>
      <c r="H64" s="5"/>
      <c r="I64" s="5"/>
    </row>
    <row r="65">
      <c r="A65" s="8">
        <f>IFERROR(__xludf.DUMMYFUNCTION("""COMPUTED_VALUE"""),46150.0)</f>
        <v>46150</v>
      </c>
      <c r="B65" s="5" t="str">
        <f>IFERROR(__xludf.DUMMYFUNCTION("""COMPUTED_VALUE"""),"TRSF E-BANKING DB TANGGAL :07/05")</f>
        <v>TRSF E-BANKING DB TANGGAL :07/05</v>
      </c>
      <c r="C65" s="5" t="str">
        <f>IFERROR(__xludf.DUMMYFUNCTION("""COMPUTED_VALUE"""),"0705/FTSCY/WS95271 Wed May 06 2026 14:00:00 GMT+0700 (Western Indonesia Time) BINTANG TAMA SANTO")</f>
        <v>0705/FTSCY/WS95271 Wed May 06 2026 14:00:00 GMT+0700 (Western Indonesia Time) BINTANG TAMA SANTO</v>
      </c>
      <c r="D65" s="5">
        <f>IFERROR(__xludf.DUMMYFUNCTION("""COMPUTED_VALUE"""),7.06144E7)</f>
        <v>70614400</v>
      </c>
      <c r="E65" s="5"/>
      <c r="F65" s="5" t="str">
        <f>IFERROR(__xludf.DUMMYFUNCTION("""COMPUTED_VALUE"""),"DB")</f>
        <v>DB</v>
      </c>
      <c r="G65" s="5">
        <f>IFERROR(__xludf.DUMMYFUNCTION("""COMPUTED_VALUE"""),8413285.950000048)</f>
        <v>8413285.95</v>
      </c>
      <c r="H65" s="5"/>
      <c r="I65" s="5"/>
    </row>
    <row r="66">
      <c r="A66" s="8">
        <f>IFERROR(__xludf.DUMMYFUNCTION("""COMPUTED_VALUE"""),46150.0)</f>
        <v>46150</v>
      </c>
      <c r="B66" s="5" t="str">
        <f>IFERROR(__xludf.DUMMYFUNCTION("""COMPUTED_VALUE"""),"TARIKAN ATM 08/05")</f>
        <v>TARIKAN ATM 08/05</v>
      </c>
      <c r="C66" s="5" t="str">
        <f>IFERROR(__xludf.DUMMYFUNCTION("""COMPUTED_VALUE"""),"TARIKAN ATM 08/05")</f>
        <v>TARIKAN ATM 08/05</v>
      </c>
      <c r="D66" s="5">
        <f>IFERROR(__xludf.DUMMYFUNCTION("""COMPUTED_VALUE"""),1700000.0)</f>
        <v>1700000</v>
      </c>
      <c r="E66" s="5"/>
      <c r="F66" s="5"/>
      <c r="G66" s="5">
        <f>IFERROR(__xludf.DUMMYFUNCTION("""COMPUTED_VALUE"""),2.4278735595000005E8)</f>
        <v>242787356</v>
      </c>
      <c r="H66" s="5"/>
      <c r="I66" s="5"/>
    </row>
    <row r="67">
      <c r="A67" s="8">
        <f>IFERROR(__xludf.DUMMYFUNCTION("""COMPUTED_VALUE"""),46150.0)</f>
        <v>46150</v>
      </c>
      <c r="B67" s="5" t="str">
        <f>IFERROR(__xludf.DUMMYFUNCTION("""COMPUTED_VALUE"""),"KARTU DEBIT")</f>
        <v>KARTU DEBIT</v>
      </c>
      <c r="C67" s="5" t="str">
        <f>IFERROR(__xludf.DUMMYFUNCTION("""COMPUTED_VALUE"""),"ARDJUNA TOKO MAS-H 6019009510239343")</f>
        <v>ARDJUNA TOKO MAS-H 6019009510239343</v>
      </c>
      <c r="D67" s="5">
        <f>IFERROR(__xludf.DUMMYFUNCTION("""COMPUTED_VALUE"""),700000.0)</f>
        <v>700000</v>
      </c>
      <c r="E67" s="5"/>
      <c r="F67" s="5"/>
      <c r="G67" s="5">
        <f>IFERROR(__xludf.DUMMYFUNCTION("""COMPUTED_VALUE"""),2.4208735595000005E8)</f>
        <v>242087356</v>
      </c>
      <c r="H67" s="5"/>
      <c r="I67" s="5"/>
    </row>
    <row r="68">
      <c r="A68" s="8">
        <f>IFERROR(__xludf.DUMMYFUNCTION("""COMPUTED_VALUE"""),46150.0)</f>
        <v>46150</v>
      </c>
      <c r="B68" s="5" t="str">
        <f>IFERROR(__xludf.DUMMYFUNCTION("""COMPUTED_VALUE"""),"TRSF E-BANKING DB")</f>
        <v>TRSF E-BANKING DB</v>
      </c>
      <c r="C68" s="5" t="str">
        <f>IFERROR(__xludf.DUMMYFUNCTION("""COMPUTED_VALUE"""),"0805/FTSCY/WS95271 101388000.00 Tue May 05 2026 14:00:00 GMT+0700 (Western Indonesia Time) ANDALAN YASA MITRA")</f>
        <v>0805/FTSCY/WS95271 101388000.00 Tue May 05 2026 14:00:00 GMT+0700 (Western Indonesia Time) ANDALAN YASA MITRA</v>
      </c>
      <c r="D68" s="5">
        <f>IFERROR(__xludf.DUMMYFUNCTION("""COMPUTED_VALUE"""),1.01388E8)</f>
        <v>101388000</v>
      </c>
      <c r="E68" s="5"/>
      <c r="F68" s="5" t="str">
        <f>IFERROR(__xludf.DUMMYFUNCTION("""COMPUTED_VALUE"""),"DB")</f>
        <v>DB</v>
      </c>
      <c r="G68" s="5">
        <f>IFERROR(__xludf.DUMMYFUNCTION("""COMPUTED_VALUE"""),1.4069935595000005E8)</f>
        <v>140699356</v>
      </c>
      <c r="H68" s="5"/>
      <c r="I68" s="5"/>
    </row>
    <row r="69">
      <c r="A69" s="8">
        <f>IFERROR(__xludf.DUMMYFUNCTION("""COMPUTED_VALUE"""),46150.0)</f>
        <v>46150</v>
      </c>
      <c r="B69" s="5" t="str">
        <f>IFERROR(__xludf.DUMMYFUNCTION("""COMPUTED_VALUE"""),"TRSF E-BANKING DB")</f>
        <v>TRSF E-BANKING DB</v>
      </c>
      <c r="C69" s="5" t="str">
        <f>IFERROR(__xludf.DUMMYFUNCTION("""COMPUTED_VALUE"""),"0805/FTSCY/WS95271 100803200.00 Tue May 05 2026 14:00:00 GMT+0700 (Western Indonesia Time) BROILER MAKMUR TAN")</f>
        <v>0805/FTSCY/WS95271 100803200.00 Tue May 05 2026 14:00:00 GMT+0700 (Western Indonesia Time) BROILER MAKMUR TAN</v>
      </c>
      <c r="D69" s="5">
        <f>IFERROR(__xludf.DUMMYFUNCTION("""COMPUTED_VALUE"""),1.008032E8)</f>
        <v>100803200</v>
      </c>
      <c r="E69" s="5"/>
      <c r="F69" s="5" t="str">
        <f>IFERROR(__xludf.DUMMYFUNCTION("""COMPUTED_VALUE"""),"DB")</f>
        <v>DB</v>
      </c>
      <c r="G69" s="5">
        <f>IFERROR(__xludf.DUMMYFUNCTION("""COMPUTED_VALUE"""),3.989615595000005E7)</f>
        <v>39896155.95</v>
      </c>
      <c r="H69" s="5"/>
      <c r="I69" s="5"/>
    </row>
    <row r="70">
      <c r="A70" s="8">
        <f>IFERROR(__xludf.DUMMYFUNCTION("""COMPUTED_VALUE"""),46150.0)</f>
        <v>46150</v>
      </c>
      <c r="B70" s="5" t="str">
        <f>IFERROR(__xludf.DUMMYFUNCTION("""COMPUTED_VALUE"""),"TRSF E-BANKING DB")</f>
        <v>TRSF E-BANKING DB</v>
      </c>
      <c r="C70" s="5" t="str">
        <f>IFERROR(__xludf.DUMMYFUNCTION("""COMPUTED_VALUE"""),"0805/FTSCY/WS95031 54600000.00 Tue May 05 2026 14:00:00 GMT+0700 (Western Indonesia Time) SUPER UNGGAS JAYA")</f>
        <v>0805/FTSCY/WS95031 54600000.00 Tue May 05 2026 14:00:00 GMT+0700 (Western Indonesia Time) SUPER UNGGAS JAYA</v>
      </c>
      <c r="D70" s="5">
        <f>IFERROR(__xludf.DUMMYFUNCTION("""COMPUTED_VALUE"""),5.46E7)</f>
        <v>54600000</v>
      </c>
      <c r="E70" s="5"/>
      <c r="F70" s="5" t="str">
        <f>IFERROR(__xludf.DUMMYFUNCTION("""COMPUTED_VALUE"""),"DB")</f>
        <v>DB</v>
      </c>
      <c r="G70" s="5">
        <f>IFERROR(__xludf.DUMMYFUNCTION("""COMPUTED_VALUE"""),1.4889615595000005E8)</f>
        <v>148896156</v>
      </c>
      <c r="H70" s="5"/>
      <c r="I70" s="5"/>
    </row>
    <row r="71">
      <c r="A71" s="8">
        <f>IFERROR(__xludf.DUMMYFUNCTION("""COMPUTED_VALUE"""),46150.0)</f>
        <v>46150</v>
      </c>
      <c r="B71" s="5" t="str">
        <f>IFERROR(__xludf.DUMMYFUNCTION("""COMPUTED_VALUE"""),"TRSF E-BANKING DB")</f>
        <v>TRSF E-BANKING DB</v>
      </c>
      <c r="C71" s="5" t="str">
        <f>IFERROR(__xludf.DUMMYFUNCTION("""COMPUTED_VALUE"""),"0805/FTSCY/WS95031 3060240.00 NURHAYATI")</f>
        <v>0805/FTSCY/WS95031 3060240.00 NURHAYATI</v>
      </c>
      <c r="D71" s="5">
        <f>IFERROR(__xludf.DUMMYFUNCTION("""COMPUTED_VALUE"""),3060240.0)</f>
        <v>3060240</v>
      </c>
      <c r="E71" s="5"/>
      <c r="F71" s="5" t="str">
        <f>IFERROR(__xludf.DUMMYFUNCTION("""COMPUTED_VALUE"""),"DB")</f>
        <v>DB</v>
      </c>
      <c r="G71" s="5">
        <f>IFERROR(__xludf.DUMMYFUNCTION("""COMPUTED_VALUE"""),1.4583591595000005E8)</f>
        <v>145835916</v>
      </c>
      <c r="H71" s="5"/>
      <c r="I71" s="5"/>
    </row>
    <row r="72">
      <c r="A72" s="8">
        <f>IFERROR(__xludf.DUMMYFUNCTION("""COMPUTED_VALUE"""),46150.0)</f>
        <v>46150</v>
      </c>
      <c r="B72" s="5" t="str">
        <f>IFERROR(__xludf.DUMMYFUNCTION("""COMPUTED_VALUE"""),"TRSF E-BANKING DB")</f>
        <v>TRSF E-BANKING DB</v>
      </c>
      <c r="C72" s="5" t="str">
        <f>IFERROR(__xludf.DUMMYFUNCTION("""COMPUTED_VALUE"""),"0805/FTSCY/WS95031 1213400.00 SUPRIYADI")</f>
        <v>0805/FTSCY/WS95031 1213400.00 SUPRIYADI</v>
      </c>
      <c r="D72" s="5">
        <f>IFERROR(__xludf.DUMMYFUNCTION("""COMPUTED_VALUE"""),1213400.0)</f>
        <v>1213400</v>
      </c>
      <c r="E72" s="5"/>
      <c r="F72" s="5" t="str">
        <f>IFERROR(__xludf.DUMMYFUNCTION("""COMPUTED_VALUE"""),"DB")</f>
        <v>DB</v>
      </c>
      <c r="G72" s="5">
        <f>IFERROR(__xludf.DUMMYFUNCTION("""COMPUTED_VALUE"""),1.4462251595000005E8)</f>
        <v>144622516</v>
      </c>
      <c r="H72" s="5"/>
      <c r="I72" s="5"/>
    </row>
    <row r="73">
      <c r="A73" s="8">
        <f>IFERROR(__xludf.DUMMYFUNCTION("""COMPUTED_VALUE"""),46150.0)</f>
        <v>46150</v>
      </c>
      <c r="B73" s="5" t="str">
        <f>IFERROR(__xludf.DUMMYFUNCTION("""COMPUTED_VALUE"""),"TRSF E-BANKING DB")</f>
        <v>TRSF E-BANKING DB</v>
      </c>
      <c r="C73" s="5" t="str">
        <f>IFERROR(__xludf.DUMMYFUNCTION("""COMPUTED_VALUE"""),"0805/FTSCY/WS95031 1000000.00 tot. 2.5 jt SUNARTO")</f>
        <v>0805/FTSCY/WS95031 1000000.00 tot. 2.5 jt SUNARTO</v>
      </c>
      <c r="D73" s="5">
        <f>IFERROR(__xludf.DUMMYFUNCTION("""COMPUTED_VALUE"""),1000000.0)</f>
        <v>1000000</v>
      </c>
      <c r="E73" s="5"/>
      <c r="F73" s="5" t="str">
        <f>IFERROR(__xludf.DUMMYFUNCTION("""COMPUTED_VALUE"""),"DB")</f>
        <v>DB</v>
      </c>
      <c r="G73" s="5">
        <f>IFERROR(__xludf.DUMMYFUNCTION("""COMPUTED_VALUE"""),1.4362251595000005E8)</f>
        <v>143622516</v>
      </c>
      <c r="H73" s="5"/>
      <c r="I73" s="5"/>
    </row>
    <row r="74">
      <c r="A74" s="8">
        <f>IFERROR(__xludf.DUMMYFUNCTION("""COMPUTED_VALUE"""),46150.0)</f>
        <v>46150</v>
      </c>
      <c r="B74" s="5" t="str">
        <f>IFERROR(__xludf.DUMMYFUNCTION("""COMPUTED_VALUE"""),"KARTU DEBIT")</f>
        <v>KARTU DEBIT</v>
      </c>
      <c r="C74" s="5" t="str">
        <f>IFERROR(__xludf.DUMMYFUNCTION("""COMPUTED_VALUE"""),"ALFAMRT Y207 BRTN 6019009510239343")</f>
        <v>ALFAMRT Y207 BRTN 6019009510239343</v>
      </c>
      <c r="D74" s="5">
        <f>IFERROR(__xludf.DUMMYFUNCTION("""COMPUTED_VALUE"""),600800.0)</f>
        <v>600800</v>
      </c>
      <c r="E74" s="5"/>
      <c r="F74" s="5"/>
      <c r="G74" s="5">
        <f>IFERROR(__xludf.DUMMYFUNCTION("""COMPUTED_VALUE"""),1.4302171595000005E8)</f>
        <v>143021716</v>
      </c>
      <c r="H74" s="5"/>
      <c r="I74" s="5"/>
    </row>
    <row r="75">
      <c r="A75" s="8">
        <f>IFERROR(__xludf.DUMMYFUNCTION("""COMPUTED_VALUE"""),46150.0)</f>
        <v>46150</v>
      </c>
      <c r="B75" s="5" t="str">
        <f>IFERROR(__xludf.DUMMYFUNCTION("""COMPUTED_VALUE"""),"TRSF E-BANKING DB")</f>
        <v>TRSF E-BANKING DB</v>
      </c>
      <c r="C75" s="5" t="str">
        <f>IFERROR(__xludf.DUMMYFUNCTION("""COMPUTED_VALUE"""),"0805/FTFVA/WS95031 55569/PT PRIMA FAJ 7 ton pasuruan - 40190")</f>
        <v>0805/FTFVA/WS95031 55569/PT PRIMA FAJ 7 ton pasuruan - 40190</v>
      </c>
      <c r="D75" s="5">
        <f>IFERROR(__xludf.DUMMYFUNCTION("""COMPUTED_VALUE"""),1.274E8)</f>
        <v>127400000</v>
      </c>
      <c r="E75" s="5"/>
      <c r="F75" s="5" t="str">
        <f>IFERROR(__xludf.DUMMYFUNCTION("""COMPUTED_VALUE"""),"DB")</f>
        <v>DB</v>
      </c>
      <c r="G75" s="5">
        <f>IFERROR(__xludf.DUMMYFUNCTION("""COMPUTED_VALUE"""),1.5621715950000048E7)</f>
        <v>15621715.95</v>
      </c>
      <c r="H75" s="5"/>
      <c r="I75" s="5"/>
    </row>
    <row r="76">
      <c r="A76" s="8">
        <f>IFERROR(__xludf.DUMMYFUNCTION("""COMPUTED_VALUE"""),46150.0)</f>
        <v>46150</v>
      </c>
      <c r="B76" s="5" t="str">
        <f>IFERROR(__xludf.DUMMYFUNCTION("""COMPUTED_VALUE"""),"TRSF E-BANKING DB")</f>
        <v>TRSF E-BANKING DB</v>
      </c>
      <c r="C76" s="5" t="str">
        <f>IFERROR(__xludf.DUMMYFUNCTION("""COMPUTED_VALUE"""),"0805/FTSCY/WS95271 65000000.00 titip SUGENG RIADI")</f>
        <v>0805/FTSCY/WS95271 65000000.00 titip SUGENG RIADI</v>
      </c>
      <c r="D76" s="5">
        <f>IFERROR(__xludf.DUMMYFUNCTION("""COMPUTED_VALUE"""),6.5E7)</f>
        <v>65000000</v>
      </c>
      <c r="E76" s="5"/>
      <c r="F76" s="5" t="str">
        <f>IFERROR(__xludf.DUMMYFUNCTION("""COMPUTED_VALUE"""),"DB")</f>
        <v>DB</v>
      </c>
      <c r="G76" s="5">
        <f>IFERROR(__xludf.DUMMYFUNCTION("""COMPUTED_VALUE"""),5.482021595000005E7)</f>
        <v>54820215.95</v>
      </c>
      <c r="H76" s="5">
        <f>IFERROR(__xludf.DUMMYFUNCTION("""COMPUTED_VALUE"""),5.482021595E7)</f>
        <v>54820215.95</v>
      </c>
      <c r="I76" s="5"/>
    </row>
    <row r="77">
      <c r="A77" s="8">
        <f>IFERROR(__xludf.DUMMYFUNCTION("""COMPUTED_VALUE"""),46151.0)</f>
        <v>46151</v>
      </c>
      <c r="B77" s="5" t="str">
        <f>IFERROR(__xludf.DUMMYFUNCTION("""COMPUTED_VALUE"""),"TRSF E-BANKING DB TANGGAL :08/05")</f>
        <v>TRSF E-BANKING DB TANGGAL :08/05</v>
      </c>
      <c r="C77" s="5" t="str">
        <f>IFERROR(__xludf.DUMMYFUNCTION("""COMPUTED_VALUE"""),"0805/FTSCY/WS95011 Thu May 07 2026 14:00:00 GMT+0700 (Western Indonesia Time) TUMBUH OPTIMAL PRI")</f>
        <v>0805/FTSCY/WS95011 Thu May 07 2026 14:00:00 GMT+0700 (Western Indonesia Time) TUMBUH OPTIMAL PRI</v>
      </c>
      <c r="D77" s="5">
        <f>IFERROR(__xludf.DUMMYFUNCTION("""COMPUTED_VALUE"""),5.6E7)</f>
        <v>56000000</v>
      </c>
      <c r="E77" s="5"/>
      <c r="F77" s="5" t="str">
        <f>IFERROR(__xludf.DUMMYFUNCTION("""COMPUTED_VALUE"""),"DB")</f>
        <v>DB</v>
      </c>
      <c r="G77" s="5">
        <f>IFERROR(__xludf.DUMMYFUNCTION("""COMPUTED_VALUE"""),820215.9500000477)</f>
        <v>820215.95</v>
      </c>
      <c r="H77" s="5"/>
      <c r="I77" s="5"/>
    </row>
    <row r="78">
      <c r="A78" s="8">
        <f>IFERROR(__xludf.DUMMYFUNCTION("""COMPUTED_VALUE"""),46151.0)</f>
        <v>46151</v>
      </c>
      <c r="B78" s="5" t="str">
        <f>IFERROR(__xludf.DUMMYFUNCTION("""COMPUTED_VALUE"""),"TRSF E-BANKING DB")</f>
        <v>TRSF E-BANKING DB</v>
      </c>
      <c r="C78" s="5" t="str">
        <f>IFERROR(__xludf.DUMMYFUNCTION("""COMPUTED_VALUE"""),"0905/FTSCY/WS95271 550000.00 MUHAMMAD HAIRUL MA")</f>
        <v>0905/FTSCY/WS95271 550000.00 MUHAMMAD HAIRUL MA</v>
      </c>
      <c r="D78" s="5">
        <f>IFERROR(__xludf.DUMMYFUNCTION("""COMPUTED_VALUE"""),550000.0)</f>
        <v>550000</v>
      </c>
      <c r="E78" s="5"/>
      <c r="F78" s="5" t="str">
        <f>IFERROR(__xludf.DUMMYFUNCTION("""COMPUTED_VALUE"""),"DB")</f>
        <v>DB</v>
      </c>
      <c r="G78" s="5">
        <f>IFERROR(__xludf.DUMMYFUNCTION("""COMPUTED_VALUE"""),270215.9500000477)</f>
        <v>270215.95</v>
      </c>
      <c r="H78" s="5"/>
      <c r="I78" s="5"/>
    </row>
    <row r="79">
      <c r="A79" s="8">
        <f>IFERROR(__xludf.DUMMYFUNCTION("""COMPUTED_VALUE"""),46151.0)</f>
        <v>46151</v>
      </c>
      <c r="B79" s="5" t="str">
        <f>IFERROR(__xludf.DUMMYFUNCTION("""COMPUTED_VALUE"""),"BI-FAST DB")</f>
        <v>BI-FAST DB</v>
      </c>
      <c r="C79" s="5" t="str">
        <f>IFERROR(__xludf.DUMMYFUNCTION("""COMPUTED_VALUE"""),"BIF TRANSFER KE 2 PT BPR LESTARI NUS M-BCA")</f>
        <v>BIF TRANSFER KE 2 PT BPR LESTARI NUS M-BCA</v>
      </c>
      <c r="D79" s="5">
        <f>IFERROR(__xludf.DUMMYFUNCTION("""COMPUTED_VALUE"""),720000.0)</f>
        <v>720000</v>
      </c>
      <c r="E79" s="5"/>
      <c r="F79" s="5" t="str">
        <f>IFERROR(__xludf.DUMMYFUNCTION("""COMPUTED_VALUE"""),"DB")</f>
        <v>DB</v>
      </c>
      <c r="G79" s="5">
        <f>IFERROR(__xludf.DUMMYFUNCTION("""COMPUTED_VALUE"""),7.760561595000005E7)</f>
        <v>77605615.95</v>
      </c>
      <c r="H79" s="5">
        <f>IFERROR(__xludf.DUMMYFUNCTION("""COMPUTED_VALUE"""),7.760561595E7)</f>
        <v>77605615.95</v>
      </c>
      <c r="I79" s="5"/>
    </row>
    <row r="80">
      <c r="A80" s="8">
        <f>IFERROR(__xludf.DUMMYFUNCTION("""COMPUTED_VALUE"""),46151.0)</f>
        <v>46151</v>
      </c>
      <c r="B80" s="5" t="str">
        <f>IFERROR(__xludf.DUMMYFUNCTION("""COMPUTED_VALUE"""),"BI-FAST DB")</f>
        <v>BI-FAST DB</v>
      </c>
      <c r="C80" s="5" t="str">
        <f>IFERROR(__xludf.DUMMYFUNCTION("""COMPUTED_VALUE"""),"BIF BIAYA TXN KE 2 PT BPR LESTARI NUS M-BCA")</f>
        <v>BIF BIAYA TXN KE 2 PT BPR LESTARI NUS M-BCA</v>
      </c>
      <c r="D80" s="5">
        <f>IFERROR(__xludf.DUMMYFUNCTION("""COMPUTED_VALUE"""),2500.0)</f>
        <v>2500</v>
      </c>
      <c r="E80" s="5"/>
      <c r="F80" s="5" t="str">
        <f>IFERROR(__xludf.DUMMYFUNCTION("""COMPUTED_VALUE"""),"DB")</f>
        <v>DB</v>
      </c>
      <c r="G80" s="5">
        <f>IFERROR(__xludf.DUMMYFUNCTION("""COMPUTED_VALUE"""),7.760311595000005E7)</f>
        <v>77603115.95</v>
      </c>
      <c r="H80" s="5">
        <f>IFERROR(__xludf.DUMMYFUNCTION("""COMPUTED_VALUE"""),7.760311595E7)</f>
        <v>77603115.95</v>
      </c>
      <c r="I80" s="5"/>
    </row>
    <row r="81">
      <c r="A81" s="8">
        <f>IFERROR(__xludf.DUMMYFUNCTION("""COMPUTED_VALUE"""),46151.0)</f>
        <v>46151</v>
      </c>
      <c r="B81" s="5" t="str">
        <f>IFERROR(__xludf.DUMMYFUNCTION("""COMPUTED_VALUE"""),"TRSF E-BANKING DB")</f>
        <v>TRSF E-BANKING DB</v>
      </c>
      <c r="C81" s="5" t="str">
        <f>IFERROR(__xludf.DUMMYFUNCTION("""COMPUTED_VALUE"""),"0905/FTSCY/WS95031 48588100.00 lunas SUGENG RIADI")</f>
        <v>0905/FTSCY/WS95031 48588100.00 lunas SUGENG RIADI</v>
      </c>
      <c r="D81" s="5">
        <f>IFERROR(__xludf.DUMMYFUNCTION("""COMPUTED_VALUE"""),4.85881E7)</f>
        <v>48588100</v>
      </c>
      <c r="E81" s="5"/>
      <c r="F81" s="5" t="str">
        <f>IFERROR(__xludf.DUMMYFUNCTION("""COMPUTED_VALUE"""),"DB")</f>
        <v>DB</v>
      </c>
      <c r="G81" s="5">
        <f>IFERROR(__xludf.DUMMYFUNCTION("""COMPUTED_VALUE"""),2.0702357595000005E8)</f>
        <v>207023576</v>
      </c>
      <c r="H81" s="5"/>
      <c r="I81" s="5"/>
    </row>
    <row r="82">
      <c r="A82" s="8">
        <f>IFERROR(__xludf.DUMMYFUNCTION("""COMPUTED_VALUE"""),46151.0)</f>
        <v>46151</v>
      </c>
      <c r="B82" s="5" t="str">
        <f>IFERROR(__xludf.DUMMYFUNCTION("""COMPUTED_VALUE"""),"TRSF E-BANKING DB")</f>
        <v>TRSF E-BANKING DB</v>
      </c>
      <c r="C82" s="5" t="str">
        <f>IFERROR(__xludf.DUMMYFUNCTION("""COMPUTED_VALUE"""),"0905/FTSCY/WS95271 56100000.00 ponorogo 3 ton UNGGAS MANDIRI BER")</f>
        <v>0905/FTSCY/WS95271 56100000.00 ponorogo 3 ton UNGGAS MANDIRI BER</v>
      </c>
      <c r="D82" s="5">
        <f>IFERROR(__xludf.DUMMYFUNCTION("""COMPUTED_VALUE"""),5.61E7)</f>
        <v>56100000</v>
      </c>
      <c r="E82" s="5"/>
      <c r="F82" s="5" t="str">
        <f>IFERROR(__xludf.DUMMYFUNCTION("""COMPUTED_VALUE"""),"DB")</f>
        <v>DB</v>
      </c>
      <c r="G82" s="5">
        <f>IFERROR(__xludf.DUMMYFUNCTION("""COMPUTED_VALUE"""),1.5092357595000005E8)</f>
        <v>150923576</v>
      </c>
      <c r="H82" s="5"/>
      <c r="I82" s="5"/>
    </row>
    <row r="83">
      <c r="A83" s="8">
        <f>IFERROR(__xludf.DUMMYFUNCTION("""COMPUTED_VALUE"""),46151.0)</f>
        <v>46151</v>
      </c>
      <c r="B83" s="5" t="str">
        <f>IFERROR(__xludf.DUMMYFUNCTION("""COMPUTED_VALUE"""),"KARTU DEBIT")</f>
        <v>KARTU DEBIT</v>
      </c>
      <c r="C83" s="5" t="str">
        <f>IFERROR(__xludf.DUMMYFUNCTION("""COMPUTED_VALUE"""),"ALFAMRT Y073 SUDI 6019009510239343")</f>
        <v>ALFAMRT Y073 SUDI 6019009510239343</v>
      </c>
      <c r="D83" s="5">
        <f>IFERROR(__xludf.DUMMYFUNCTION("""COMPUTED_VALUE"""),161600.0)</f>
        <v>161600</v>
      </c>
      <c r="E83" s="5"/>
      <c r="F83" s="5"/>
      <c r="G83" s="5">
        <f>IFERROR(__xludf.DUMMYFUNCTION("""COMPUTED_VALUE"""),2.5076197595000005E8)</f>
        <v>250761976</v>
      </c>
      <c r="H83" s="5"/>
      <c r="I83" s="5"/>
    </row>
    <row r="84">
      <c r="A84" s="8">
        <f>IFERROR(__xludf.DUMMYFUNCTION("""COMPUTED_VALUE"""),46151.0)</f>
        <v>46151</v>
      </c>
      <c r="B84" s="5" t="str">
        <f>IFERROR(__xludf.DUMMYFUNCTION("""COMPUTED_VALUE"""),"TRSF E-BANKING DB")</f>
        <v>TRSF E-BANKING DB</v>
      </c>
      <c r="C84" s="5" t="str">
        <f>IFERROR(__xludf.DUMMYFUNCTION("""COMPUTED_VALUE"""),"0905/FTSCY/WS95031 1048300.00 SUNARTO")</f>
        <v>0905/FTSCY/WS95031 1048300.00 SUNARTO</v>
      </c>
      <c r="D84" s="5">
        <f>IFERROR(__xludf.DUMMYFUNCTION("""COMPUTED_VALUE"""),1048300.0)</f>
        <v>1048300</v>
      </c>
      <c r="E84" s="5"/>
      <c r="F84" s="5" t="str">
        <f>IFERROR(__xludf.DUMMYFUNCTION("""COMPUTED_VALUE"""),"DB")</f>
        <v>DB</v>
      </c>
      <c r="G84" s="5">
        <f>IFERROR(__xludf.DUMMYFUNCTION("""COMPUTED_VALUE"""),2.4971367595000005E8)</f>
        <v>249713676</v>
      </c>
      <c r="H84" s="5"/>
      <c r="I84" s="5"/>
    </row>
    <row r="85">
      <c r="A85" s="8">
        <f>IFERROR(__xludf.DUMMYFUNCTION("""COMPUTED_VALUE"""),46151.0)</f>
        <v>46151</v>
      </c>
      <c r="B85" s="5" t="str">
        <f>IFERROR(__xludf.DUMMYFUNCTION("""COMPUTED_VALUE"""),"TRSF E-BANKING DB")</f>
        <v>TRSF E-BANKING DB</v>
      </c>
      <c r="C85" s="5" t="str">
        <f>IFERROR(__xludf.DUMMYFUNCTION("""COMPUTED_VALUE"""),"0905/FTFVA/WS95031 55569/PT PRIMA FAJ 9.2 ton pasuruan - 40190")</f>
        <v>0905/FTFVA/WS95031 55569/PT PRIMA FAJ 9.2 ton pasuruan - 40190</v>
      </c>
      <c r="D85" s="5">
        <f>IFERROR(__xludf.DUMMYFUNCTION("""COMPUTED_VALUE"""),1.748E8)</f>
        <v>174800000</v>
      </c>
      <c r="E85" s="5"/>
      <c r="F85" s="5" t="str">
        <f>IFERROR(__xludf.DUMMYFUNCTION("""COMPUTED_VALUE"""),"DB")</f>
        <v>DB</v>
      </c>
      <c r="G85" s="5">
        <f>IFERROR(__xludf.DUMMYFUNCTION("""COMPUTED_VALUE"""),7.491367595000005E7)</f>
        <v>74913675.95</v>
      </c>
      <c r="H85" s="5"/>
      <c r="I85" s="5"/>
    </row>
    <row r="86">
      <c r="A86" s="8">
        <f>IFERROR(__xludf.DUMMYFUNCTION("""COMPUTED_VALUE"""),46151.0)</f>
        <v>46151</v>
      </c>
      <c r="B86" s="5" t="str">
        <f>IFERROR(__xludf.DUMMYFUNCTION("""COMPUTED_VALUE"""),"TRSF E-BANKING DB")</f>
        <v>TRSF E-BANKING DB</v>
      </c>
      <c r="C86" s="5" t="str">
        <f>IFERROR(__xludf.DUMMYFUNCTION("""COMPUTED_VALUE"""),"0905/FTSCY/WS95031 2000000.00 SANDI FAJAR PRASET")</f>
        <v>0905/FTSCY/WS95031 2000000.00 SANDI FAJAR PRASET</v>
      </c>
      <c r="D86" s="5">
        <f>IFERROR(__xludf.DUMMYFUNCTION("""COMPUTED_VALUE"""),2000000.0)</f>
        <v>2000000</v>
      </c>
      <c r="E86" s="5"/>
      <c r="F86" s="5" t="str">
        <f>IFERROR(__xludf.DUMMYFUNCTION("""COMPUTED_VALUE"""),"DB")</f>
        <v>DB</v>
      </c>
      <c r="G86" s="5">
        <f>IFERROR(__xludf.DUMMYFUNCTION("""COMPUTED_VALUE"""),3.4027888595000005E8)</f>
        <v>340278886</v>
      </c>
      <c r="H86" s="5">
        <f>IFERROR(__xludf.DUMMYFUNCTION("""COMPUTED_VALUE"""),3.4027888595E8)</f>
        <v>340278886</v>
      </c>
      <c r="I86" s="5"/>
    </row>
    <row r="87">
      <c r="A87" s="8">
        <f>IFERROR(__xludf.DUMMYFUNCTION("""COMPUTED_VALUE"""),46152.0)</f>
        <v>46152</v>
      </c>
      <c r="B87" s="5" t="str">
        <f>IFERROR(__xludf.DUMMYFUNCTION("""COMPUTED_VALUE"""),"TRSF E-BANKING DB TANGGAL :09/05")</f>
        <v>TRSF E-BANKING DB TANGGAL :09/05</v>
      </c>
      <c r="C87" s="5" t="str">
        <f>IFERROR(__xludf.DUMMYFUNCTION("""COMPUTED_VALUE"""),"0905/FTSCY/WS95271 Thu May 07 2026 14:00:00 GMT+0700 (Western Indonesia Time) SUPER UNGGAS JAYA")</f>
        <v>0905/FTSCY/WS95271 Thu May 07 2026 14:00:00 GMT+0700 (Western Indonesia Time) SUPER UNGGAS JAYA</v>
      </c>
      <c r="D87" s="5">
        <f>IFERROR(__xludf.DUMMYFUNCTION("""COMPUTED_VALUE"""),1.05448E8)</f>
        <v>105448000</v>
      </c>
      <c r="E87" s="5"/>
      <c r="F87" s="5" t="str">
        <f>IFERROR(__xludf.DUMMYFUNCTION("""COMPUTED_VALUE"""),"DB")</f>
        <v>DB</v>
      </c>
      <c r="G87" s="5">
        <f>IFERROR(__xludf.DUMMYFUNCTION("""COMPUTED_VALUE"""),2.3483088595000005E8)</f>
        <v>234830886</v>
      </c>
      <c r="H87" s="5"/>
      <c r="I87" s="5"/>
    </row>
    <row r="88">
      <c r="A88" s="8">
        <f>IFERROR(__xludf.DUMMYFUNCTION("""COMPUTED_VALUE"""),46152.0)</f>
        <v>46152</v>
      </c>
      <c r="B88" s="5" t="str">
        <f>IFERROR(__xludf.DUMMYFUNCTION("""COMPUTED_VALUE"""),"TRSF E-BANKING DB TANGGAL :09/05")</f>
        <v>TRSF E-BANKING DB TANGGAL :09/05</v>
      </c>
      <c r="C88" s="5" t="str">
        <f>IFERROR(__xludf.DUMMYFUNCTION("""COMPUTED_VALUE"""),"0905/FTSCY/WS95271 Thu May 07 2026 14:00:00 GMT+0700 (Western Indonesia Time) BROILER MAKMUR TAN")</f>
        <v>0905/FTSCY/WS95271 Thu May 07 2026 14:00:00 GMT+0700 (Western Indonesia Time) BROILER MAKMUR TAN</v>
      </c>
      <c r="D88" s="5">
        <f>IFERROR(__xludf.DUMMYFUNCTION("""COMPUTED_VALUE"""),1.17072E8)</f>
        <v>117072000</v>
      </c>
      <c r="E88" s="5"/>
      <c r="F88" s="5" t="str">
        <f>IFERROR(__xludf.DUMMYFUNCTION("""COMPUTED_VALUE"""),"DB")</f>
        <v>DB</v>
      </c>
      <c r="G88" s="5">
        <f>IFERROR(__xludf.DUMMYFUNCTION("""COMPUTED_VALUE"""),1.1775888595000005E8)</f>
        <v>117758886</v>
      </c>
      <c r="H88" s="5">
        <f>IFERROR(__xludf.DUMMYFUNCTION("""COMPUTED_VALUE"""),1.1775888595E8)</f>
        <v>117758886</v>
      </c>
      <c r="I88" s="5"/>
    </row>
    <row r="89">
      <c r="A89" s="8">
        <f>IFERROR(__xludf.DUMMYFUNCTION("""COMPUTED_VALUE"""),46152.0)</f>
        <v>46152</v>
      </c>
      <c r="B89" s="5" t="str">
        <f>IFERROR(__xludf.DUMMYFUNCTION("""COMPUTED_VALUE"""),"TARIKAN ATM 10/05")</f>
        <v>TARIKAN ATM 10/05</v>
      </c>
      <c r="C89" s="5" t="str">
        <f>IFERROR(__xludf.DUMMYFUNCTION("""COMPUTED_VALUE"""),"TARIKAN ATM 10/05")</f>
        <v>TARIKAN ATM 10/05</v>
      </c>
      <c r="D89" s="5">
        <f>IFERROR(__xludf.DUMMYFUNCTION("""COMPUTED_VALUE"""),300000.0)</f>
        <v>300000</v>
      </c>
      <c r="E89" s="5"/>
      <c r="F89" s="5"/>
      <c r="G89" s="5">
        <f>IFERROR(__xludf.DUMMYFUNCTION("""COMPUTED_VALUE"""),1.1745888595000005E8)</f>
        <v>117458886</v>
      </c>
      <c r="H89" s="5">
        <f>IFERROR(__xludf.DUMMYFUNCTION("""COMPUTED_VALUE"""),1.1745888595E8)</f>
        <v>117458886</v>
      </c>
      <c r="I89" s="5"/>
    </row>
    <row r="90">
      <c r="A90" s="8">
        <f>IFERROR(__xludf.DUMMYFUNCTION("""COMPUTED_VALUE"""),46152.0)</f>
        <v>46152</v>
      </c>
      <c r="B90" s="5" t="str">
        <f>IFERROR(__xludf.DUMMYFUNCTION("""COMPUTED_VALUE"""),"TRSF E-BANKING DB")</f>
        <v>TRSF E-BANKING DB</v>
      </c>
      <c r="C90" s="5" t="str">
        <f>IFERROR(__xludf.DUMMYFUNCTION("""COMPUTED_VALUE"""),"1005/FTSCY/WS95271 63000000.00 Fri May 08 2026 14:00:00 GMT+0700 (Western Indonesia Time) TUMBUH OPTIMAL PRI")</f>
        <v>1005/FTSCY/WS95271 63000000.00 Fri May 08 2026 14:00:00 GMT+0700 (Western Indonesia Time) TUMBUH OPTIMAL PRI</v>
      </c>
      <c r="D90" s="5">
        <f>IFERROR(__xludf.DUMMYFUNCTION("""COMPUTED_VALUE"""),6.3E7)</f>
        <v>63000000</v>
      </c>
      <c r="E90" s="5"/>
      <c r="F90" s="5" t="str">
        <f>IFERROR(__xludf.DUMMYFUNCTION("""COMPUTED_VALUE"""),"DB")</f>
        <v>DB</v>
      </c>
      <c r="G90" s="5">
        <f>IFERROR(__xludf.DUMMYFUNCTION("""COMPUTED_VALUE"""),5.445888595000005E7)</f>
        <v>54458885.95</v>
      </c>
      <c r="H90" s="5"/>
      <c r="I90" s="5"/>
    </row>
    <row r="91">
      <c r="A91" s="8">
        <f>IFERROR(__xludf.DUMMYFUNCTION("""COMPUTED_VALUE"""),46152.0)</f>
        <v>46152</v>
      </c>
      <c r="B91" s="5" t="str">
        <f>IFERROR(__xludf.DUMMYFUNCTION("""COMPUTED_VALUE"""),"TRSF E-BANKING DB")</f>
        <v>TRSF E-BANKING DB</v>
      </c>
      <c r="C91" s="5" t="str">
        <f>IFERROR(__xludf.DUMMYFUNCTION("""COMPUTED_VALUE"""),"1005/FTSCY/WS95271 350000.00 ANDE DOSO ANGGORO")</f>
        <v>1005/FTSCY/WS95271 350000.00 ANDE DOSO ANGGORO</v>
      </c>
      <c r="D91" s="5">
        <f>IFERROR(__xludf.DUMMYFUNCTION("""COMPUTED_VALUE"""),350000.0)</f>
        <v>350000</v>
      </c>
      <c r="E91" s="5"/>
      <c r="F91" s="5" t="str">
        <f>IFERROR(__xludf.DUMMYFUNCTION("""COMPUTED_VALUE"""),"DB")</f>
        <v>DB</v>
      </c>
      <c r="G91" s="5">
        <f>IFERROR(__xludf.DUMMYFUNCTION("""COMPUTED_VALUE"""),5.410888595000005E7)</f>
        <v>54108885.95</v>
      </c>
      <c r="H91" s="5"/>
      <c r="I91" s="5"/>
    </row>
    <row r="92">
      <c r="A92" s="8">
        <f>IFERROR(__xludf.DUMMYFUNCTION("""COMPUTED_VALUE"""),46152.0)</f>
        <v>46152</v>
      </c>
      <c r="B92" s="5" t="str">
        <f>IFERROR(__xludf.DUMMYFUNCTION("""COMPUTED_VALUE"""),"TRSF E-BANKING DB")</f>
        <v>TRSF E-BANKING DB</v>
      </c>
      <c r="C92" s="5" t="str">
        <f>IFERROR(__xludf.DUMMYFUNCTION("""COMPUTED_VALUE"""),"1005/FTSCY/WS95031 53474650.00 krg 255 jt GANESHA SATRIA NUS")</f>
        <v>1005/FTSCY/WS95031 53474650.00 krg 255 jt GANESHA SATRIA NUS</v>
      </c>
      <c r="D92" s="5">
        <f>IFERROR(__xludf.DUMMYFUNCTION("""COMPUTED_VALUE"""),5.347465E7)</f>
        <v>53474650</v>
      </c>
      <c r="E92" s="5"/>
      <c r="F92" s="5" t="str">
        <f>IFERROR(__xludf.DUMMYFUNCTION("""COMPUTED_VALUE"""),"DB")</f>
        <v>DB</v>
      </c>
      <c r="G92" s="5">
        <f>IFERROR(__xludf.DUMMYFUNCTION("""COMPUTED_VALUE"""),1634235.9500000477)</f>
        <v>1634235.95</v>
      </c>
      <c r="H92" s="5"/>
      <c r="I92" s="5"/>
    </row>
    <row r="93">
      <c r="A93" s="8">
        <f>IFERROR(__xludf.DUMMYFUNCTION("""COMPUTED_VALUE"""),46152.0)</f>
        <v>46152</v>
      </c>
      <c r="B93" s="5" t="str">
        <f>IFERROR(__xludf.DUMMYFUNCTION("""COMPUTED_VALUE"""),"TRSF E-BANKING DB")</f>
        <v>TRSF E-BANKING DB</v>
      </c>
      <c r="C93" s="5" t="str">
        <f>IFERROR(__xludf.DUMMYFUNCTION("""COMPUTED_VALUE"""),"1005/FTSCY/WS95031 1200000.00 SUPRIYADI")</f>
        <v>1005/FTSCY/WS95031 1200000.00 SUPRIYADI</v>
      </c>
      <c r="D93" s="5">
        <f>IFERROR(__xludf.DUMMYFUNCTION("""COMPUTED_VALUE"""),1200000.0)</f>
        <v>1200000</v>
      </c>
      <c r="E93" s="5"/>
      <c r="F93" s="5" t="str">
        <f>IFERROR(__xludf.DUMMYFUNCTION("""COMPUTED_VALUE"""),"DB")</f>
        <v>DB</v>
      </c>
      <c r="G93" s="5">
        <f>IFERROR(__xludf.DUMMYFUNCTION("""COMPUTED_VALUE"""),434235.9500000477)</f>
        <v>434235.95</v>
      </c>
      <c r="H93" s="5"/>
      <c r="I93" s="5"/>
    </row>
    <row r="94">
      <c r="A94" s="8">
        <f>IFERROR(__xludf.DUMMYFUNCTION("""COMPUTED_VALUE"""),46152.0)</f>
        <v>46152</v>
      </c>
      <c r="B94" s="5" t="str">
        <f>IFERROR(__xludf.DUMMYFUNCTION("""COMPUTED_VALUE"""),"TRSF E-BANKING DB")</f>
        <v>TRSF E-BANKING DB</v>
      </c>
      <c r="C94" s="5" t="str">
        <f>IFERROR(__xludf.DUMMYFUNCTION("""COMPUTED_VALUE"""),"1005/FTSCY/WS95011 255000000.00 pelunasan GANESHA SATRIA NUS")</f>
        <v>1005/FTSCY/WS95011 255000000.00 pelunasan GANESHA SATRIA NUS</v>
      </c>
      <c r="D94" s="5">
        <f>IFERROR(__xludf.DUMMYFUNCTION("""COMPUTED_VALUE"""),2.55E8)</f>
        <v>255000000</v>
      </c>
      <c r="E94" s="5"/>
      <c r="F94" s="5" t="str">
        <f>IFERROR(__xludf.DUMMYFUNCTION("""COMPUTED_VALUE"""),"DB")</f>
        <v>DB</v>
      </c>
      <c r="G94" s="5">
        <f>IFERROR(__xludf.DUMMYFUNCTION("""COMPUTED_VALUE"""),2.1639905950000048E7)</f>
        <v>21639905.95</v>
      </c>
      <c r="H94" s="5"/>
      <c r="I94" s="5"/>
    </row>
    <row r="95">
      <c r="A95" s="8">
        <f>IFERROR(__xludf.DUMMYFUNCTION("""COMPUTED_VALUE"""),46152.0)</f>
        <v>46152</v>
      </c>
      <c r="B95" s="5" t="str">
        <f>IFERROR(__xludf.DUMMYFUNCTION("""COMPUTED_VALUE"""),"TRSF E-BANKING DB")</f>
        <v>TRSF E-BANKING DB</v>
      </c>
      <c r="C95" s="5" t="str">
        <f>IFERROR(__xludf.DUMMYFUNCTION("""COMPUTED_VALUE"""),"1005/FTSCY/WS95031 5435700.00 MUJIANTO")</f>
        <v>1005/FTSCY/WS95031 5435700.00 MUJIANTO</v>
      </c>
      <c r="D95" s="5">
        <f>IFERROR(__xludf.DUMMYFUNCTION("""COMPUTED_VALUE"""),5435700.0)</f>
        <v>5435700</v>
      </c>
      <c r="E95" s="5"/>
      <c r="F95" s="5" t="str">
        <f>IFERROR(__xludf.DUMMYFUNCTION("""COMPUTED_VALUE"""),"DB")</f>
        <v>DB</v>
      </c>
      <c r="G95" s="5">
        <f>IFERROR(__xludf.DUMMYFUNCTION("""COMPUTED_VALUE"""),1.6204205950000048E7)</f>
        <v>16204205.95</v>
      </c>
      <c r="H95" s="5"/>
      <c r="I95" s="5"/>
    </row>
    <row r="96">
      <c r="A96" s="8">
        <f>IFERROR(__xludf.DUMMYFUNCTION("""COMPUTED_VALUE"""),46152.0)</f>
        <v>46152</v>
      </c>
      <c r="B96" s="5" t="str">
        <f>IFERROR(__xludf.DUMMYFUNCTION("""COMPUTED_VALUE"""),"TRSF E-BANKING DB")</f>
        <v>TRSF E-BANKING DB</v>
      </c>
      <c r="C96" s="5" t="str">
        <f>IFERROR(__xludf.DUMMYFUNCTION("""COMPUTED_VALUE"""),"1005/FTSCY/WS95031 2052650.00 HERMAWAN")</f>
        <v>1005/FTSCY/WS95031 2052650.00 HERMAWAN</v>
      </c>
      <c r="D96" s="5">
        <f>IFERROR(__xludf.DUMMYFUNCTION("""COMPUTED_VALUE"""),2052650.0)</f>
        <v>2052650</v>
      </c>
      <c r="E96" s="5"/>
      <c r="F96" s="5" t="str">
        <f>IFERROR(__xludf.DUMMYFUNCTION("""COMPUTED_VALUE"""),"DB")</f>
        <v>DB</v>
      </c>
      <c r="G96" s="5">
        <f>IFERROR(__xludf.DUMMYFUNCTION("""COMPUTED_VALUE"""),1.4151555950000048E7)</f>
        <v>14151555.95</v>
      </c>
      <c r="H96" s="5"/>
      <c r="I96" s="5"/>
    </row>
    <row r="97">
      <c r="A97" s="8">
        <f>IFERROR(__xludf.DUMMYFUNCTION("""COMPUTED_VALUE"""),46152.0)</f>
        <v>46152</v>
      </c>
      <c r="B97" s="5" t="str">
        <f>IFERROR(__xludf.DUMMYFUNCTION("""COMPUTED_VALUE"""),"TARIKAN ATM 10/05")</f>
        <v>TARIKAN ATM 10/05</v>
      </c>
      <c r="C97" s="5" t="str">
        <f>IFERROR(__xludf.DUMMYFUNCTION("""COMPUTED_VALUE"""),"TARIKAN ATM 10/05")</f>
        <v>TARIKAN ATM 10/05</v>
      </c>
      <c r="D97" s="5">
        <f>IFERROR(__xludf.DUMMYFUNCTION("""COMPUTED_VALUE"""),150000.0)</f>
        <v>150000</v>
      </c>
      <c r="E97" s="5"/>
      <c r="F97" s="5"/>
      <c r="G97" s="5">
        <f>IFERROR(__xludf.DUMMYFUNCTION("""COMPUTED_VALUE"""),6.924995595000005E7)</f>
        <v>69249955.95</v>
      </c>
      <c r="H97" s="5"/>
      <c r="I97" s="5"/>
    </row>
    <row r="98">
      <c r="A98" s="8">
        <f>IFERROR(__xludf.DUMMYFUNCTION("""COMPUTED_VALUE"""),46152.0)</f>
        <v>46152</v>
      </c>
      <c r="B98" s="5" t="str">
        <f>IFERROR(__xludf.DUMMYFUNCTION("""COMPUTED_VALUE"""),"TRSF E-BANKING DB")</f>
        <v>TRSF E-BANKING DB</v>
      </c>
      <c r="C98" s="5" t="str">
        <f>IFERROR(__xludf.DUMMYFUNCTION("""COMPUTED_VALUE"""),"1005/FTSCY/WS95031 3000000.00 NURUL AINI")</f>
        <v>1005/FTSCY/WS95031 3000000.00 NURUL AINI</v>
      </c>
      <c r="D98" s="5">
        <f>IFERROR(__xludf.DUMMYFUNCTION("""COMPUTED_VALUE"""),3000000.0)</f>
        <v>3000000</v>
      </c>
      <c r="E98" s="5"/>
      <c r="F98" s="5" t="str">
        <f>IFERROR(__xludf.DUMMYFUNCTION("""COMPUTED_VALUE"""),"DB")</f>
        <v>DB</v>
      </c>
      <c r="G98" s="5">
        <f>IFERROR(__xludf.DUMMYFUNCTION("""COMPUTED_VALUE"""),1.2547487595000005E8)</f>
        <v>125474876</v>
      </c>
      <c r="H98" s="5"/>
      <c r="I98" s="5"/>
    </row>
    <row r="99">
      <c r="A99" s="8">
        <f>IFERROR(__xludf.DUMMYFUNCTION("""COMPUTED_VALUE"""),46152.0)</f>
        <v>46152</v>
      </c>
      <c r="B99" s="5" t="str">
        <f>IFERROR(__xludf.DUMMYFUNCTION("""COMPUTED_VALUE"""),"TRSF E-BANKING DB")</f>
        <v>TRSF E-BANKING DB</v>
      </c>
      <c r="C99" s="5" t="str">
        <f>IFERROR(__xludf.DUMMYFUNCTION("""COMPUTED_VALUE"""),"1005/FTFVA/WS95031 55569/PT PRIMA FAJ pasuruan 6.4 ton - 40190")</f>
        <v>1005/FTFVA/WS95031 55569/PT PRIMA FAJ pasuruan 6.4 ton - 40190</v>
      </c>
      <c r="D99" s="5">
        <f>IFERROR(__xludf.DUMMYFUNCTION("""COMPUTED_VALUE"""),1.248E8)</f>
        <v>124800000</v>
      </c>
      <c r="E99" s="5"/>
      <c r="F99" s="5" t="str">
        <f>IFERROR(__xludf.DUMMYFUNCTION("""COMPUTED_VALUE"""),"DB")</f>
        <v>DB</v>
      </c>
      <c r="G99" s="5">
        <f>IFERROR(__xludf.DUMMYFUNCTION("""COMPUTED_VALUE"""),674875.9500000477)</f>
        <v>674875.95</v>
      </c>
      <c r="H99" s="5">
        <f>IFERROR(__xludf.DUMMYFUNCTION("""COMPUTED_VALUE"""),674875.95)</f>
        <v>674875.95</v>
      </c>
      <c r="I99" s="5"/>
    </row>
    <row r="100">
      <c r="A100" s="8">
        <f>IFERROR(__xludf.DUMMYFUNCTION("""COMPUTED_VALUE"""),46153.0)</f>
        <v>46153</v>
      </c>
      <c r="B100" s="5" t="str">
        <f>IFERROR(__xludf.DUMMYFUNCTION("""COMPUTED_VALUE"""),"TRSF E-BANKING DB")</f>
        <v>TRSF E-BANKING DB</v>
      </c>
      <c r="C100" s="5" t="str">
        <f>IFERROR(__xludf.DUMMYFUNCTION("""COMPUTED_VALUE"""),"1105/FTSCY/WS95031 100000.00 byr kaos ANTON IMRONI")</f>
        <v>1105/FTSCY/WS95031 100000.00 byr kaos ANTON IMRONI</v>
      </c>
      <c r="D100" s="5">
        <f>IFERROR(__xludf.DUMMYFUNCTION("""COMPUTED_VALUE"""),100000.0)</f>
        <v>100000</v>
      </c>
      <c r="E100" s="5"/>
      <c r="F100" s="5" t="str">
        <f>IFERROR(__xludf.DUMMYFUNCTION("""COMPUTED_VALUE"""),"DB")</f>
        <v>DB</v>
      </c>
      <c r="G100" s="5">
        <f>IFERROR(__xludf.DUMMYFUNCTION("""COMPUTED_VALUE"""),574875.9500000477)</f>
        <v>574875.95</v>
      </c>
      <c r="H100" s="5">
        <f>IFERROR(__xludf.DUMMYFUNCTION("""COMPUTED_VALUE"""),574875.95)</f>
        <v>574875.95</v>
      </c>
      <c r="I100" s="5"/>
    </row>
    <row r="101">
      <c r="A101" s="8">
        <f>IFERROR(__xludf.DUMMYFUNCTION("""COMPUTED_VALUE"""),46153.0)</f>
        <v>46153</v>
      </c>
      <c r="B101" s="5" t="str">
        <f>IFERROR(__xludf.DUMMYFUNCTION("""COMPUTED_VALUE"""),"TARIKAN ATM 11/05")</f>
        <v>TARIKAN ATM 11/05</v>
      </c>
      <c r="C101" s="5" t="str">
        <f>IFERROR(__xludf.DUMMYFUNCTION("""COMPUTED_VALUE"""),"TARIKAN ATM 11/05")</f>
        <v>TARIKAN ATM 11/05</v>
      </c>
      <c r="D101" s="5">
        <f>IFERROR(__xludf.DUMMYFUNCTION("""COMPUTED_VALUE"""),400000.0)</f>
        <v>400000</v>
      </c>
      <c r="E101" s="5"/>
      <c r="F101" s="5"/>
      <c r="G101" s="5">
        <f>IFERROR(__xludf.DUMMYFUNCTION("""COMPUTED_VALUE"""),4.2385404595000005E8)</f>
        <v>423854046</v>
      </c>
      <c r="H101" s="5"/>
      <c r="I101" s="5"/>
    </row>
    <row r="102">
      <c r="A102" s="8">
        <f>IFERROR(__xludf.DUMMYFUNCTION("""COMPUTED_VALUE"""),46153.0)</f>
        <v>46153</v>
      </c>
      <c r="B102" s="5" t="str">
        <f>IFERROR(__xludf.DUMMYFUNCTION("""COMPUTED_VALUE"""),"TRSF E-BANKING DB")</f>
        <v>TRSF E-BANKING DB</v>
      </c>
      <c r="C102" s="5" t="str">
        <f>IFERROR(__xludf.DUMMYFUNCTION("""COMPUTED_VALUE"""),"1105/FTSCY/WS95271 237959370.00 Sat May 09 2026 14:00:00 GMT+0700 (Western Indonesia Time) GANESHA SATRIA NUS")</f>
        <v>1105/FTSCY/WS95271 237959370.00 Sat May 09 2026 14:00:00 GMT+0700 (Western Indonesia Time) GANESHA SATRIA NUS</v>
      </c>
      <c r="D102" s="5">
        <f>IFERROR(__xludf.DUMMYFUNCTION("""COMPUTED_VALUE"""),2.3795937E8)</f>
        <v>237959370</v>
      </c>
      <c r="E102" s="5"/>
      <c r="F102" s="5" t="str">
        <f>IFERROR(__xludf.DUMMYFUNCTION("""COMPUTED_VALUE"""),"DB")</f>
        <v>DB</v>
      </c>
      <c r="G102" s="5">
        <f>IFERROR(__xludf.DUMMYFUNCTION("""COMPUTED_VALUE"""),1.8589467595000005E8)</f>
        <v>185894676</v>
      </c>
      <c r="H102" s="5"/>
      <c r="I102" s="5"/>
    </row>
    <row r="103">
      <c r="A103" s="8">
        <f>IFERROR(__xludf.DUMMYFUNCTION("""COMPUTED_VALUE"""),46153.0)</f>
        <v>46153</v>
      </c>
      <c r="B103" s="5" t="str">
        <f>IFERROR(__xludf.DUMMYFUNCTION("""COMPUTED_VALUE"""),"TRSF E-BANKING DB")</f>
        <v>TRSF E-BANKING DB</v>
      </c>
      <c r="C103" s="5" t="str">
        <f>IFERROR(__xludf.DUMMYFUNCTION("""COMPUTED_VALUE"""),"1105/FTSCY/WS95271 55966200.00 Fri May 08 2026 14:00:00 GMT+0700 (Western Indonesia Time) BINTANG TAMA SANTO")</f>
        <v>1105/FTSCY/WS95271 55966200.00 Fri May 08 2026 14:00:00 GMT+0700 (Western Indonesia Time) BINTANG TAMA SANTO</v>
      </c>
      <c r="D103" s="5">
        <f>IFERROR(__xludf.DUMMYFUNCTION("""COMPUTED_VALUE"""),5.59662E7)</f>
        <v>55966200</v>
      </c>
      <c r="E103" s="5"/>
      <c r="F103" s="5" t="str">
        <f>IFERROR(__xludf.DUMMYFUNCTION("""COMPUTED_VALUE"""),"DB")</f>
        <v>DB</v>
      </c>
      <c r="G103" s="5">
        <f>IFERROR(__xludf.DUMMYFUNCTION("""COMPUTED_VALUE"""),1.2992847595000005E8)</f>
        <v>129928476</v>
      </c>
      <c r="H103" s="5"/>
      <c r="I103" s="5"/>
    </row>
    <row r="104">
      <c r="A104" s="8">
        <f>IFERROR(__xludf.DUMMYFUNCTION("""COMPUTED_VALUE"""),46153.0)</f>
        <v>46153</v>
      </c>
      <c r="B104" s="5" t="str">
        <f>IFERROR(__xludf.DUMMYFUNCTION("""COMPUTED_VALUE"""),"TRSF E-BANKING DB")</f>
        <v>TRSF E-BANKING DB</v>
      </c>
      <c r="C104" s="5" t="str">
        <f>IFERROR(__xludf.DUMMYFUNCTION("""COMPUTED_VALUE"""),"1105/FTSCY/WS95031 70586750.00 Fri May 08 2026 14:00:00 GMT+0700 (Western Indonesia Time) BROILER MAKMUR TAN")</f>
        <v>1105/FTSCY/WS95031 70586750.00 Fri May 08 2026 14:00:00 GMT+0700 (Western Indonesia Time) BROILER MAKMUR TAN</v>
      </c>
      <c r="D104" s="5">
        <f>IFERROR(__xludf.DUMMYFUNCTION("""COMPUTED_VALUE"""),7.058675E7)</f>
        <v>70586750</v>
      </c>
      <c r="E104" s="5"/>
      <c r="F104" s="5" t="str">
        <f>IFERROR(__xludf.DUMMYFUNCTION("""COMPUTED_VALUE"""),"DB")</f>
        <v>DB</v>
      </c>
      <c r="G104" s="5">
        <f>IFERROR(__xludf.DUMMYFUNCTION("""COMPUTED_VALUE"""),5.934172595000005E7)</f>
        <v>59341725.95</v>
      </c>
      <c r="H104" s="5"/>
      <c r="I104" s="5"/>
    </row>
    <row r="105">
      <c r="A105" s="8">
        <f>IFERROR(__xludf.DUMMYFUNCTION("""COMPUTED_VALUE"""),46153.0)</f>
        <v>46153</v>
      </c>
      <c r="B105" s="5" t="str">
        <f>IFERROR(__xludf.DUMMYFUNCTION("""COMPUTED_VALUE"""),"TRSF E-BANKING DB")</f>
        <v>TRSF E-BANKING DB</v>
      </c>
      <c r="C105" s="5" t="str">
        <f>IFERROR(__xludf.DUMMYFUNCTION("""COMPUTED_VALUE"""),"1105/FTFVA/WS95031 55569/PT PRIMA FAJ pasuruan 2.7 ton - 40190")</f>
        <v>1105/FTFVA/WS95031 55569/PT PRIMA FAJ pasuruan 2.7 ton - 40190</v>
      </c>
      <c r="D105" s="5">
        <f>IFERROR(__xludf.DUMMYFUNCTION("""COMPUTED_VALUE"""),5.158725E7)</f>
        <v>51587250</v>
      </c>
      <c r="E105" s="5"/>
      <c r="F105" s="5" t="str">
        <f>IFERROR(__xludf.DUMMYFUNCTION("""COMPUTED_VALUE"""),"DB")</f>
        <v>DB</v>
      </c>
      <c r="G105" s="5">
        <f>IFERROR(__xludf.DUMMYFUNCTION("""COMPUTED_VALUE"""),1.4707247595000005E8)</f>
        <v>147072476</v>
      </c>
      <c r="H105" s="5"/>
      <c r="I105" s="5"/>
    </row>
    <row r="106">
      <c r="A106" s="8">
        <f>IFERROR(__xludf.DUMMYFUNCTION("""COMPUTED_VALUE"""),46154.0)</f>
        <v>46154</v>
      </c>
      <c r="B106" s="5" t="str">
        <f>IFERROR(__xludf.DUMMYFUNCTION("""COMPUTED_VALUE"""),"TRSF E-BANKING DB")</f>
        <v>TRSF E-BANKING DB</v>
      </c>
      <c r="C106" s="5" t="str">
        <f>IFERROR(__xludf.DUMMYFUNCTION("""COMPUTED_VALUE"""),"1205/FTSCY/WS95031 64315800.00 Sun May 10 2026 14:00:00 GMT+0700 (Western Indonesia Time) SURYA INTI TERNAK")</f>
        <v>1205/FTSCY/WS95031 64315800.00 Sun May 10 2026 14:00:00 GMT+0700 (Western Indonesia Time) SURYA INTI TERNAK</v>
      </c>
      <c r="D106" s="5">
        <f>IFERROR(__xludf.DUMMYFUNCTION("""COMPUTED_VALUE"""),6.43158E7)</f>
        <v>64315800</v>
      </c>
      <c r="E106" s="5"/>
      <c r="F106" s="5" t="str">
        <f>IFERROR(__xludf.DUMMYFUNCTION("""COMPUTED_VALUE"""),"DB")</f>
        <v>DB</v>
      </c>
      <c r="G106" s="5">
        <f>IFERROR(__xludf.DUMMYFUNCTION("""COMPUTED_VALUE"""),1.0308525950000048E7)</f>
        <v>10308525.95</v>
      </c>
      <c r="H106" s="5">
        <f>IFERROR(__xludf.DUMMYFUNCTION("""COMPUTED_VALUE"""),1.030852595E7)</f>
        <v>10308525.95</v>
      </c>
      <c r="I106" s="5"/>
    </row>
    <row r="107">
      <c r="A107" s="8">
        <f>IFERROR(__xludf.DUMMYFUNCTION("""COMPUTED_VALUE"""),46154.0)</f>
        <v>46154</v>
      </c>
      <c r="B107" s="5" t="str">
        <f>IFERROR(__xludf.DUMMYFUNCTION("""COMPUTED_VALUE"""),"TRSF E-BANKING DB")</f>
        <v>TRSF E-BANKING DB</v>
      </c>
      <c r="C107" s="5" t="str">
        <f>IFERROR(__xludf.DUMMYFUNCTION("""COMPUTED_VALUE"""),"1205/FTFVA/WS95031 55569/PT PRIMA FAJ pasuruan lunas - 40190")</f>
        <v>1205/FTFVA/WS95031 55569/PT PRIMA FAJ pasuruan lunas - 40190</v>
      </c>
      <c r="D107" s="5">
        <f>IFERROR(__xludf.DUMMYFUNCTION("""COMPUTED_VALUE"""),2029950.0)</f>
        <v>2029950</v>
      </c>
      <c r="E107" s="5"/>
      <c r="F107" s="5" t="str">
        <f>IFERROR(__xludf.DUMMYFUNCTION("""COMPUTED_VALUE"""),"DB")</f>
        <v>DB</v>
      </c>
      <c r="G107" s="5">
        <f>IFERROR(__xludf.DUMMYFUNCTION("""COMPUTED_VALUE"""),8278575.950000048)</f>
        <v>8278575.95</v>
      </c>
      <c r="H107" s="5">
        <f>IFERROR(__xludf.DUMMYFUNCTION("""COMPUTED_VALUE"""),8278575.95)</f>
        <v>8278575.95</v>
      </c>
      <c r="I107" s="5"/>
    </row>
    <row r="108">
      <c r="A108" s="8">
        <f>IFERROR(__xludf.DUMMYFUNCTION("""COMPUTED_VALUE"""),46154.0)</f>
        <v>46154</v>
      </c>
      <c r="B108" s="5" t="str">
        <f>IFERROR(__xludf.DUMMYFUNCTION("""COMPUTED_VALUE"""),"TRSF E-BANKING DB")</f>
        <v>TRSF E-BANKING DB</v>
      </c>
      <c r="C108" s="5" t="str">
        <f>IFERROR(__xludf.DUMMYFUNCTION("""COMPUTED_VALUE"""),"1205/FTSCY/WS95031 2408200.00 HERMAWAN")</f>
        <v>1205/FTSCY/WS95031 2408200.00 HERMAWAN</v>
      </c>
      <c r="D108" s="5">
        <f>IFERROR(__xludf.DUMMYFUNCTION("""COMPUTED_VALUE"""),2408200.0)</f>
        <v>2408200</v>
      </c>
      <c r="E108" s="5"/>
      <c r="F108" s="5" t="str">
        <f>IFERROR(__xludf.DUMMYFUNCTION("""COMPUTED_VALUE"""),"DB")</f>
        <v>DB</v>
      </c>
      <c r="G108" s="5">
        <f>IFERROR(__xludf.DUMMYFUNCTION("""COMPUTED_VALUE"""),5870375.950000048)</f>
        <v>5870375.95</v>
      </c>
      <c r="H108" s="5"/>
      <c r="I108" s="5"/>
    </row>
    <row r="109">
      <c r="A109" s="8">
        <f>IFERROR(__xludf.DUMMYFUNCTION("""COMPUTED_VALUE"""),46154.0)</f>
        <v>46154</v>
      </c>
      <c r="B109" s="5" t="str">
        <f>IFERROR(__xludf.DUMMYFUNCTION("""COMPUTED_VALUE"""),"TRSF E-BANKING DB")</f>
        <v>TRSF E-BANKING DB</v>
      </c>
      <c r="C109" s="5" t="str">
        <f>IFERROR(__xludf.DUMMYFUNCTION("""COMPUTED_VALUE"""),"1205/FTSCY/WS95031 1863120.00 MUJIANTO")</f>
        <v>1205/FTSCY/WS95031 1863120.00 MUJIANTO</v>
      </c>
      <c r="D109" s="5">
        <f>IFERROR(__xludf.DUMMYFUNCTION("""COMPUTED_VALUE"""),1863120.0)</f>
        <v>1863120</v>
      </c>
      <c r="E109" s="5"/>
      <c r="F109" s="5" t="str">
        <f>IFERROR(__xludf.DUMMYFUNCTION("""COMPUTED_VALUE"""),"DB")</f>
        <v>DB</v>
      </c>
      <c r="G109" s="5">
        <f>IFERROR(__xludf.DUMMYFUNCTION("""COMPUTED_VALUE"""),4007255.9500000477)</f>
        <v>4007255.95</v>
      </c>
      <c r="H109" s="5"/>
      <c r="I109" s="5"/>
    </row>
    <row r="110">
      <c r="A110" s="8">
        <f>IFERROR(__xludf.DUMMYFUNCTION("""COMPUTED_VALUE"""),46154.0)</f>
        <v>46154</v>
      </c>
      <c r="B110" s="5" t="str">
        <f>IFERROR(__xludf.DUMMYFUNCTION("""COMPUTED_VALUE"""),"BI-FAST DB")</f>
        <v>BI-FAST DB</v>
      </c>
      <c r="C110" s="5" t="str">
        <f>IFERROR(__xludf.DUMMYFUNCTION("""COMPUTED_VALUE"""),"BIF TRANSFER KE 11 ADIRA MUHAMMAD HAI M-BCA")</f>
        <v>BIF TRANSFER KE 11 ADIRA MUHAMMAD HAI M-BCA</v>
      </c>
      <c r="D110" s="5">
        <f>IFERROR(__xludf.DUMMYFUNCTION("""COMPUTED_VALUE"""),2641000.0)</f>
        <v>2641000</v>
      </c>
      <c r="E110" s="5"/>
      <c r="F110" s="5" t="str">
        <f>IFERROR(__xludf.DUMMYFUNCTION("""COMPUTED_VALUE"""),"DB")</f>
        <v>DB</v>
      </c>
      <c r="G110" s="5">
        <f>IFERROR(__xludf.DUMMYFUNCTION("""COMPUTED_VALUE"""),1366255.9500000477)</f>
        <v>1366255.95</v>
      </c>
      <c r="H110" s="5"/>
      <c r="I110" s="5"/>
    </row>
    <row r="111">
      <c r="A111" s="8">
        <f>IFERROR(__xludf.DUMMYFUNCTION("""COMPUTED_VALUE"""),46154.0)</f>
        <v>46154</v>
      </c>
      <c r="B111" s="5" t="str">
        <f>IFERROR(__xludf.DUMMYFUNCTION("""COMPUTED_VALUE"""),"BI-FAST DB")</f>
        <v>BI-FAST DB</v>
      </c>
      <c r="C111" s="5" t="str">
        <f>IFERROR(__xludf.DUMMYFUNCTION("""COMPUTED_VALUE"""),"BIF BIAYA TXN KE 11 ADIRA MUHAMMAD HAI M-BCA")</f>
        <v>BIF BIAYA TXN KE 11 ADIRA MUHAMMAD HAI M-BCA</v>
      </c>
      <c r="D111" s="5">
        <f>IFERROR(__xludf.DUMMYFUNCTION("""COMPUTED_VALUE"""),2500.0)</f>
        <v>2500</v>
      </c>
      <c r="E111" s="5"/>
      <c r="F111" s="5" t="str">
        <f>IFERROR(__xludf.DUMMYFUNCTION("""COMPUTED_VALUE"""),"DB")</f>
        <v>DB</v>
      </c>
      <c r="G111" s="5">
        <f>IFERROR(__xludf.DUMMYFUNCTION("""COMPUTED_VALUE"""),1363755.9500000477)</f>
        <v>1363755.95</v>
      </c>
      <c r="H111" s="5"/>
      <c r="I111" s="5"/>
    </row>
    <row r="112">
      <c r="A112" s="8">
        <f>IFERROR(__xludf.DUMMYFUNCTION("""COMPUTED_VALUE"""),46154.0)</f>
        <v>46154</v>
      </c>
      <c r="B112" s="5" t="str">
        <f>IFERROR(__xludf.DUMMYFUNCTION("""COMPUTED_VALUE"""),"TARIKAN ATM 12/05")</f>
        <v>TARIKAN ATM 12/05</v>
      </c>
      <c r="C112" s="5" t="str">
        <f>IFERROR(__xludf.DUMMYFUNCTION("""COMPUTED_VALUE"""),"TARIKAN ATM 12/05")</f>
        <v>TARIKAN ATM 12/05</v>
      </c>
      <c r="D112" s="5">
        <f>IFERROR(__xludf.DUMMYFUNCTION("""COMPUTED_VALUE"""),100000.0)</f>
        <v>100000</v>
      </c>
      <c r="E112" s="5"/>
      <c r="F112" s="5"/>
      <c r="G112" s="5">
        <f>IFERROR(__xludf.DUMMYFUNCTION("""COMPUTED_VALUE"""),5.650452595000005E7)</f>
        <v>56504525.95</v>
      </c>
      <c r="H112" s="5"/>
      <c r="I112" s="5"/>
    </row>
    <row r="113">
      <c r="A113" s="8">
        <f>IFERROR(__xludf.DUMMYFUNCTION("""COMPUTED_VALUE"""),46155.0)</f>
        <v>46155</v>
      </c>
      <c r="B113" s="5" t="str">
        <f>IFERROR(__xludf.DUMMYFUNCTION("""COMPUTED_VALUE"""),"TRSF E-BANKING DB")</f>
        <v>TRSF E-BANKING DB</v>
      </c>
      <c r="C113" s="5" t="str">
        <f>IFERROR(__xludf.DUMMYFUNCTION("""COMPUTED_VALUE"""),"1305/FTSCY/WS95031 1136240.00 HERMAWAN")</f>
        <v>1305/FTSCY/WS95031 1136240.00 HERMAWAN</v>
      </c>
      <c r="D113" s="5">
        <f>IFERROR(__xludf.DUMMYFUNCTION("""COMPUTED_VALUE"""),1136240.0)</f>
        <v>1136240</v>
      </c>
      <c r="E113" s="5"/>
      <c r="F113" s="5" t="str">
        <f>IFERROR(__xludf.DUMMYFUNCTION("""COMPUTED_VALUE"""),"DB")</f>
        <v>DB</v>
      </c>
      <c r="G113" s="5">
        <f>IFERROR(__xludf.DUMMYFUNCTION("""COMPUTED_VALUE"""),4.807258595000005E7)</f>
        <v>48072585.95</v>
      </c>
      <c r="H113" s="5"/>
      <c r="I113" s="5"/>
    </row>
    <row r="114">
      <c r="A114" s="8">
        <f>IFERROR(__xludf.DUMMYFUNCTION("""COMPUTED_VALUE"""),46155.0)</f>
        <v>46155</v>
      </c>
      <c r="B114" s="5" t="str">
        <f>IFERROR(__xludf.DUMMYFUNCTION("""COMPUTED_VALUE"""),"TRSF E-BANKING DB")</f>
        <v>TRSF E-BANKING DB</v>
      </c>
      <c r="C114" s="5" t="str">
        <f>IFERROR(__xludf.DUMMYFUNCTION("""COMPUTED_VALUE"""),"1305/FTSCY/WS95031 1000000.00 MUJIANTO")</f>
        <v>1305/FTSCY/WS95031 1000000.00 MUJIANTO</v>
      </c>
      <c r="D114" s="5">
        <f>IFERROR(__xludf.DUMMYFUNCTION("""COMPUTED_VALUE"""),1000000.0)</f>
        <v>1000000</v>
      </c>
      <c r="E114" s="5"/>
      <c r="F114" s="5" t="str">
        <f>IFERROR(__xludf.DUMMYFUNCTION("""COMPUTED_VALUE"""),"DB")</f>
        <v>DB</v>
      </c>
      <c r="G114" s="5">
        <f>IFERROR(__xludf.DUMMYFUNCTION("""COMPUTED_VALUE"""),4.707258595000005E7)</f>
        <v>47072585.95</v>
      </c>
      <c r="H114" s="5"/>
      <c r="I114" s="5"/>
    </row>
    <row r="115">
      <c r="A115" s="8">
        <f>IFERROR(__xludf.DUMMYFUNCTION("""COMPUTED_VALUE"""),46155.0)</f>
        <v>46155</v>
      </c>
      <c r="B115" s="5" t="str">
        <f>IFERROR(__xludf.DUMMYFUNCTION("""COMPUTED_VALUE"""),"TRSF E-BANKING DB")</f>
        <v>TRSF E-BANKING DB</v>
      </c>
      <c r="C115" s="5" t="str">
        <f>IFERROR(__xludf.DUMMYFUNCTION("""COMPUTED_VALUE"""),"1305/FTSCY/WS95271 184010950.00 Tue May 12 2026 14:00:00 GMT+0700 (Western Indonesia Time) RUKUN MITRA BERSAM")</f>
        <v>1305/FTSCY/WS95271 184010950.00 Tue May 12 2026 14:00:00 GMT+0700 (Western Indonesia Time) RUKUN MITRA BERSAM</v>
      </c>
      <c r="D115" s="5">
        <f>IFERROR(__xludf.DUMMYFUNCTION("""COMPUTED_VALUE"""),1.8401095E8)</f>
        <v>184010950</v>
      </c>
      <c r="E115" s="5"/>
      <c r="F115" s="5" t="str">
        <f>IFERROR(__xludf.DUMMYFUNCTION("""COMPUTED_VALUE"""),"DB")</f>
        <v>DB</v>
      </c>
      <c r="G115" s="5">
        <f>IFERROR(__xludf.DUMMYFUNCTION("""COMPUTED_VALUE"""),4.1497623595000005E8)</f>
        <v>414976236</v>
      </c>
      <c r="H115" s="5"/>
      <c r="I115" s="5"/>
    </row>
    <row r="116">
      <c r="A116" s="8">
        <f>IFERROR(__xludf.DUMMYFUNCTION("""COMPUTED_VALUE"""),46155.0)</f>
        <v>46155</v>
      </c>
      <c r="B116" s="5" t="str">
        <f>IFERROR(__xludf.DUMMYFUNCTION("""COMPUTED_VALUE"""),"TRSF E-BANKING DB")</f>
        <v>TRSF E-BANKING DB</v>
      </c>
      <c r="C116" s="5" t="str">
        <f>IFERROR(__xludf.DUMMYFUNCTION("""COMPUTED_VALUE"""),"1305/FTSCY/WS95271 63565440.00 Tue May 12 2026 14:00:00 GMT+0700 (Western Indonesia Time) BINTANG TAMA SANTO")</f>
        <v>1305/FTSCY/WS95271 63565440.00 Tue May 12 2026 14:00:00 GMT+0700 (Western Indonesia Time) BINTANG TAMA SANTO</v>
      </c>
      <c r="D116" s="5">
        <f>IFERROR(__xludf.DUMMYFUNCTION("""COMPUTED_VALUE"""),6.356544E7)</f>
        <v>63565440</v>
      </c>
      <c r="E116" s="5"/>
      <c r="F116" s="5" t="str">
        <f>IFERROR(__xludf.DUMMYFUNCTION("""COMPUTED_VALUE"""),"DB")</f>
        <v>DB</v>
      </c>
      <c r="G116" s="5">
        <f>IFERROR(__xludf.DUMMYFUNCTION("""COMPUTED_VALUE"""),3.5141079595000005E8)</f>
        <v>351410796</v>
      </c>
      <c r="H116" s="5"/>
      <c r="I116" s="5"/>
    </row>
    <row r="117">
      <c r="A117" s="8">
        <f>IFERROR(__xludf.DUMMYFUNCTION("""COMPUTED_VALUE"""),46155.0)</f>
        <v>46155</v>
      </c>
      <c r="B117" s="5" t="str">
        <f>IFERROR(__xludf.DUMMYFUNCTION("""COMPUTED_VALUE"""),"TRSF E-BANKING DB")</f>
        <v>TRSF E-BANKING DB</v>
      </c>
      <c r="C117" s="5" t="str">
        <f>IFERROR(__xludf.DUMMYFUNCTION("""COMPUTED_VALUE"""),"1305/FTSCY/WS95031 57600000.00 Tue May 12 2026 14:00:00 GMT+0700 (Western Indonesia Time) BINTANG TAMA SANTO")</f>
        <v>1305/FTSCY/WS95031 57600000.00 Tue May 12 2026 14:00:00 GMT+0700 (Western Indonesia Time) BINTANG TAMA SANTO</v>
      </c>
      <c r="D117" s="5">
        <f>IFERROR(__xludf.DUMMYFUNCTION("""COMPUTED_VALUE"""),5.76E7)</f>
        <v>57600000</v>
      </c>
      <c r="E117" s="5"/>
      <c r="F117" s="5" t="str">
        <f>IFERROR(__xludf.DUMMYFUNCTION("""COMPUTED_VALUE"""),"DB")</f>
        <v>DB</v>
      </c>
      <c r="G117" s="5">
        <f>IFERROR(__xludf.DUMMYFUNCTION("""COMPUTED_VALUE"""),2.9381079595000005E8)</f>
        <v>293810796</v>
      </c>
      <c r="H117" s="5">
        <f>IFERROR(__xludf.DUMMYFUNCTION("""COMPUTED_VALUE"""),2.9381079595E8)</f>
        <v>293810796</v>
      </c>
      <c r="I117" s="5"/>
    </row>
    <row r="118">
      <c r="A118" s="8">
        <f>IFERROR(__xludf.DUMMYFUNCTION("""COMPUTED_VALUE"""),46156.0)</f>
        <v>46156</v>
      </c>
      <c r="B118" s="5" t="str">
        <f>IFERROR(__xludf.DUMMYFUNCTION("""COMPUTED_VALUE"""),"TRSF E-BANKING DB")</f>
        <v>TRSF E-BANKING DB</v>
      </c>
      <c r="C118" s="5" t="str">
        <f>IFERROR(__xludf.DUMMYFUNCTION("""COMPUTED_VALUE"""),"1405/FTSCY/WS95271 58911450.00 Tue May 12 2026 14:00:00 GMT+0700 (Western Indonesia Time) ANDALAN YASA MITRA")</f>
        <v>1405/FTSCY/WS95271 58911450.00 Tue May 12 2026 14:00:00 GMT+0700 (Western Indonesia Time) ANDALAN YASA MITRA</v>
      </c>
      <c r="D118" s="5">
        <f>IFERROR(__xludf.DUMMYFUNCTION("""COMPUTED_VALUE"""),5.891145E7)</f>
        <v>58911450</v>
      </c>
      <c r="E118" s="5"/>
      <c r="F118" s="5" t="str">
        <f>IFERROR(__xludf.DUMMYFUNCTION("""COMPUTED_VALUE"""),"DB")</f>
        <v>DB</v>
      </c>
      <c r="G118" s="5">
        <f>IFERROR(__xludf.DUMMYFUNCTION("""COMPUTED_VALUE"""),2.3489934595000005E8)</f>
        <v>234899346</v>
      </c>
      <c r="H118" s="5">
        <f>IFERROR(__xludf.DUMMYFUNCTION("""COMPUTED_VALUE"""),2.3489934595E8)</f>
        <v>234899346</v>
      </c>
      <c r="I118" s="5"/>
    </row>
    <row r="119">
      <c r="A119" s="8">
        <f>IFERROR(__xludf.DUMMYFUNCTION("""COMPUTED_VALUE"""),46156.0)</f>
        <v>46156</v>
      </c>
      <c r="B119" s="5" t="str">
        <f>IFERROR(__xludf.DUMMYFUNCTION("""COMPUTED_VALUE"""),"TRSF E-BANKING DB")</f>
        <v>TRSF E-BANKING DB</v>
      </c>
      <c r="C119" s="5" t="str">
        <f>IFERROR(__xludf.DUMMYFUNCTION("""COMPUTED_VALUE"""),"1405/FTSCY/WS95271 29707220.00 Tue May 12 2026 14:00:00 GMT+0700 (Western Indonesia Time) ANDALAN YASA MITRA")</f>
        <v>1405/FTSCY/WS95271 29707220.00 Tue May 12 2026 14:00:00 GMT+0700 (Western Indonesia Time) ANDALAN YASA MITRA</v>
      </c>
      <c r="D119" s="5">
        <f>IFERROR(__xludf.DUMMYFUNCTION("""COMPUTED_VALUE"""),2.970722E7)</f>
        <v>29707220</v>
      </c>
      <c r="E119" s="5"/>
      <c r="F119" s="5" t="str">
        <f>IFERROR(__xludf.DUMMYFUNCTION("""COMPUTED_VALUE"""),"DB")</f>
        <v>DB</v>
      </c>
      <c r="G119" s="5">
        <f>IFERROR(__xludf.DUMMYFUNCTION("""COMPUTED_VALUE"""),2.0519212595000005E8)</f>
        <v>205192126</v>
      </c>
      <c r="H119" s="5"/>
      <c r="I119" s="5"/>
    </row>
    <row r="120">
      <c r="A120" s="8">
        <f>IFERROR(__xludf.DUMMYFUNCTION("""COMPUTED_VALUE"""),46156.0)</f>
        <v>46156</v>
      </c>
      <c r="B120" s="5" t="str">
        <f>IFERROR(__xludf.DUMMYFUNCTION("""COMPUTED_VALUE"""),"TRSF E-BANKING DB")</f>
        <v>TRSF E-BANKING DB</v>
      </c>
      <c r="C120" s="5" t="str">
        <f>IFERROR(__xludf.DUMMYFUNCTION("""COMPUTED_VALUE"""),"1405/FTSCY/WS95271 2191620.00 magetan MUJIANTO")</f>
        <v>1405/FTSCY/WS95271 2191620.00 magetan MUJIANTO</v>
      </c>
      <c r="D120" s="5">
        <f>IFERROR(__xludf.DUMMYFUNCTION("""COMPUTED_VALUE"""),2191620.0)</f>
        <v>2191620</v>
      </c>
      <c r="E120" s="5"/>
      <c r="F120" s="5" t="str">
        <f>IFERROR(__xludf.DUMMYFUNCTION("""COMPUTED_VALUE"""),"DB")</f>
        <v>DB</v>
      </c>
      <c r="G120" s="5">
        <f>IFERROR(__xludf.DUMMYFUNCTION("""COMPUTED_VALUE"""),2.0300050595000005E8)</f>
        <v>203000506</v>
      </c>
      <c r="H120" s="5"/>
      <c r="I120" s="5"/>
    </row>
    <row r="121">
      <c r="A121" s="8">
        <f>IFERROR(__xludf.DUMMYFUNCTION("""COMPUTED_VALUE"""),46157.0)</f>
        <v>46157</v>
      </c>
      <c r="B121" s="5" t="str">
        <f>IFERROR(__xludf.DUMMYFUNCTION("""COMPUTED_VALUE"""),"TRSF E-BANKING DB")</f>
        <v>TRSF E-BANKING DB</v>
      </c>
      <c r="C121" s="5" t="str">
        <f>IFERROR(__xludf.DUMMYFUNCTION("""COMPUTED_VALUE"""),"1505/FTSCY/WS95031 58500000.00 t.agung 3 ton GUNA MITRA SEHAT P")</f>
        <v>1505/FTSCY/WS95031 58500000.00 t.agung 3 ton GUNA MITRA SEHAT P</v>
      </c>
      <c r="D121" s="5">
        <f>IFERROR(__xludf.DUMMYFUNCTION("""COMPUTED_VALUE"""),5.85E7)</f>
        <v>58500000</v>
      </c>
      <c r="E121" s="5"/>
      <c r="F121" s="5" t="str">
        <f>IFERROR(__xludf.DUMMYFUNCTION("""COMPUTED_VALUE"""),"DB")</f>
        <v>DB</v>
      </c>
      <c r="G121" s="5">
        <f>IFERROR(__xludf.DUMMYFUNCTION("""COMPUTED_VALUE"""),3.0287173595000005E8)</f>
        <v>302871736</v>
      </c>
      <c r="H121" s="5">
        <f>IFERROR(__xludf.DUMMYFUNCTION("""COMPUTED_VALUE"""),3.0287173595E8)</f>
        <v>302871736</v>
      </c>
      <c r="I121" s="5"/>
    </row>
    <row r="122">
      <c r="A122" s="8">
        <f>IFERROR(__xludf.DUMMYFUNCTION("""COMPUTED_VALUE"""),46157.0)</f>
        <v>46157</v>
      </c>
      <c r="B122" s="5" t="str">
        <f>IFERROR(__xludf.DUMMYFUNCTION("""COMPUTED_VALUE"""),"TRSF E-BANKING DB")</f>
        <v>TRSF E-BANKING DB</v>
      </c>
      <c r="C122" s="5" t="str">
        <f>IFERROR(__xludf.DUMMYFUNCTION("""COMPUTED_VALUE"""),"1505/FTFVA/WS95031 55569/PT PRIMA FAJ 12.1 ton - 40190")</f>
        <v>1505/FTFVA/WS95031 55569/PT PRIMA FAJ 12.1 ton - 40190</v>
      </c>
      <c r="D122" s="5">
        <f>IFERROR(__xludf.DUMMYFUNCTION("""COMPUTED_VALUE"""),2.3595E8)</f>
        <v>235950000</v>
      </c>
      <c r="E122" s="5"/>
      <c r="F122" s="5" t="str">
        <f>IFERROR(__xludf.DUMMYFUNCTION("""COMPUTED_VALUE"""),"DB")</f>
        <v>DB</v>
      </c>
      <c r="G122" s="5">
        <f>IFERROR(__xludf.DUMMYFUNCTION("""COMPUTED_VALUE"""),1.6827617595000005E8)</f>
        <v>168276176</v>
      </c>
      <c r="H122" s="5"/>
      <c r="I122" s="5"/>
    </row>
    <row r="123">
      <c r="A123" s="8">
        <f>IFERROR(__xludf.DUMMYFUNCTION("""COMPUTED_VALUE"""),46158.0)</f>
        <v>46158</v>
      </c>
      <c r="B123" s="5" t="str">
        <f>IFERROR(__xludf.DUMMYFUNCTION("""COMPUTED_VALUE"""),"TRSF E-BANKING DB TANGGAL :15/05")</f>
        <v>TRSF E-BANKING DB TANGGAL :15/05</v>
      </c>
      <c r="C123" s="5" t="str">
        <f>IFERROR(__xludf.DUMMYFUNCTION("""COMPUTED_VALUE"""),"1505/FTSCY/WS95271 Thu May 14 2026 14:00:00 GMT+0700 (Western Indonesia Time) TUMBUH OPTIMAL PRI")</f>
        <v>1505/FTSCY/WS95271 Thu May 14 2026 14:00:00 GMT+0700 (Western Indonesia Time) TUMBUH OPTIMAL PRI</v>
      </c>
      <c r="D123" s="5">
        <f>IFERROR(__xludf.DUMMYFUNCTION("""COMPUTED_VALUE"""),6.65E7)</f>
        <v>66500000</v>
      </c>
      <c r="E123" s="5"/>
      <c r="F123" s="5" t="str">
        <f>IFERROR(__xludf.DUMMYFUNCTION("""COMPUTED_VALUE"""),"DB")</f>
        <v>DB</v>
      </c>
      <c r="G123" s="5">
        <f>IFERROR(__xludf.DUMMYFUNCTION("""COMPUTED_VALUE"""),7.2600697595E8)</f>
        <v>726006976</v>
      </c>
      <c r="H123" s="5"/>
      <c r="I123" s="5"/>
    </row>
    <row r="124">
      <c r="A124" s="8">
        <f>IFERROR(__xludf.DUMMYFUNCTION("""COMPUTED_VALUE"""),46158.0)</f>
        <v>46158</v>
      </c>
      <c r="B124" s="5" t="str">
        <f>IFERROR(__xludf.DUMMYFUNCTION("""COMPUTED_VALUE"""),"TRSF E-BANKING DB TANGGAL :15/05")</f>
        <v>TRSF E-BANKING DB TANGGAL :15/05</v>
      </c>
      <c r="C124" s="5" t="str">
        <f>IFERROR(__xludf.DUMMYFUNCTION("""COMPUTED_VALUE"""),"1505/FTSCY/WS95271 Thu May 14 2026 14:00:00 GMT+0700 (Western Indonesia Time) LAJU SATWA WISESA")</f>
        <v>1505/FTSCY/WS95271 Thu May 14 2026 14:00:00 GMT+0700 (Western Indonesia Time) LAJU SATWA WISESA</v>
      </c>
      <c r="D124" s="5">
        <f>IFERROR(__xludf.DUMMYFUNCTION("""COMPUTED_VALUE"""),5.88491E7)</f>
        <v>58849100</v>
      </c>
      <c r="E124" s="5"/>
      <c r="F124" s="5" t="str">
        <f>IFERROR(__xludf.DUMMYFUNCTION("""COMPUTED_VALUE"""),"DB")</f>
        <v>DB</v>
      </c>
      <c r="G124" s="5">
        <f>IFERROR(__xludf.DUMMYFUNCTION("""COMPUTED_VALUE"""),6.6715787595E8)</f>
        <v>667157876</v>
      </c>
      <c r="H124" s="5"/>
      <c r="I124" s="5"/>
    </row>
    <row r="125">
      <c r="A125" s="8">
        <f>IFERROR(__xludf.DUMMYFUNCTION("""COMPUTED_VALUE"""),46158.0)</f>
        <v>46158</v>
      </c>
      <c r="B125" s="5" t="str">
        <f>IFERROR(__xludf.DUMMYFUNCTION("""COMPUTED_VALUE"""),"TRSF E-BANKING DB TANGGAL :15/05")</f>
        <v>TRSF E-BANKING DB TANGGAL :15/05</v>
      </c>
      <c r="C125" s="5" t="str">
        <f>IFERROR(__xludf.DUMMYFUNCTION("""COMPUTED_VALUE"""),"1505/FTSCY/WS95011 Thu May 14 2026 14:00:00 GMT+0700 (Western Indonesia Time) SUPER UNGGAS JAYA")</f>
        <v>1505/FTSCY/WS95011 Thu May 14 2026 14:00:00 GMT+0700 (Western Indonesia Time) SUPER UNGGAS JAYA</v>
      </c>
      <c r="D125" s="5">
        <f>IFERROR(__xludf.DUMMYFUNCTION("""COMPUTED_VALUE"""),1.824173E8)</f>
        <v>182417300</v>
      </c>
      <c r="E125" s="5"/>
      <c r="F125" s="5" t="str">
        <f>IFERROR(__xludf.DUMMYFUNCTION("""COMPUTED_VALUE"""),"DB")</f>
        <v>DB</v>
      </c>
      <c r="G125" s="5">
        <f>IFERROR(__xludf.DUMMYFUNCTION("""COMPUTED_VALUE"""),3.8085432595000005E8)</f>
        <v>380854326</v>
      </c>
      <c r="H125" s="5"/>
      <c r="I125" s="5"/>
    </row>
    <row r="126">
      <c r="A126" s="8">
        <f>IFERROR(__xludf.DUMMYFUNCTION("""COMPUTED_VALUE"""),46158.0)</f>
        <v>46158</v>
      </c>
      <c r="B126" s="5" t="str">
        <f>IFERROR(__xludf.DUMMYFUNCTION("""COMPUTED_VALUE"""),"TRSF E-BANKING DB TANGGAL :15/05")</f>
        <v>TRSF E-BANKING DB TANGGAL :15/05</v>
      </c>
      <c r="C126" s="5" t="str">
        <f>IFERROR(__xludf.DUMMYFUNCTION("""COMPUTED_VALUE"""),"1505/FTSCY/WS95011 krg 350 jt 14/05 SUPER UNGGAS JAYA")</f>
        <v>1505/FTSCY/WS95011 krg 350 jt 14/05 SUPER UNGGAS JAYA</v>
      </c>
      <c r="D126" s="5">
        <f>IFERROR(__xludf.DUMMYFUNCTION("""COMPUTED_VALUE"""),3.090592E8)</f>
        <v>309059200</v>
      </c>
      <c r="E126" s="5"/>
      <c r="F126" s="5" t="str">
        <f>IFERROR(__xludf.DUMMYFUNCTION("""COMPUTED_VALUE"""),"DB")</f>
        <v>DB</v>
      </c>
      <c r="G126" s="5">
        <f>IFERROR(__xludf.DUMMYFUNCTION("""COMPUTED_VALUE"""),7.179512595000005E7)</f>
        <v>71795125.95</v>
      </c>
      <c r="H126" s="5"/>
      <c r="I126" s="5"/>
    </row>
    <row r="127">
      <c r="A127" s="8">
        <f>IFERROR(__xludf.DUMMYFUNCTION("""COMPUTED_VALUE"""),46158.0)</f>
        <v>46158</v>
      </c>
      <c r="B127" s="5" t="str">
        <f>IFERROR(__xludf.DUMMYFUNCTION("""COMPUTED_VALUE"""),"TRSF E-BANKING DB")</f>
        <v>TRSF E-BANKING DB</v>
      </c>
      <c r="C127" s="5" t="str">
        <f>IFERROR(__xludf.DUMMYFUNCTION("""COMPUTED_VALUE"""),"1605/FTSCY/WS95031 10159650.00 NURHAYATI")</f>
        <v>1605/FTSCY/WS95031 10159650.00 NURHAYATI</v>
      </c>
      <c r="D127" s="5">
        <f>IFERROR(__xludf.DUMMYFUNCTION("""COMPUTED_VALUE"""),1.015965E7)</f>
        <v>10159650</v>
      </c>
      <c r="E127" s="5"/>
      <c r="F127" s="5" t="str">
        <f>IFERROR(__xludf.DUMMYFUNCTION("""COMPUTED_VALUE"""),"DB")</f>
        <v>DB</v>
      </c>
      <c r="G127" s="5">
        <f>IFERROR(__xludf.DUMMYFUNCTION("""COMPUTED_VALUE"""),1.1163547595000005E8)</f>
        <v>111635476</v>
      </c>
      <c r="H127" s="5"/>
      <c r="I127" s="5"/>
    </row>
    <row r="128">
      <c r="A128" s="8">
        <f>IFERROR(__xludf.DUMMYFUNCTION("""COMPUTED_VALUE"""),46158.0)</f>
        <v>46158</v>
      </c>
      <c r="B128" s="5" t="str">
        <f>IFERROR(__xludf.DUMMYFUNCTION("""COMPUTED_VALUE"""),"TRSF E-BANKING DB")</f>
        <v>TRSF E-BANKING DB</v>
      </c>
      <c r="C128" s="5" t="str">
        <f>IFERROR(__xludf.DUMMYFUNCTION("""COMPUTED_VALUE"""),"1605/FTSCY/WS95031 1800000.00 blora HERMAWAN")</f>
        <v>1605/FTSCY/WS95031 1800000.00 blora HERMAWAN</v>
      </c>
      <c r="D128" s="5">
        <f>IFERROR(__xludf.DUMMYFUNCTION("""COMPUTED_VALUE"""),1800000.0)</f>
        <v>1800000</v>
      </c>
      <c r="E128" s="5"/>
      <c r="F128" s="5" t="str">
        <f>IFERROR(__xludf.DUMMYFUNCTION("""COMPUTED_VALUE"""),"DB")</f>
        <v>DB</v>
      </c>
      <c r="G128" s="5">
        <f>IFERROR(__xludf.DUMMYFUNCTION("""COMPUTED_VALUE"""),1.0983547595000005E8)</f>
        <v>109835476</v>
      </c>
      <c r="H128" s="5"/>
      <c r="I128" s="5"/>
    </row>
    <row r="129">
      <c r="A129" s="8">
        <f>IFERROR(__xludf.DUMMYFUNCTION("""COMPUTED_VALUE"""),46158.0)</f>
        <v>46158</v>
      </c>
      <c r="B129" s="5" t="str">
        <f>IFERROR(__xludf.DUMMYFUNCTION("""COMPUTED_VALUE"""),"TRSF E-BANKING DB")</f>
        <v>TRSF E-BANKING DB</v>
      </c>
      <c r="C129" s="5" t="str">
        <f>IFERROR(__xludf.DUMMYFUNCTION("""COMPUTED_VALUE"""),"1605/FTSCY/WS95031 13553600.00 krg 50 jt EKO SETIYAWAN")</f>
        <v>1605/FTSCY/WS95031 13553600.00 krg 50 jt EKO SETIYAWAN</v>
      </c>
      <c r="D129" s="5">
        <f>IFERROR(__xludf.DUMMYFUNCTION("""COMPUTED_VALUE"""),1.35536E7)</f>
        <v>13553600</v>
      </c>
      <c r="E129" s="5"/>
      <c r="F129" s="5" t="str">
        <f>IFERROR(__xludf.DUMMYFUNCTION("""COMPUTED_VALUE"""),"DB")</f>
        <v>DB</v>
      </c>
      <c r="G129" s="5">
        <f>IFERROR(__xludf.DUMMYFUNCTION("""COMPUTED_VALUE"""),9.628187595000005E7)</f>
        <v>96281875.95</v>
      </c>
      <c r="H129" s="5">
        <f>IFERROR(__xludf.DUMMYFUNCTION("""COMPUTED_VALUE"""),9.628187595E7)</f>
        <v>96281875.95</v>
      </c>
      <c r="I129" s="5"/>
    </row>
    <row r="130">
      <c r="A130" s="8">
        <f>IFERROR(__xludf.DUMMYFUNCTION("""COMPUTED_VALUE"""),46158.0)</f>
        <v>46158</v>
      </c>
      <c r="B130" s="5" t="str">
        <f>IFERROR(__xludf.DUMMYFUNCTION("""COMPUTED_VALUE"""),"KARTU DEBIT")</f>
        <v>KARTU DEBIT</v>
      </c>
      <c r="C130" s="5" t="str">
        <f>IFERROR(__xludf.DUMMYFUNCTION("""COMPUTED_VALUE"""),"ALFAMRT Y207 BRTN 6019009510239343")</f>
        <v>ALFAMRT Y207 BRTN 6019009510239343</v>
      </c>
      <c r="D130" s="5">
        <f>IFERROR(__xludf.DUMMYFUNCTION("""COMPUTED_VALUE"""),61700.0)</f>
        <v>61700</v>
      </c>
      <c r="E130" s="5"/>
      <c r="F130" s="5"/>
      <c r="G130" s="5">
        <f>IFERROR(__xludf.DUMMYFUNCTION("""COMPUTED_VALUE"""),9.622017595000005E7)</f>
        <v>96220175.95</v>
      </c>
      <c r="H130" s="5">
        <f>IFERROR(__xludf.DUMMYFUNCTION("""COMPUTED_VALUE"""),9.622017595E7)</f>
        <v>96220175.95</v>
      </c>
      <c r="I130" s="5"/>
    </row>
    <row r="131">
      <c r="A131" s="8">
        <f>IFERROR(__xludf.DUMMYFUNCTION("""COMPUTED_VALUE"""),46158.0)</f>
        <v>46158</v>
      </c>
      <c r="B131" s="5" t="str">
        <f>IFERROR(__xludf.DUMMYFUNCTION("""COMPUTED_VALUE"""),"TRSF E-BANKING DB")</f>
        <v>TRSF E-BANKING DB</v>
      </c>
      <c r="C131" s="5" t="str">
        <f>IFERROR(__xludf.DUMMYFUNCTION("""COMPUTED_VALUE"""),"1605/FTSCY/WS95031 4275000.00 pembayaran sepeda HERMAN HARJANTO")</f>
        <v>1605/FTSCY/WS95031 4275000.00 pembayaran sepeda HERMAN HARJANTO</v>
      </c>
      <c r="D131" s="5">
        <f>IFERROR(__xludf.DUMMYFUNCTION("""COMPUTED_VALUE"""),4275000.0)</f>
        <v>4275000</v>
      </c>
      <c r="E131" s="5"/>
      <c r="F131" s="5" t="str">
        <f>IFERROR(__xludf.DUMMYFUNCTION("""COMPUTED_VALUE"""),"DB")</f>
        <v>DB</v>
      </c>
      <c r="G131" s="5">
        <f>IFERROR(__xludf.DUMMYFUNCTION("""COMPUTED_VALUE"""),9.194517595000005E7)</f>
        <v>91945175.95</v>
      </c>
      <c r="H131" s="5"/>
      <c r="I131" s="5"/>
    </row>
    <row r="132">
      <c r="A132" s="8">
        <f>IFERROR(__xludf.DUMMYFUNCTION("""COMPUTED_VALUE"""),46158.0)</f>
        <v>46158</v>
      </c>
      <c r="B132" s="5" t="str">
        <f>IFERROR(__xludf.DUMMYFUNCTION("""COMPUTED_VALUE"""),"TARIKAN ATM 16/05")</f>
        <v>TARIKAN ATM 16/05</v>
      </c>
      <c r="C132" s="5" t="str">
        <f>IFERROR(__xludf.DUMMYFUNCTION("""COMPUTED_VALUE"""),"TARIKAN ATM 16/05")</f>
        <v>TARIKAN ATM 16/05</v>
      </c>
      <c r="D132" s="5">
        <f>IFERROR(__xludf.DUMMYFUNCTION("""COMPUTED_VALUE"""),1300000.0)</f>
        <v>1300000</v>
      </c>
      <c r="E132" s="5"/>
      <c r="F132" s="5"/>
      <c r="G132" s="5">
        <f>IFERROR(__xludf.DUMMYFUNCTION("""COMPUTED_VALUE"""),2.0031109595000005E8)</f>
        <v>200311096</v>
      </c>
      <c r="H132" s="5"/>
      <c r="I132" s="5"/>
    </row>
    <row r="133">
      <c r="A133" s="8">
        <f>IFERROR(__xludf.DUMMYFUNCTION("""COMPUTED_VALUE"""),46158.0)</f>
        <v>46158</v>
      </c>
      <c r="B133" s="5" t="str">
        <f>IFERROR(__xludf.DUMMYFUNCTION("""COMPUTED_VALUE"""),"TRSF E-BANKING DB")</f>
        <v>TRSF E-BANKING DB</v>
      </c>
      <c r="C133" s="5" t="str">
        <f>IFERROR(__xludf.DUMMYFUNCTION("""COMPUTED_VALUE"""),"1605/FTSCY/WS95271 116475450.00 Fri May 15 2026 14:00:00 GMT+0700 (Western Indonesia Time) GANESHA SATRIA NUS")</f>
        <v>1605/FTSCY/WS95271 116475450.00 Fri May 15 2026 14:00:00 GMT+0700 (Western Indonesia Time) GANESHA SATRIA NUS</v>
      </c>
      <c r="D133" s="5">
        <f>IFERROR(__xludf.DUMMYFUNCTION("""COMPUTED_VALUE"""),1.1647545E8)</f>
        <v>116475450</v>
      </c>
      <c r="E133" s="5"/>
      <c r="F133" s="5" t="str">
        <f>IFERROR(__xludf.DUMMYFUNCTION("""COMPUTED_VALUE"""),"DB")</f>
        <v>DB</v>
      </c>
      <c r="G133" s="5">
        <f>IFERROR(__xludf.DUMMYFUNCTION("""COMPUTED_VALUE"""),7.6636030595E8)</f>
        <v>766360306</v>
      </c>
      <c r="H133" s="5"/>
      <c r="I133" s="5"/>
    </row>
    <row r="134">
      <c r="A134" s="8">
        <f>IFERROR(__xludf.DUMMYFUNCTION("""COMPUTED_VALUE"""),46158.0)</f>
        <v>46158</v>
      </c>
      <c r="B134" s="5" t="str">
        <f>IFERROR(__xludf.DUMMYFUNCTION("""COMPUTED_VALUE"""),"TRSF E-BANKING DB")</f>
        <v>TRSF E-BANKING DB</v>
      </c>
      <c r="C134" s="5" t="str">
        <f>IFERROR(__xludf.DUMMYFUNCTION("""COMPUTED_VALUE"""),"1605/FTSCY/WS95011 350000000.00 pelunasan 14/05 SUPER UNGGAS JAYA")</f>
        <v>1605/FTSCY/WS95011 350000000.00 pelunasan 14/05 SUPER UNGGAS JAYA</v>
      </c>
      <c r="D134" s="5">
        <f>IFERROR(__xludf.DUMMYFUNCTION("""COMPUTED_VALUE"""),3.5E8)</f>
        <v>350000000</v>
      </c>
      <c r="E134" s="5"/>
      <c r="F134" s="5" t="str">
        <f>IFERROR(__xludf.DUMMYFUNCTION("""COMPUTED_VALUE"""),"DB")</f>
        <v>DB</v>
      </c>
      <c r="G134" s="5">
        <f>IFERROR(__xludf.DUMMYFUNCTION("""COMPUTED_VALUE"""),4.1636030595000005E8)</f>
        <v>416360306</v>
      </c>
      <c r="H134" s="5"/>
      <c r="I134" s="5"/>
    </row>
    <row r="135">
      <c r="A135" s="8">
        <f>IFERROR(__xludf.DUMMYFUNCTION("""COMPUTED_VALUE"""),46158.0)</f>
        <v>46158</v>
      </c>
      <c r="B135" s="5" t="str">
        <f>IFERROR(__xludf.DUMMYFUNCTION("""COMPUTED_VALUE"""),"TRSF E-BANKING DB")</f>
        <v>TRSF E-BANKING DB</v>
      </c>
      <c r="C135" s="5" t="str">
        <f>IFERROR(__xludf.DUMMYFUNCTION("""COMPUTED_VALUE"""),"1605/FTSCY/WS95031 54600000.00 Fri May 15 2026 14:00:00 GMT+0700 (Western Indonesia Time) RUKUN MITRA BERSAM")</f>
        <v>1605/FTSCY/WS95031 54600000.00 Fri May 15 2026 14:00:00 GMT+0700 (Western Indonesia Time) RUKUN MITRA BERSAM</v>
      </c>
      <c r="D135" s="5">
        <f>IFERROR(__xludf.DUMMYFUNCTION("""COMPUTED_VALUE"""),5.46E7)</f>
        <v>54600000</v>
      </c>
      <c r="E135" s="5"/>
      <c r="F135" s="5" t="str">
        <f>IFERROR(__xludf.DUMMYFUNCTION("""COMPUTED_VALUE"""),"DB")</f>
        <v>DB</v>
      </c>
      <c r="G135" s="5">
        <f>IFERROR(__xludf.DUMMYFUNCTION("""COMPUTED_VALUE"""),3.6176030595000005E8)</f>
        <v>361760306</v>
      </c>
      <c r="H135" s="5"/>
      <c r="I135" s="5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>
        <f>IFERROR(__xludf.DUMMYFUNCTION("IFERROR(QUERY(MEI_2023!A:I, ""SELECT * WHERE D IS NOT NULL AND UPPER(I) = 'PRIBADI'"", 1), ""Data PRIBADI belum ditemukan"") "),46144.0)</f>
        <v>46144</v>
      </c>
      <c r="B1" s="5" t="str">
        <f>IFERROR(__xludf.DUMMYFUNCTION("""COMPUTED_VALUE"""),"BYR VIA E-BANKING")</f>
        <v>BYR VIA E-BANKING</v>
      </c>
      <c r="C1" s="5" t="str">
        <f>IFERROR(__xludf.DUMMYFUNCTION("""COMPUTED_VALUE"""),"02/05  WSID9503100 0865 PLN PREPAID 32104859353 MUHAMMAD HAIRUL MA")</f>
        <v>02/05  WSID9503100 0865 PLN PREPAID 32104859353 MUHAMMAD HAIRUL MA</v>
      </c>
      <c r="D1" s="5">
        <f>IFERROR(__xludf.DUMMYFUNCTION("""COMPUTED_VALUE"""),202500.0)</f>
        <v>202500</v>
      </c>
      <c r="E1" s="5"/>
      <c r="F1" s="5"/>
      <c r="G1" s="5">
        <f>IFERROR(__xludf.DUMMYFUNCTION("""COMPUTED_VALUE"""),4.2064489995E8)</f>
        <v>420644900</v>
      </c>
      <c r="H1" s="5"/>
      <c r="I1" s="5" t="str">
        <f>IFERROR(__xludf.DUMMYFUNCTION("""COMPUTED_VALUE"""),"PRIBADI")</f>
        <v>PRIBADI</v>
      </c>
      <c r="J1" s="5">
        <f>SUM(D1:D1000)</f>
        <v>5651041550</v>
      </c>
    </row>
    <row r="2">
      <c r="A2" s="8">
        <f>IFERROR(__xludf.DUMMYFUNCTION("""COMPUTED_VALUE"""),46144.0)</f>
        <v>46144</v>
      </c>
      <c r="B2" s="5" t="str">
        <f>IFERROR(__xludf.DUMMYFUNCTION("""COMPUTED_VALUE"""),"TRSF E-BANKING DB")</f>
        <v>TRSF E-BANKING DB</v>
      </c>
      <c r="C2" s="5" t="str">
        <f>IFERROR(__xludf.DUMMYFUNCTION("""COMPUTED_VALUE"""),"0205/FTSCY/WS95031 1278780.00 SUPRIYADI")</f>
        <v>0205/FTSCY/WS95031 1278780.00 SUPRIYADI</v>
      </c>
      <c r="D2" s="5">
        <f>IFERROR(__xludf.DUMMYFUNCTION("""COMPUTED_VALUE"""),1278780.0)</f>
        <v>1278780</v>
      </c>
      <c r="E2" s="5"/>
      <c r="F2" s="5" t="str">
        <f>IFERROR(__xludf.DUMMYFUNCTION("""COMPUTED_VALUE"""),"DB")</f>
        <v>DB</v>
      </c>
      <c r="G2" s="5">
        <f>IFERROR(__xludf.DUMMYFUNCTION("""COMPUTED_VALUE"""),4.1936611995E8)</f>
        <v>419366120</v>
      </c>
      <c r="H2" s="5"/>
      <c r="I2" s="5" t="str">
        <f>IFERROR(__xludf.DUMMYFUNCTION("""COMPUTED_VALUE"""),"PRIBADI")</f>
        <v>PRIBADI</v>
      </c>
    </row>
    <row r="3">
      <c r="A3" s="8">
        <f>IFERROR(__xludf.DUMMYFUNCTION("""COMPUTED_VALUE"""),46144.0)</f>
        <v>46144</v>
      </c>
      <c r="B3" s="5" t="str">
        <f>IFERROR(__xludf.DUMMYFUNCTION("""COMPUTED_VALUE"""),"TRSF E-BANKING DB")</f>
        <v>TRSF E-BANKING DB</v>
      </c>
      <c r="C3" s="5" t="str">
        <f>IFERROR(__xludf.DUMMYFUNCTION("""COMPUTED_VALUE"""),"0205/FTSCY/WS95011 92143320.00 29 dan 01 lunas ANDALAN YASA MITRA")</f>
        <v>0205/FTSCY/WS95011 92143320.00 29 dan 01 lunas ANDALAN YASA MITRA</v>
      </c>
      <c r="D3" s="5">
        <f>IFERROR(__xludf.DUMMYFUNCTION("""COMPUTED_VALUE"""),9.214332E7)</f>
        <v>92143320</v>
      </c>
      <c r="E3" s="5"/>
      <c r="F3" s="5" t="str">
        <f>IFERROR(__xludf.DUMMYFUNCTION("""COMPUTED_VALUE"""),"DB")</f>
        <v>DB</v>
      </c>
      <c r="G3" s="5">
        <f>IFERROR(__xludf.DUMMYFUNCTION("""COMPUTED_VALUE"""),2.3422279995E8)</f>
        <v>234222800</v>
      </c>
      <c r="H3" s="5"/>
      <c r="I3" s="5" t="str">
        <f>IFERROR(__xludf.DUMMYFUNCTION("""COMPUTED_VALUE"""),"PRIBADI")</f>
        <v>PRIBADI</v>
      </c>
    </row>
    <row r="4">
      <c r="A4" s="8">
        <f>IFERROR(__xludf.DUMMYFUNCTION("""COMPUTED_VALUE"""),46150.0)</f>
        <v>46150</v>
      </c>
      <c r="B4" s="5" t="str">
        <f>IFERROR(__xludf.DUMMYFUNCTION("""COMPUTED_VALUE"""),"TRSF E-BANKING DB")</f>
        <v>TRSF E-BANKING DB</v>
      </c>
      <c r="C4" s="5" t="str">
        <f>IFERROR(__xludf.DUMMYFUNCTION("""COMPUTED_VALUE"""),"0805/FTSCY/WS95031 100000.00 byr wifi O 21 SAIFUL BAHRI")</f>
        <v>0805/FTSCY/WS95031 100000.00 byr wifi O 21 SAIFUL BAHRI</v>
      </c>
      <c r="D4" s="5">
        <f>IFERROR(__xludf.DUMMYFUNCTION("""COMPUTED_VALUE"""),100000.0)</f>
        <v>100000</v>
      </c>
      <c r="E4" s="5"/>
      <c r="F4" s="5" t="str">
        <f>IFERROR(__xludf.DUMMYFUNCTION("""COMPUTED_VALUE"""),"DB")</f>
        <v>DB</v>
      </c>
      <c r="G4" s="5">
        <f>IFERROR(__xludf.DUMMYFUNCTION("""COMPUTED_VALUE"""),1.0349615595000005E8)</f>
        <v>103496156</v>
      </c>
      <c r="H4" s="5">
        <f>IFERROR(__xludf.DUMMYFUNCTION("""COMPUTED_VALUE"""),1.0349615595E8)</f>
        <v>103496156</v>
      </c>
      <c r="I4" s="5" t="str">
        <f>IFERROR(__xludf.DUMMYFUNCTION("""COMPUTED_VALUE"""),"PRIBADI")</f>
        <v>PRIBADI</v>
      </c>
    </row>
    <row r="5">
      <c r="A5" s="8">
        <f>IFERROR(__xludf.DUMMYFUNCTION("""COMPUTED_VALUE"""),46154.0)</f>
        <v>46154</v>
      </c>
      <c r="B5" s="5" t="str">
        <f>IFERROR(__xludf.DUMMYFUNCTION("""COMPUTED_VALUE"""),"TRSF E-BANKING DB TANGGAL :11/05")</f>
        <v>TRSF E-BANKING DB TANGGAL :11/05</v>
      </c>
      <c r="C5" s="5" t="str">
        <f>IFERROR(__xludf.DUMMYFUNCTION("""COMPUTED_VALUE"""),"1105/FTSCY/WS95011 Sat May 09 2026 14:00:00 GMT+0700 (Western Indonesia Time) ANDALAN YASA MITRA")</f>
        <v>1105/FTSCY/WS95011 Sat May 09 2026 14:00:00 GMT+0700 (Western Indonesia Time) ANDALAN YASA MITRA</v>
      </c>
      <c r="D5" s="5">
        <f>IFERROR(__xludf.DUMMYFUNCTION("""COMPUTED_VALUE"""),5.752236E7)</f>
        <v>57522360</v>
      </c>
      <c r="E5" s="5"/>
      <c r="F5" s="5" t="str">
        <f>IFERROR(__xludf.DUMMYFUNCTION("""COMPUTED_VALUE"""),"DB")</f>
        <v>DB</v>
      </c>
      <c r="G5" s="5">
        <f>IFERROR(__xludf.DUMMYFUNCTION("""COMPUTED_VALUE"""),1.9000562595000005E8)</f>
        <v>190005626</v>
      </c>
      <c r="H5" s="5"/>
      <c r="I5" s="5" t="str">
        <f>IFERROR(__xludf.DUMMYFUNCTION("""COMPUTED_VALUE"""),"PRIBADI")</f>
        <v>PRIBADI</v>
      </c>
    </row>
    <row r="6">
      <c r="A6" s="8">
        <f>IFERROR(__xludf.DUMMYFUNCTION("""COMPUTED_VALUE"""),46154.0)</f>
        <v>46154</v>
      </c>
      <c r="B6" s="5" t="str">
        <f>IFERROR(__xludf.DUMMYFUNCTION("""COMPUTED_VALUE"""),"TRSF E-BANKING DB TANGGAL :11/05")</f>
        <v>TRSF E-BANKING DB TANGGAL :11/05</v>
      </c>
      <c r="C6" s="5" t="str">
        <f>IFERROR(__xludf.DUMMYFUNCTION("""COMPUTED_VALUE"""),"1105/FTSCY/WS95011 Sun May 10 2026 14:00:00 GMT+0700 (Western Indonesia Time) SUPER UNGGAS JAYA")</f>
        <v>1105/FTSCY/WS95011 Sun May 10 2026 14:00:00 GMT+0700 (Western Indonesia Time) SUPER UNGGAS JAYA</v>
      </c>
      <c r="D6" s="5">
        <f>IFERROR(__xludf.DUMMYFUNCTION("""COMPUTED_VALUE"""),1.1416676E8)</f>
        <v>114166760</v>
      </c>
      <c r="E6" s="5"/>
      <c r="F6" s="5" t="str">
        <f>IFERROR(__xludf.DUMMYFUNCTION("""COMPUTED_VALUE"""),"DB")</f>
        <v>DB</v>
      </c>
      <c r="G6" s="5">
        <f>IFERROR(__xludf.DUMMYFUNCTION("""COMPUTED_VALUE"""),7.583886595000005E7)</f>
        <v>75838865.95</v>
      </c>
      <c r="H6" s="5"/>
      <c r="I6" s="5" t="str">
        <f>IFERROR(__xludf.DUMMYFUNCTION("""COMPUTED_VALUE"""),"PRIBADI")</f>
        <v>PRIBADI</v>
      </c>
    </row>
    <row r="7">
      <c r="A7" s="8">
        <f>IFERROR(__xludf.DUMMYFUNCTION("""COMPUTED_VALUE"""),46154.0)</f>
        <v>46154</v>
      </c>
      <c r="B7" s="5" t="str">
        <f>IFERROR(__xludf.DUMMYFUNCTION("""COMPUTED_VALUE"""),"TRSF E-BANKING DB TANGGAL :11/05")</f>
        <v>TRSF E-BANKING DB TANGGAL :11/05</v>
      </c>
      <c r="C7" s="5" t="str">
        <f>IFERROR(__xludf.DUMMYFUNCTION("""COMPUTED_VALUE"""),"1105/FTSCY/WS95031 NURHAYATI")</f>
        <v>1105/FTSCY/WS95031 NURHAYATI</v>
      </c>
      <c r="D7" s="5">
        <f>IFERROR(__xludf.DUMMYFUNCTION("""COMPUTED_VALUE"""),1214540.0)</f>
        <v>1214540</v>
      </c>
      <c r="E7" s="5"/>
      <c r="F7" s="5" t="str">
        <f>IFERROR(__xludf.DUMMYFUNCTION("""COMPUTED_VALUE"""),"DB")</f>
        <v>DB</v>
      </c>
      <c r="G7" s="5">
        <f>IFERROR(__xludf.DUMMYFUNCTION("""COMPUTED_VALUE"""),7.462432595000005E7)</f>
        <v>74624325.95</v>
      </c>
      <c r="H7" s="5"/>
      <c r="I7" s="5" t="str">
        <f>IFERROR(__xludf.DUMMYFUNCTION("""COMPUTED_VALUE"""),"PRIBADI")</f>
        <v>PRIBADI</v>
      </c>
    </row>
    <row r="8">
      <c r="A8" s="8">
        <f>IFERROR(__xludf.DUMMYFUNCTION("""COMPUTED_VALUE"""),46154.0)</f>
        <v>46154</v>
      </c>
      <c r="B8" s="5" t="str">
        <f>IFERROR(__xludf.DUMMYFUNCTION("""COMPUTED_VALUE"""),"TRSF E-BANKING DB")</f>
        <v>TRSF E-BANKING DB</v>
      </c>
      <c r="C8" s="5" t="str">
        <f>IFERROR(__xludf.DUMMYFUNCTION("""COMPUTED_VALUE"""),"1205/FTSCY/WS95271 40604450.00 Mon May 11 2026 14:00:00 GMT+0700 (Western Indonesia Time) GANESHA SATRIA NUS")</f>
        <v>1205/FTSCY/WS95271 40604450.00 Mon May 11 2026 14:00:00 GMT+0700 (Western Indonesia Time) GANESHA SATRIA NUS</v>
      </c>
      <c r="D8" s="5">
        <f>IFERROR(__xludf.DUMMYFUNCTION("""COMPUTED_VALUE"""),4.060445E7)</f>
        <v>40604450</v>
      </c>
      <c r="E8" s="5"/>
      <c r="F8" s="5" t="str">
        <f>IFERROR(__xludf.DUMMYFUNCTION("""COMPUTED_VALUE"""),"DB")</f>
        <v>DB</v>
      </c>
      <c r="G8" s="5">
        <f>IFERROR(__xludf.DUMMYFUNCTION("""COMPUTED_VALUE"""),3.8979867595000005E8)</f>
        <v>389798676</v>
      </c>
      <c r="H8" s="5"/>
      <c r="I8" s="5" t="str">
        <f>IFERROR(__xludf.DUMMYFUNCTION("""COMPUTED_VALUE"""),"PRIBADI")</f>
        <v>PRIBADI</v>
      </c>
    </row>
    <row r="9">
      <c r="A9" s="8">
        <f>IFERROR(__xludf.DUMMYFUNCTION("""COMPUTED_VALUE"""),46154.0)</f>
        <v>46154</v>
      </c>
      <c r="B9" s="5" t="str">
        <f>IFERROR(__xludf.DUMMYFUNCTION("""COMPUTED_VALUE"""),"TRSF E-BANKING DB")</f>
        <v>TRSF E-BANKING DB</v>
      </c>
      <c r="C9" s="5" t="str">
        <f>IFERROR(__xludf.DUMMYFUNCTION("""COMPUTED_VALUE"""),"1205/FTSCY/WS95271 110589000.00 Mon May 11 2026 14:00:00 GMT+0700 (Western Indonesia Time) ANDALAN YASA MITRA")</f>
        <v>1205/FTSCY/WS95271 110589000.00 Mon May 11 2026 14:00:00 GMT+0700 (Western Indonesia Time) ANDALAN YASA MITRA</v>
      </c>
      <c r="D9" s="5">
        <f>IFERROR(__xludf.DUMMYFUNCTION("""COMPUTED_VALUE"""),1.10589E8)</f>
        <v>110589000</v>
      </c>
      <c r="E9" s="5"/>
      <c r="F9" s="5" t="str">
        <f>IFERROR(__xludf.DUMMYFUNCTION("""COMPUTED_VALUE"""),"DB")</f>
        <v>DB</v>
      </c>
      <c r="G9" s="5">
        <f>IFERROR(__xludf.DUMMYFUNCTION("""COMPUTED_VALUE"""),2.7920967595000005E8)</f>
        <v>279209676</v>
      </c>
      <c r="H9" s="5">
        <f>IFERROR(__xludf.DUMMYFUNCTION("""COMPUTED_VALUE"""),2.7920967595E8)</f>
        <v>279209676</v>
      </c>
      <c r="I9" s="5" t="str">
        <f>IFERROR(__xludf.DUMMYFUNCTION("""COMPUTED_VALUE"""),"PRIBADI")</f>
        <v>PRIBADI</v>
      </c>
    </row>
    <row r="10">
      <c r="A10" s="8">
        <f>IFERROR(__xludf.DUMMYFUNCTION("""COMPUTED_VALUE"""),46155.0)</f>
        <v>46155</v>
      </c>
      <c r="B10" s="5" t="str">
        <f>IFERROR(__xludf.DUMMYFUNCTION("""COMPUTED_VALUE"""),"TRSF E-BANKING DB TANGGAL :12/05")</f>
        <v>TRSF E-BANKING DB TANGGAL :12/05</v>
      </c>
      <c r="C10" s="5" t="str">
        <f>IFERROR(__xludf.DUMMYFUNCTION("""COMPUTED_VALUE"""),"1205/FTSCY/WS95011 Mon May 11 2026 14:00:00 GMT+0700 (Western Indonesia Time) SUPER UNGGAS JAYA")</f>
        <v>1205/FTSCY/WS95011 Mon May 11 2026 14:00:00 GMT+0700 (Western Indonesia Time) SUPER UNGGAS JAYA</v>
      </c>
      <c r="D10" s="5">
        <f>IFERROR(__xludf.DUMMYFUNCTION("""COMPUTED_VALUE"""),2.2598672E8)</f>
        <v>225986720</v>
      </c>
      <c r="E10" s="5"/>
      <c r="F10" s="5" t="str">
        <f>IFERROR(__xludf.DUMMYFUNCTION("""COMPUTED_VALUE"""),"DB")</f>
        <v>DB</v>
      </c>
      <c r="G10" s="5">
        <f>IFERROR(__xludf.DUMMYFUNCTION("""COMPUTED_VALUE"""),5.322295595000005E7)</f>
        <v>53222955.95</v>
      </c>
      <c r="H10" s="5"/>
      <c r="I10" s="5" t="str">
        <f>IFERROR(__xludf.DUMMYFUNCTION("""COMPUTED_VALUE"""),"PRIBADI")</f>
        <v>PRIBADI</v>
      </c>
    </row>
    <row r="11">
      <c r="A11" s="8">
        <f>IFERROR(__xludf.DUMMYFUNCTION("""COMPUTED_VALUE"""),46155.0)</f>
        <v>46155</v>
      </c>
      <c r="B11" s="5" t="str">
        <f>IFERROR(__xludf.DUMMYFUNCTION("""COMPUTED_VALUE"""),"TRSF E-BANKING DB TANGGAL :12/05")</f>
        <v>TRSF E-BANKING DB TANGGAL :12/05</v>
      </c>
      <c r="C11" s="5" t="str">
        <f>IFERROR(__xludf.DUMMYFUNCTION("""COMPUTED_VALUE"""),"1205/FTSCY/WS95031 NURHAYATI")</f>
        <v>1205/FTSCY/WS95031 NURHAYATI</v>
      </c>
      <c r="D11" s="5">
        <f>IFERROR(__xludf.DUMMYFUNCTION("""COMPUTED_VALUE"""),1164880.0)</f>
        <v>1164880</v>
      </c>
      <c r="E11" s="5"/>
      <c r="F11" s="5" t="str">
        <f>IFERROR(__xludf.DUMMYFUNCTION("""COMPUTED_VALUE"""),"DB")</f>
        <v>DB</v>
      </c>
      <c r="G11" s="5">
        <f>IFERROR(__xludf.DUMMYFUNCTION("""COMPUTED_VALUE"""),5.205807595000005E7)</f>
        <v>52058075.95</v>
      </c>
      <c r="H11" s="5">
        <f>IFERROR(__xludf.DUMMYFUNCTION("""COMPUTED_VALUE"""),5.205807595E7)</f>
        <v>52058075.95</v>
      </c>
      <c r="I11" s="5" t="str">
        <f>IFERROR(__xludf.DUMMYFUNCTION("""COMPUTED_VALUE"""),"PRIBADI")</f>
        <v>PRIBADI</v>
      </c>
    </row>
    <row r="12">
      <c r="A12" s="8">
        <f>IFERROR(__xludf.DUMMYFUNCTION("""COMPUTED_VALUE"""),46155.0)</f>
        <v>46155</v>
      </c>
      <c r="B12" s="5" t="str">
        <f>IFERROR(__xludf.DUMMYFUNCTION("""COMPUTED_VALUE"""),"BI-FAST DB TANGGAL :12/05")</f>
        <v>BI-FAST DB TANGGAL :12/05</v>
      </c>
      <c r="C12" s="5" t="str">
        <f>IFERROR(__xludf.DUMMYFUNCTION("""COMPUTED_VALUE"""),"BIF TRANSFER KE ZAINUDIN M-BCA")</f>
        <v>BIF TRANSFER KE ZAINUDIN M-BCA</v>
      </c>
      <c r="D12" s="5">
        <f>IFERROR(__xludf.DUMMYFUNCTION("""COMPUTED_VALUE"""),2846750.0)</f>
        <v>2846750</v>
      </c>
      <c r="E12" s="5"/>
      <c r="F12" s="5" t="str">
        <f>IFERROR(__xludf.DUMMYFUNCTION("""COMPUTED_VALUE"""),"DB")</f>
        <v>DB</v>
      </c>
      <c r="G12" s="5">
        <f>IFERROR(__xludf.DUMMYFUNCTION("""COMPUTED_VALUE"""),4.921132595000005E7)</f>
        <v>49211325.95</v>
      </c>
      <c r="H12" s="5">
        <f>IFERROR(__xludf.DUMMYFUNCTION("""COMPUTED_VALUE"""),4.921132595E7)</f>
        <v>49211325.95</v>
      </c>
      <c r="I12" s="5" t="str">
        <f>IFERROR(__xludf.DUMMYFUNCTION("""COMPUTED_VALUE"""),"PRIBADI")</f>
        <v>PRIBADI</v>
      </c>
    </row>
    <row r="13">
      <c r="A13" s="8">
        <f>IFERROR(__xludf.DUMMYFUNCTION("""COMPUTED_VALUE"""),46155.0)</f>
        <v>46155</v>
      </c>
      <c r="B13" s="5" t="str">
        <f>IFERROR(__xludf.DUMMYFUNCTION("""COMPUTED_VALUE"""),"BI-FAST DB TANGGAL :12/05")</f>
        <v>BI-FAST DB TANGGAL :12/05</v>
      </c>
      <c r="C13" s="5" t="str">
        <f>IFERROR(__xludf.DUMMYFUNCTION("""COMPUTED_VALUE"""),"BIF BIAYA TXN KE ZAINUDIN M-BCA")</f>
        <v>BIF BIAYA TXN KE ZAINUDIN M-BCA</v>
      </c>
      <c r="D13" s="5">
        <f>IFERROR(__xludf.DUMMYFUNCTION("""COMPUTED_VALUE"""),2500.0)</f>
        <v>2500</v>
      </c>
      <c r="E13" s="5"/>
      <c r="F13" s="5" t="str">
        <f>IFERROR(__xludf.DUMMYFUNCTION("""COMPUTED_VALUE"""),"DB")</f>
        <v>DB</v>
      </c>
      <c r="G13" s="5">
        <f>IFERROR(__xludf.DUMMYFUNCTION("""COMPUTED_VALUE"""),4.920882595000005E7)</f>
        <v>49208825.95</v>
      </c>
      <c r="H13" s="5"/>
      <c r="I13" s="5" t="str">
        <f>IFERROR(__xludf.DUMMYFUNCTION("""COMPUTED_VALUE"""),"PRIBADI")</f>
        <v>PRIBADI</v>
      </c>
    </row>
    <row r="14">
      <c r="A14" s="8">
        <f>IFERROR(__xludf.DUMMYFUNCTION("""COMPUTED_VALUE"""),46155.0)</f>
        <v>46155</v>
      </c>
      <c r="B14" s="5" t="str">
        <f>IFERROR(__xludf.DUMMYFUNCTION("""COMPUTED_VALUE"""),"TRSF E-BANKING DB")</f>
        <v>TRSF E-BANKING DB</v>
      </c>
      <c r="C14" s="5" t="str">
        <f>IFERROR(__xludf.DUMMYFUNCTION("""COMPUTED_VALUE"""),"1305/FTSCY/WS95031 20252450.00 krg 50 jt EKO SETIYAWAN")</f>
        <v>1305/FTSCY/WS95031 20252450.00 krg 50 jt EKO SETIYAWAN</v>
      </c>
      <c r="D14" s="5">
        <f>IFERROR(__xludf.DUMMYFUNCTION("""COMPUTED_VALUE"""),2.025245E7)</f>
        <v>20252450</v>
      </c>
      <c r="E14" s="5"/>
      <c r="F14" s="5" t="str">
        <f>IFERROR(__xludf.DUMMYFUNCTION("""COMPUTED_VALUE"""),"DB")</f>
        <v>DB</v>
      </c>
      <c r="G14" s="5">
        <f>IFERROR(__xludf.DUMMYFUNCTION("""COMPUTED_VALUE"""),2.6820135950000048E7)</f>
        <v>26820135.95</v>
      </c>
      <c r="H14" s="5"/>
      <c r="I14" s="5" t="str">
        <f>IFERROR(__xludf.DUMMYFUNCTION("""COMPUTED_VALUE"""),"PRIBADI")</f>
        <v>PRIBADI</v>
      </c>
    </row>
    <row r="15">
      <c r="A15" s="8">
        <f>IFERROR(__xludf.DUMMYFUNCTION("""COMPUTED_VALUE"""),46155.0)</f>
        <v>46155</v>
      </c>
      <c r="B15" s="5" t="str">
        <f>IFERROR(__xludf.DUMMYFUNCTION("""COMPUTED_VALUE"""),"TRSF E-BANKING DB")</f>
        <v>TRSF E-BANKING DB</v>
      </c>
      <c r="C15" s="5" t="str">
        <f>IFERROR(__xludf.DUMMYFUNCTION("""COMPUTED_VALUE"""),"1305/FTSCY/WS95271 200000.00 MUHAMMAD HAIRUL MA")</f>
        <v>1305/FTSCY/WS95271 200000.00 MUHAMMAD HAIRUL MA</v>
      </c>
      <c r="D15" s="5">
        <f>IFERROR(__xludf.DUMMYFUNCTION("""COMPUTED_VALUE"""),200000.0)</f>
        <v>200000</v>
      </c>
      <c r="E15" s="5"/>
      <c r="F15" s="5" t="str">
        <f>IFERROR(__xludf.DUMMYFUNCTION("""COMPUTED_VALUE"""),"DB")</f>
        <v>DB</v>
      </c>
      <c r="G15" s="5">
        <f>IFERROR(__xludf.DUMMYFUNCTION("""COMPUTED_VALUE"""),2.6620135950000048E7)</f>
        <v>26620135.95</v>
      </c>
      <c r="H15" s="5"/>
      <c r="I15" s="5" t="str">
        <f>IFERROR(__xludf.DUMMYFUNCTION("""COMPUTED_VALUE"""),"PRIBADI")</f>
        <v>PRIBADI</v>
      </c>
    </row>
    <row r="16">
      <c r="A16" s="8">
        <f>IFERROR(__xludf.DUMMYFUNCTION("""COMPUTED_VALUE"""),46156.0)</f>
        <v>46156</v>
      </c>
      <c r="B16" s="5" t="str">
        <f>IFERROR(__xludf.DUMMYFUNCTION("""COMPUTED_VALUE"""),"TRSF E-BANKING DB")</f>
        <v>TRSF E-BANKING DB</v>
      </c>
      <c r="C16" s="5" t="str">
        <f>IFERROR(__xludf.DUMMYFUNCTION("""COMPUTED_VALUE"""),"1405/FTSCY/WS95271 105730720.00 Tue May 12 2026 14:00:00 GMT+0700 (Western Indonesia Time) BROILER MAKMUR TAN")</f>
        <v>1405/FTSCY/WS95271 105730720.00 Tue May 12 2026 14:00:00 GMT+0700 (Western Indonesia Time) BROILER MAKMUR TAN</v>
      </c>
      <c r="D16" s="5">
        <f>IFERROR(__xludf.DUMMYFUNCTION("""COMPUTED_VALUE"""),1.0573072E8)</f>
        <v>105730720</v>
      </c>
      <c r="E16" s="5"/>
      <c r="F16" s="5" t="str">
        <f>IFERROR(__xludf.DUMMYFUNCTION("""COMPUTED_VALUE"""),"DB")</f>
        <v>DB</v>
      </c>
      <c r="G16" s="5">
        <f>IFERROR(__xludf.DUMMYFUNCTION("""COMPUTED_VALUE"""),9.726978595000005E7)</f>
        <v>97269785.95</v>
      </c>
      <c r="H16" s="5"/>
      <c r="I16" s="5" t="str">
        <f>IFERROR(__xludf.DUMMYFUNCTION("""COMPUTED_VALUE"""),"PRIBADI")</f>
        <v>PRIBADI</v>
      </c>
    </row>
    <row r="17">
      <c r="A17" s="8">
        <f>IFERROR(__xludf.DUMMYFUNCTION("""COMPUTED_VALUE"""),46156.0)</f>
        <v>46156</v>
      </c>
      <c r="B17" s="5" t="str">
        <f>IFERROR(__xludf.DUMMYFUNCTION("""COMPUTED_VALUE"""),"TRSF E-BANKING DB")</f>
        <v>TRSF E-BANKING DB</v>
      </c>
      <c r="C17" s="5" t="str">
        <f>IFERROR(__xludf.DUMMYFUNCTION("""COMPUTED_VALUE"""),"1405/FTSCY/WS95271 60861020.00 Tue May 12 2026 14:00:00 GMT+0700 (Western Indonesia Time) SURYA INTI TERNAK")</f>
        <v>1405/FTSCY/WS95271 60861020.00 Tue May 12 2026 14:00:00 GMT+0700 (Western Indonesia Time) SURYA INTI TERNAK</v>
      </c>
      <c r="D17" s="5">
        <f>IFERROR(__xludf.DUMMYFUNCTION("""COMPUTED_VALUE"""),6.086102E7)</f>
        <v>60861020</v>
      </c>
      <c r="E17" s="5"/>
      <c r="F17" s="5" t="str">
        <f>IFERROR(__xludf.DUMMYFUNCTION("""COMPUTED_VALUE"""),"DB")</f>
        <v>DB</v>
      </c>
      <c r="G17" s="5">
        <f>IFERROR(__xludf.DUMMYFUNCTION("""COMPUTED_VALUE"""),3.640876595000005E7)</f>
        <v>36408765.95</v>
      </c>
      <c r="H17" s="5"/>
      <c r="I17" s="5" t="str">
        <f>IFERROR(__xludf.DUMMYFUNCTION("""COMPUTED_VALUE"""),"PRIBADI")</f>
        <v>PRIBADI</v>
      </c>
    </row>
    <row r="18">
      <c r="A18" s="8">
        <f>IFERROR(__xludf.DUMMYFUNCTION("""COMPUTED_VALUE"""),46156.0)</f>
        <v>46156</v>
      </c>
      <c r="B18" s="5" t="str">
        <f>IFERROR(__xludf.DUMMYFUNCTION("""COMPUTED_VALUE"""),"BI-FAST DB")</f>
        <v>BI-FAST DB</v>
      </c>
      <c r="C18" s="5" t="str">
        <f>IFERROR(__xludf.DUMMYFUNCTION("""COMPUTED_VALUE"""),"BIF TRANSFER KE 2 RINDA MIA JAYANTI M-BCA")</f>
        <v>BIF TRANSFER KE 2 RINDA MIA JAYANTI M-BCA</v>
      </c>
      <c r="D18" s="5">
        <f>IFERROR(__xludf.DUMMYFUNCTION("""COMPUTED_VALUE"""),2700000.0)</f>
        <v>2700000</v>
      </c>
      <c r="E18" s="5"/>
      <c r="F18" s="5" t="str">
        <f>IFERROR(__xludf.DUMMYFUNCTION("""COMPUTED_VALUE"""),"DB")</f>
        <v>DB</v>
      </c>
      <c r="G18" s="5">
        <f>IFERROR(__xludf.DUMMYFUNCTION("""COMPUTED_VALUE"""),3.370876595000005E7)</f>
        <v>33708765.95</v>
      </c>
      <c r="H18" s="5"/>
      <c r="I18" s="5" t="str">
        <f>IFERROR(__xludf.DUMMYFUNCTION("""COMPUTED_VALUE"""),"PRIBADI")</f>
        <v>PRIBADI</v>
      </c>
    </row>
    <row r="19">
      <c r="A19" s="8">
        <f>IFERROR(__xludf.DUMMYFUNCTION("""COMPUTED_VALUE"""),46156.0)</f>
        <v>46156</v>
      </c>
      <c r="B19" s="5" t="str">
        <f>IFERROR(__xludf.DUMMYFUNCTION("""COMPUTED_VALUE"""),"BI-FAST DB")</f>
        <v>BI-FAST DB</v>
      </c>
      <c r="C19" s="5" t="str">
        <f>IFERROR(__xludf.DUMMYFUNCTION("""COMPUTED_VALUE"""),"BIF BIAYA TXN KE 2 RINDA MIA JAYANTI M-BCA")</f>
        <v>BIF BIAYA TXN KE 2 RINDA MIA JAYANTI M-BCA</v>
      </c>
      <c r="D19" s="5">
        <f>IFERROR(__xludf.DUMMYFUNCTION("""COMPUTED_VALUE"""),2500.0)</f>
        <v>2500</v>
      </c>
      <c r="E19" s="5"/>
      <c r="F19" s="5" t="str">
        <f>IFERROR(__xludf.DUMMYFUNCTION("""COMPUTED_VALUE"""),"DB")</f>
        <v>DB</v>
      </c>
      <c r="G19" s="5">
        <f>IFERROR(__xludf.DUMMYFUNCTION("""COMPUTED_VALUE"""),3.370626595000005E7)</f>
        <v>33706265.95</v>
      </c>
      <c r="H19" s="5">
        <f>IFERROR(__xludf.DUMMYFUNCTION("""COMPUTED_VALUE"""),3.370626595E7)</f>
        <v>33706265.95</v>
      </c>
      <c r="I19" s="5" t="str">
        <f>IFERROR(__xludf.DUMMYFUNCTION("""COMPUTED_VALUE"""),"PRIBADI")</f>
        <v>PRIBADI</v>
      </c>
    </row>
    <row r="20">
      <c r="A20" s="8">
        <f>IFERROR(__xludf.DUMMYFUNCTION("""COMPUTED_VALUE"""),46157.0)</f>
        <v>46157</v>
      </c>
      <c r="B20" s="5" t="str">
        <f>IFERROR(__xludf.DUMMYFUNCTION("""COMPUTED_VALUE"""),"TRSF E-BANKING DB")</f>
        <v>TRSF E-BANKING DB</v>
      </c>
      <c r="C20" s="5" t="str">
        <f>IFERROR(__xludf.DUMMYFUNCTION("""COMPUTED_VALUE"""),"1505/FTSCY/WS95031 15160750.00 Wed May 13 2026 14:00:00 GMT+0700 (Western Indonesia Time) ANUGERAH KARTIKA A")</f>
        <v>1505/FTSCY/WS95031 15160750.00 Wed May 13 2026 14:00:00 GMT+0700 (Western Indonesia Time) ANUGERAH KARTIKA A</v>
      </c>
      <c r="D20" s="5">
        <f>IFERROR(__xludf.DUMMYFUNCTION("""COMPUTED_VALUE"""),1.516075E7)</f>
        <v>15160750</v>
      </c>
      <c r="E20" s="5"/>
      <c r="F20" s="5" t="str">
        <f>IFERROR(__xludf.DUMMYFUNCTION("""COMPUTED_VALUE"""),"DB")</f>
        <v>DB</v>
      </c>
      <c r="G20" s="5">
        <f>IFERROR(__xludf.DUMMYFUNCTION("""COMPUTED_VALUE"""),3.386081595000005E7)</f>
        <v>33860815.95</v>
      </c>
      <c r="H20" s="5"/>
      <c r="I20" s="5" t="str">
        <f>IFERROR(__xludf.DUMMYFUNCTION("""COMPUTED_VALUE"""),"PRIBADI")</f>
        <v>PRIBADI</v>
      </c>
    </row>
    <row r="21">
      <c r="A21" s="8">
        <f>IFERROR(__xludf.DUMMYFUNCTION("""COMPUTED_VALUE"""),46158.0)</f>
        <v>46158</v>
      </c>
      <c r="B21" s="5" t="str">
        <f>IFERROR(__xludf.DUMMYFUNCTION("""COMPUTED_VALUE"""),"TRSF E-BANKING DB TANGGAL :15/05")</f>
        <v>TRSF E-BANKING DB TANGGAL :15/05</v>
      </c>
      <c r="C21" s="5" t="str">
        <f>IFERROR(__xludf.DUMMYFUNCTION("""COMPUTED_VALUE"""),"1505/FTSCY/WS95271 pelunasan ANDALAN YASA MITRA")</f>
        <v>1505/FTSCY/WS95271 pelunasan ANDALAN YASA MITRA</v>
      </c>
      <c r="D21" s="5">
        <f>IFERROR(__xludf.DUMMYFUNCTION("""COMPUTED_VALUE"""),1.0388625E8)</f>
        <v>103886250</v>
      </c>
      <c r="E21" s="5"/>
      <c r="F21" s="5" t="str">
        <f>IFERROR(__xludf.DUMMYFUNCTION("""COMPUTED_VALUE"""),"DB")</f>
        <v>DB</v>
      </c>
      <c r="G21" s="5">
        <f>IFERROR(__xludf.DUMMYFUNCTION("""COMPUTED_VALUE"""),5.6327162595E8)</f>
        <v>563271626</v>
      </c>
      <c r="H21" s="5"/>
      <c r="I21" s="5" t="str">
        <f>IFERROR(__xludf.DUMMYFUNCTION("""COMPUTED_VALUE"""),"PRIBADI")</f>
        <v>PRIBADI</v>
      </c>
    </row>
    <row r="22">
      <c r="A22" s="8">
        <f>IFERROR(__xludf.DUMMYFUNCTION("""COMPUTED_VALUE"""),46165.0)</f>
        <v>46165</v>
      </c>
      <c r="B22" s="5" t="str">
        <f>IFERROR(__xludf.DUMMYFUNCTION("""COMPUTED_VALUE"""),"TRSF E-BANKING DB")</f>
        <v>TRSF E-BANKING DB</v>
      </c>
      <c r="C22" s="5" t="str">
        <f>IFERROR(__xludf.DUMMYFUNCTION("""COMPUTED_VALUE"""),"2305/FTSCY/WS95271 77000000.00 Sat May 23 2026 14:00:00 GMT+0700 (Western Indonesia Time) ANUGERAH KARTIKA A")</f>
        <v>2305/FTSCY/WS95271 77000000.00 Sat May 23 2026 14:00:00 GMT+0700 (Western Indonesia Time) ANUGERAH KARTIKA A</v>
      </c>
      <c r="D22" s="5">
        <f>IFERROR(__xludf.DUMMYFUNCTION("""COMPUTED_VALUE"""),7.7E7)</f>
        <v>77000000</v>
      </c>
      <c r="E22" s="5"/>
      <c r="F22" s="5" t="str">
        <f>IFERROR(__xludf.DUMMYFUNCTION("""COMPUTED_VALUE"""),"DB")</f>
        <v>DB</v>
      </c>
      <c r="G22" s="5">
        <f>IFERROR(__xludf.DUMMYFUNCTION("""COMPUTED_VALUE"""),6.5793867595E8)</f>
        <v>657938676</v>
      </c>
      <c r="H22" s="5"/>
      <c r="I22" s="5" t="str">
        <f>IFERROR(__xludf.DUMMYFUNCTION("""COMPUTED_VALUE"""),"PRIBADI")</f>
        <v>PRIBADI</v>
      </c>
    </row>
    <row r="23">
      <c r="A23" s="8">
        <f>IFERROR(__xludf.DUMMYFUNCTION("""COMPUTED_VALUE"""),46165.0)</f>
        <v>46165</v>
      </c>
      <c r="B23" s="5" t="str">
        <f>IFERROR(__xludf.DUMMYFUNCTION("""COMPUTED_VALUE"""),"TRSF E-BANKING DB")</f>
        <v>TRSF E-BANKING DB</v>
      </c>
      <c r="C23" s="5" t="str">
        <f>IFERROR(__xludf.DUMMYFUNCTION("""COMPUTED_VALUE"""),"2305/FTSCY/WS95011 500000000.00 Thu May 21 2026 14:00:00 GMT+0700 (Western Indonesia Time) SUPER UNGGAS JAYA")</f>
        <v>2305/FTSCY/WS95011 500000000.00 Thu May 21 2026 14:00:00 GMT+0700 (Western Indonesia Time) SUPER UNGGAS JAYA</v>
      </c>
      <c r="D23" s="5">
        <f>IFERROR(__xludf.DUMMYFUNCTION("""COMPUTED_VALUE"""),5.0E8)</f>
        <v>500000000</v>
      </c>
      <c r="E23" s="5"/>
      <c r="F23" s="5" t="str">
        <f>IFERROR(__xludf.DUMMYFUNCTION("""COMPUTED_VALUE"""),"DB")</f>
        <v>DB</v>
      </c>
      <c r="G23" s="5">
        <f>IFERROR(__xludf.DUMMYFUNCTION("""COMPUTED_VALUE"""),1.5793867595000005E8)</f>
        <v>157938676</v>
      </c>
      <c r="H23" s="5"/>
      <c r="I23" s="5" t="str">
        <f>IFERROR(__xludf.DUMMYFUNCTION("""COMPUTED_VALUE"""),"PRIBADI")</f>
        <v>PRIBADI</v>
      </c>
    </row>
    <row r="24">
      <c r="A24" s="8">
        <f>IFERROR(__xludf.DUMMYFUNCTION("""COMPUTED_VALUE"""),46165.0)</f>
        <v>46165</v>
      </c>
      <c r="B24" s="5" t="str">
        <f>IFERROR(__xludf.DUMMYFUNCTION("""COMPUTED_VALUE"""),"TRSF E-BANKING DB")</f>
        <v>TRSF E-BANKING DB</v>
      </c>
      <c r="C24" s="5" t="str">
        <f>IFERROR(__xludf.DUMMYFUNCTION("""COMPUTED_VALUE"""),"2305/FTFVA/WS95031 55569/PT PRIMA FAJ mlg 3 ton - 40190")</f>
        <v>2305/FTFVA/WS95031 55569/PT PRIMA FAJ mlg 3 ton - 40190</v>
      </c>
      <c r="D24" s="5">
        <f>IFERROR(__xludf.DUMMYFUNCTION("""COMPUTED_VALUE"""),6.6E7)</f>
        <v>66000000</v>
      </c>
      <c r="E24" s="5"/>
      <c r="F24" s="5" t="str">
        <f>IFERROR(__xludf.DUMMYFUNCTION("""COMPUTED_VALUE"""),"DB")</f>
        <v>DB</v>
      </c>
      <c r="G24" s="5">
        <f>IFERROR(__xludf.DUMMYFUNCTION("""COMPUTED_VALUE"""),9.193867595000005E7)</f>
        <v>91938675.95</v>
      </c>
      <c r="H24" s="5">
        <f>IFERROR(__xludf.DUMMYFUNCTION("""COMPUTED_VALUE"""),9.193867595E7)</f>
        <v>91938675.95</v>
      </c>
      <c r="I24" s="5" t="str">
        <f>IFERROR(__xludf.DUMMYFUNCTION("""COMPUTED_VALUE"""),"PRIBADI")</f>
        <v>PRIBADI</v>
      </c>
    </row>
    <row r="25">
      <c r="A25" s="8">
        <f>IFERROR(__xludf.DUMMYFUNCTION("""COMPUTED_VALUE"""),46165.0)</f>
        <v>46165</v>
      </c>
      <c r="B25" s="5" t="str">
        <f>IFERROR(__xludf.DUMMYFUNCTION("""COMPUTED_VALUE"""),"TRSF E-BANKING DB")</f>
        <v>TRSF E-BANKING DB</v>
      </c>
      <c r="C25" s="5" t="str">
        <f>IFERROR(__xludf.DUMMYFUNCTION("""COMPUTED_VALUE"""),"2305/FTSCY/WS95031 68800000.00 Fri May 22 2026 14:00:00 GMT+0700 (Western Indonesia Time) ANUGERAH KARTIKA A")</f>
        <v>2305/FTSCY/WS95031 68800000.00 Fri May 22 2026 14:00:00 GMT+0700 (Western Indonesia Time) ANUGERAH KARTIKA A</v>
      </c>
      <c r="D25" s="5">
        <f>IFERROR(__xludf.DUMMYFUNCTION("""COMPUTED_VALUE"""),6.88E7)</f>
        <v>68800000</v>
      </c>
      <c r="E25" s="5"/>
      <c r="F25" s="5" t="str">
        <f>IFERROR(__xludf.DUMMYFUNCTION("""COMPUTED_VALUE"""),"DB")</f>
        <v>DB</v>
      </c>
      <c r="G25" s="5">
        <f>IFERROR(__xludf.DUMMYFUNCTION("""COMPUTED_VALUE"""),2.3138675950000048E7)</f>
        <v>23138675.95</v>
      </c>
      <c r="H25" s="5">
        <f>IFERROR(__xludf.DUMMYFUNCTION("""COMPUTED_VALUE"""),2.313867595E7)</f>
        <v>23138675.95</v>
      </c>
      <c r="I25" s="5" t="str">
        <f>IFERROR(__xludf.DUMMYFUNCTION("""COMPUTED_VALUE"""),"PRIBADI")</f>
        <v>PRIBADI</v>
      </c>
    </row>
    <row r="26">
      <c r="A26" s="8">
        <f>IFERROR(__xludf.DUMMYFUNCTION("""COMPUTED_VALUE"""),46165.0)</f>
        <v>46165</v>
      </c>
      <c r="B26" s="5" t="str">
        <f>IFERROR(__xludf.DUMMYFUNCTION("""COMPUTED_VALUE"""),"TRSF E-BANKING DB")</f>
        <v>TRSF E-BANKING DB</v>
      </c>
      <c r="C26" s="5" t="str">
        <f>IFERROR(__xludf.DUMMYFUNCTION("""COMPUTED_VALUE"""),"2305/FTSCY/WS95031 1744100.00 lmjg MUJIANTO")</f>
        <v>2305/FTSCY/WS95031 1744100.00 lmjg MUJIANTO</v>
      </c>
      <c r="D26" s="5">
        <f>IFERROR(__xludf.DUMMYFUNCTION("""COMPUTED_VALUE"""),1744100.0)</f>
        <v>1744100</v>
      </c>
      <c r="E26" s="5"/>
      <c r="F26" s="5" t="str">
        <f>IFERROR(__xludf.DUMMYFUNCTION("""COMPUTED_VALUE"""),"DB")</f>
        <v>DB</v>
      </c>
      <c r="G26" s="5">
        <f>IFERROR(__xludf.DUMMYFUNCTION("""COMPUTED_VALUE"""),2.1394575950000048E7)</f>
        <v>21394575.95</v>
      </c>
      <c r="H26" s="5"/>
      <c r="I26" s="5" t="str">
        <f>IFERROR(__xludf.DUMMYFUNCTION("""COMPUTED_VALUE"""),"PRIBADI")</f>
        <v>PRIBADI</v>
      </c>
    </row>
    <row r="27">
      <c r="A27" s="8">
        <f>IFERROR(__xludf.DUMMYFUNCTION("""COMPUTED_VALUE"""),46165.0)</f>
        <v>46165</v>
      </c>
      <c r="B27" s="5" t="str">
        <f>IFERROR(__xludf.DUMMYFUNCTION("""COMPUTED_VALUE"""),"TRSF E-BANKING DB")</f>
        <v>TRSF E-BANKING DB</v>
      </c>
      <c r="C27" s="5" t="str">
        <f>IFERROR(__xludf.DUMMYFUNCTION("""COMPUTED_VALUE"""),"2305/FTFVA/WS95031 55569/PT PRIMA FAJ mlg 3500 kg - 40190")</f>
        <v>2305/FTFVA/WS95031 55569/PT PRIMA FAJ mlg 3500 kg - 40190</v>
      </c>
      <c r="D27" s="5">
        <f>IFERROR(__xludf.DUMMYFUNCTION("""COMPUTED_VALUE"""),1.1E7)</f>
        <v>11000000</v>
      </c>
      <c r="E27" s="5"/>
      <c r="F27" s="5" t="str">
        <f>IFERROR(__xludf.DUMMYFUNCTION("""COMPUTED_VALUE"""),"DB")</f>
        <v>DB</v>
      </c>
      <c r="G27" s="5">
        <f>IFERROR(__xludf.DUMMYFUNCTION("""COMPUTED_VALUE"""),1.0394575950000048E7)</f>
        <v>10394575.95</v>
      </c>
      <c r="H27" s="5"/>
      <c r="I27" s="5" t="str">
        <f>IFERROR(__xludf.DUMMYFUNCTION("""COMPUTED_VALUE"""),"PRIBADI")</f>
        <v>PRIBADI</v>
      </c>
    </row>
    <row r="28">
      <c r="A28" s="8">
        <f>IFERROR(__xludf.DUMMYFUNCTION("""COMPUTED_VALUE"""),46165.0)</f>
        <v>46165</v>
      </c>
      <c r="B28" s="5" t="str">
        <f>IFERROR(__xludf.DUMMYFUNCTION("""COMPUTED_VALUE"""),"TRSF E-BANKING DB")</f>
        <v>TRSF E-BANKING DB</v>
      </c>
      <c r="C28" s="5" t="str">
        <f>IFERROR(__xludf.DUMMYFUNCTION("""COMPUTED_VALUE"""),"2305/FTSCY/WS95031 400000.00 SUPRIYADI")</f>
        <v>2305/FTSCY/WS95031 400000.00 SUPRIYADI</v>
      </c>
      <c r="D28" s="5">
        <f>IFERROR(__xludf.DUMMYFUNCTION("""COMPUTED_VALUE"""),400000.0)</f>
        <v>400000</v>
      </c>
      <c r="E28" s="5"/>
      <c r="F28" s="5" t="str">
        <f>IFERROR(__xludf.DUMMYFUNCTION("""COMPUTED_VALUE"""),"DB")</f>
        <v>DB</v>
      </c>
      <c r="G28" s="5">
        <f>IFERROR(__xludf.DUMMYFUNCTION("""COMPUTED_VALUE"""),9994575.950000048)</f>
        <v>9994575.95</v>
      </c>
      <c r="H28" s="5"/>
      <c r="I28" s="5" t="str">
        <f>IFERROR(__xludf.DUMMYFUNCTION("""COMPUTED_VALUE"""),"PRIBADI")</f>
        <v>PRIBADI</v>
      </c>
    </row>
    <row r="29">
      <c r="A29" s="8">
        <f>IFERROR(__xludf.DUMMYFUNCTION("""COMPUTED_VALUE"""),46165.0)</f>
        <v>46165</v>
      </c>
      <c r="B29" s="5" t="str">
        <f>IFERROR(__xludf.DUMMYFUNCTION("""COMPUTED_VALUE"""),"TRSF E-BANKING DB")</f>
        <v>TRSF E-BANKING DB</v>
      </c>
      <c r="C29" s="5" t="str">
        <f>IFERROR(__xludf.DUMMYFUNCTION("""COMPUTED_VALUE"""),"2305/FTSCY/WS95031 775140.00 NURHAYATI")</f>
        <v>2305/FTSCY/WS95031 775140.00 NURHAYATI</v>
      </c>
      <c r="D29" s="5">
        <f>IFERROR(__xludf.DUMMYFUNCTION("""COMPUTED_VALUE"""),775140.0)</f>
        <v>775140</v>
      </c>
      <c r="E29" s="5"/>
      <c r="F29" s="5" t="str">
        <f>IFERROR(__xludf.DUMMYFUNCTION("""COMPUTED_VALUE"""),"DB")</f>
        <v>DB</v>
      </c>
      <c r="G29" s="5">
        <f>IFERROR(__xludf.DUMMYFUNCTION("""COMPUTED_VALUE"""),9219435.950000048)</f>
        <v>9219435.95</v>
      </c>
      <c r="H29" s="5"/>
      <c r="I29" s="5" t="str">
        <f>IFERROR(__xludf.DUMMYFUNCTION("""COMPUTED_VALUE"""),"PRIBADI")</f>
        <v>PRIBADI</v>
      </c>
    </row>
    <row r="30">
      <c r="A30" s="8">
        <f>IFERROR(__xludf.DUMMYFUNCTION("""COMPUTED_VALUE"""),46165.0)</f>
        <v>46165</v>
      </c>
      <c r="B30" s="5" t="str">
        <f>IFERROR(__xludf.DUMMYFUNCTION("""COMPUTED_VALUE"""),"TRSF E-BANKING DB")</f>
        <v>TRSF E-BANKING DB</v>
      </c>
      <c r="C30" s="5" t="str">
        <f>IFERROR(__xludf.DUMMYFUNCTION("""COMPUTED_VALUE"""),"2305/FTSCY/WS95271 9118000.00 krg 55.4 jt EKO SETIYAWAN")</f>
        <v>2305/FTSCY/WS95271 9118000.00 krg 55.4 jt EKO SETIYAWAN</v>
      </c>
      <c r="D30" s="5">
        <f>IFERROR(__xludf.DUMMYFUNCTION("""COMPUTED_VALUE"""),9118000.0)</f>
        <v>9118000</v>
      </c>
      <c r="E30" s="5"/>
      <c r="F30" s="5" t="str">
        <f>IFERROR(__xludf.DUMMYFUNCTION("""COMPUTED_VALUE"""),"DB")</f>
        <v>DB</v>
      </c>
      <c r="G30" s="5">
        <f>IFERROR(__xludf.DUMMYFUNCTION("""COMPUTED_VALUE"""),101435.95000004768)</f>
        <v>101435.95</v>
      </c>
      <c r="H30" s="5">
        <f>IFERROR(__xludf.DUMMYFUNCTION("""COMPUTED_VALUE"""),101435.95)</f>
        <v>101435.95</v>
      </c>
      <c r="I30" s="5" t="str">
        <f>IFERROR(__xludf.DUMMYFUNCTION("""COMPUTED_VALUE"""),"PRIBADI")</f>
        <v>PRIBADI</v>
      </c>
    </row>
    <row r="31">
      <c r="A31" s="8">
        <f>IFERROR(__xludf.DUMMYFUNCTION("""COMPUTED_VALUE"""),46166.0)</f>
        <v>46166</v>
      </c>
      <c r="B31" s="5" t="str">
        <f>IFERROR(__xludf.DUMMYFUNCTION("""COMPUTED_VALUE"""),"TRSF E-BANKING DB")</f>
        <v>TRSF E-BANKING DB</v>
      </c>
      <c r="C31" s="5" t="str">
        <f>IFERROR(__xludf.DUMMYFUNCTION("""COMPUTED_VALUE"""),"2405/FTSCY/WS95031 1000000.00 NURUL AINI")</f>
        <v>2405/FTSCY/WS95031 1000000.00 NURUL AINI</v>
      </c>
      <c r="D31" s="5">
        <f>IFERROR(__xludf.DUMMYFUNCTION("""COMPUTED_VALUE"""),1000000.0)</f>
        <v>1000000</v>
      </c>
      <c r="E31" s="5"/>
      <c r="F31" s="5" t="str">
        <f>IFERROR(__xludf.DUMMYFUNCTION("""COMPUTED_VALUE"""),"DB")</f>
        <v>DB</v>
      </c>
      <c r="G31" s="5">
        <f>IFERROR(__xludf.DUMMYFUNCTION("""COMPUTED_VALUE"""),5668185.950000048)</f>
        <v>5668185.95</v>
      </c>
      <c r="H31" s="5"/>
      <c r="I31" s="5" t="str">
        <f>IFERROR(__xludf.DUMMYFUNCTION("""COMPUTED_VALUE"""),"PRIBADI")</f>
        <v>PRIBADI</v>
      </c>
    </row>
    <row r="32">
      <c r="A32" s="8">
        <f>IFERROR(__xludf.DUMMYFUNCTION("""COMPUTED_VALUE"""),46166.0)</f>
        <v>46166</v>
      </c>
      <c r="B32" s="5" t="str">
        <f>IFERROR(__xludf.DUMMYFUNCTION("""COMPUTED_VALUE"""),"TRSF E-BANKING DB")</f>
        <v>TRSF E-BANKING DB</v>
      </c>
      <c r="C32" s="5" t="str">
        <f>IFERROR(__xludf.DUMMYFUNCTION("""COMPUTED_VALUE"""),"2405/FTSCY/WS95271 183136250.00 pelunasan SUPER UNGGAS JAYA")</f>
        <v>2405/FTSCY/WS95271 183136250.00 pelunasan SUPER UNGGAS JAYA</v>
      </c>
      <c r="D32" s="5">
        <f>IFERROR(__xludf.DUMMYFUNCTION("""COMPUTED_VALUE"""),1.8313625E8)</f>
        <v>183136250</v>
      </c>
      <c r="E32" s="5"/>
      <c r="F32" s="5" t="str">
        <f>IFERROR(__xludf.DUMMYFUNCTION("""COMPUTED_VALUE"""),"DB")</f>
        <v>DB</v>
      </c>
      <c r="G32" s="5">
        <f>IFERROR(__xludf.DUMMYFUNCTION("""COMPUTED_VALUE"""),1.6608375595000005E8)</f>
        <v>166083756</v>
      </c>
      <c r="H32" s="5"/>
      <c r="I32" s="5" t="str">
        <f>IFERROR(__xludf.DUMMYFUNCTION("""COMPUTED_VALUE"""),"PRIBADI")</f>
        <v>PRIBADI</v>
      </c>
    </row>
    <row r="33">
      <c r="A33" s="8">
        <f>IFERROR(__xludf.DUMMYFUNCTION("""COMPUTED_VALUE"""),46166.0)</f>
        <v>46166</v>
      </c>
      <c r="B33" s="5" t="str">
        <f>IFERROR(__xludf.DUMMYFUNCTION("""COMPUTED_VALUE"""),"TRSF E-BANKING DB")</f>
        <v>TRSF E-BANKING DB</v>
      </c>
      <c r="C33" s="5" t="str">
        <f>IFERROR(__xludf.DUMMYFUNCTION("""COMPUTED_VALUE"""),"2405/FTSCY/WS95271 75250000.00 rembang 3500kg GUNA MITRA SEHAT P")</f>
        <v>2405/FTSCY/WS95271 75250000.00 rembang 3500kg GUNA MITRA SEHAT P</v>
      </c>
      <c r="D33" s="5">
        <f>IFERROR(__xludf.DUMMYFUNCTION("""COMPUTED_VALUE"""),7.525E7)</f>
        <v>75250000</v>
      </c>
      <c r="E33" s="5"/>
      <c r="F33" s="5" t="str">
        <f>IFERROR(__xludf.DUMMYFUNCTION("""COMPUTED_VALUE"""),"DB")</f>
        <v>DB</v>
      </c>
      <c r="G33" s="5">
        <f>IFERROR(__xludf.DUMMYFUNCTION("""COMPUTED_VALUE"""),9.083375595000005E7)</f>
        <v>90833755.95</v>
      </c>
      <c r="H33" s="5">
        <f>IFERROR(__xludf.DUMMYFUNCTION("""COMPUTED_VALUE"""),9.083375595E7)</f>
        <v>90833755.95</v>
      </c>
      <c r="I33" s="5" t="str">
        <f>IFERROR(__xludf.DUMMYFUNCTION("""COMPUTED_VALUE"""),"PRIBADI")</f>
        <v>PRIBADI</v>
      </c>
    </row>
    <row r="34">
      <c r="A34" s="8">
        <f>IFERROR(__xludf.DUMMYFUNCTION("""COMPUTED_VALUE"""),46166.0)</f>
        <v>46166</v>
      </c>
      <c r="B34" s="5" t="str">
        <f>IFERROR(__xludf.DUMMYFUNCTION("""COMPUTED_VALUE"""),"TRSF E-BANKING DB")</f>
        <v>TRSF E-BANKING DB</v>
      </c>
      <c r="C34" s="5" t="str">
        <f>IFERROR(__xludf.DUMMYFUNCTION("""COMPUTED_VALUE"""),"2405/FTSCY/WS95011 62708800.00 Sat May 23 2026 14:00:00 GMT+0700 (Western Indonesia Time) BINTANG TAMA SANTO")</f>
        <v>2405/FTSCY/WS95011 62708800.00 Sat May 23 2026 14:00:00 GMT+0700 (Western Indonesia Time) BINTANG TAMA SANTO</v>
      </c>
      <c r="D34" s="5">
        <f>IFERROR(__xludf.DUMMYFUNCTION("""COMPUTED_VALUE"""),6.27088E7)</f>
        <v>62708800</v>
      </c>
      <c r="E34" s="5"/>
      <c r="F34" s="5" t="str">
        <f>IFERROR(__xludf.DUMMYFUNCTION("""COMPUTED_VALUE"""),"DB")</f>
        <v>DB</v>
      </c>
      <c r="G34" s="5">
        <f>IFERROR(__xludf.DUMMYFUNCTION("""COMPUTED_VALUE"""),2.8124955950000048E7)</f>
        <v>28124955.95</v>
      </c>
      <c r="H34" s="5">
        <f>IFERROR(__xludf.DUMMYFUNCTION("""COMPUTED_VALUE"""),2.812495595E7)</f>
        <v>28124955.95</v>
      </c>
      <c r="I34" s="5" t="str">
        <f>IFERROR(__xludf.DUMMYFUNCTION("""COMPUTED_VALUE"""),"PRIBADI")</f>
        <v>PRIBADI</v>
      </c>
    </row>
    <row r="35">
      <c r="A35" s="8">
        <f>IFERROR(__xludf.DUMMYFUNCTION("""COMPUTED_VALUE"""),46166.0)</f>
        <v>46166</v>
      </c>
      <c r="B35" s="5" t="str">
        <f>IFERROR(__xludf.DUMMYFUNCTION("""COMPUTED_VALUE"""),"KARTU DEBIT")</f>
        <v>KARTU DEBIT</v>
      </c>
      <c r="C35" s="5" t="str">
        <f>IFERROR(__xludf.DUMMYFUNCTION("""COMPUTED_VALUE"""),"ALFAMRT Y207 BRTN 6019009510239343")</f>
        <v>ALFAMRT Y207 BRTN 6019009510239343</v>
      </c>
      <c r="D35" s="5">
        <f>IFERROR(__xludf.DUMMYFUNCTION("""COMPUTED_VALUE"""),130400.0)</f>
        <v>130400</v>
      </c>
      <c r="E35" s="5"/>
      <c r="F35" s="5"/>
      <c r="G35" s="5">
        <f>IFERROR(__xludf.DUMMYFUNCTION("""COMPUTED_VALUE"""),2.7994555950000048E7)</f>
        <v>27994555.95</v>
      </c>
      <c r="H35" s="5"/>
      <c r="I35" s="5" t="str">
        <f>IFERROR(__xludf.DUMMYFUNCTION("""COMPUTED_VALUE"""),"PRIBADI")</f>
        <v>PRIBADI</v>
      </c>
    </row>
    <row r="36">
      <c r="A36" s="8">
        <f>IFERROR(__xludf.DUMMYFUNCTION("""COMPUTED_VALUE"""),46166.0)</f>
        <v>46166</v>
      </c>
      <c r="B36" s="5" t="str">
        <f>IFERROR(__xludf.DUMMYFUNCTION("""COMPUTED_VALUE"""),"TRSF E-BANKING DB")</f>
        <v>TRSF E-BANKING DB</v>
      </c>
      <c r="C36" s="5" t="str">
        <f>IFERROR(__xludf.DUMMYFUNCTION("""COMPUTED_VALUE"""),"2405/FTSCY/WS95031 1000000.00 SUPRIYADI")</f>
        <v>2405/FTSCY/WS95031 1000000.00 SUPRIYADI</v>
      </c>
      <c r="D36" s="5">
        <f>IFERROR(__xludf.DUMMYFUNCTION("""COMPUTED_VALUE"""),1000000.0)</f>
        <v>1000000</v>
      </c>
      <c r="E36" s="5"/>
      <c r="F36" s="5" t="str">
        <f>IFERROR(__xludf.DUMMYFUNCTION("""COMPUTED_VALUE"""),"DB")</f>
        <v>DB</v>
      </c>
      <c r="G36" s="5">
        <f>IFERROR(__xludf.DUMMYFUNCTION("""COMPUTED_VALUE"""),2.6994555950000048E7)</f>
        <v>26994555.95</v>
      </c>
      <c r="H36" s="5">
        <f>IFERROR(__xludf.DUMMYFUNCTION("""COMPUTED_VALUE"""),2.699455595E7)</f>
        <v>26994555.95</v>
      </c>
      <c r="I36" s="5" t="str">
        <f>IFERROR(__xludf.DUMMYFUNCTION("""COMPUTED_VALUE"""),"PRIBADI")</f>
        <v>PRIBADI</v>
      </c>
    </row>
    <row r="37">
      <c r="A37" s="8">
        <f>IFERROR(__xludf.DUMMYFUNCTION("""COMPUTED_VALUE"""),46167.0)</f>
        <v>46167</v>
      </c>
      <c r="B37" s="5" t="str">
        <f>IFERROR(__xludf.DUMMYFUNCTION("""COMPUTED_VALUE"""),"TRSF E-BANKING DB")</f>
        <v>TRSF E-BANKING DB</v>
      </c>
      <c r="C37" s="5" t="str">
        <f>IFERROR(__xludf.DUMMYFUNCTION("""COMPUTED_VALUE"""),"2505/FTSCY/WS95031 1438000.00 HERMAWAN")</f>
        <v>2505/FTSCY/WS95031 1438000.00 HERMAWAN</v>
      </c>
      <c r="D37" s="5">
        <f>IFERROR(__xludf.DUMMYFUNCTION("""COMPUTED_VALUE"""),1438000.0)</f>
        <v>1438000</v>
      </c>
      <c r="E37" s="5"/>
      <c r="F37" s="5" t="str">
        <f>IFERROR(__xludf.DUMMYFUNCTION("""COMPUTED_VALUE"""),"DB")</f>
        <v>DB</v>
      </c>
      <c r="G37" s="5">
        <f>IFERROR(__xludf.DUMMYFUNCTION("""COMPUTED_VALUE"""),2.5556555950000048E7)</f>
        <v>25556555.95</v>
      </c>
      <c r="H37" s="5"/>
      <c r="I37" s="5" t="str">
        <f>IFERROR(__xludf.DUMMYFUNCTION("""COMPUTED_VALUE"""),"PRIBADI")</f>
        <v>PRIBADI</v>
      </c>
    </row>
    <row r="38">
      <c r="A38" s="8">
        <f>IFERROR(__xludf.DUMMYFUNCTION("""COMPUTED_VALUE"""),46167.0)</f>
        <v>46167</v>
      </c>
      <c r="B38" s="5" t="str">
        <f>IFERROR(__xludf.DUMMYFUNCTION("""COMPUTED_VALUE"""),"KARTU DEBIT")</f>
        <v>KARTU DEBIT</v>
      </c>
      <c r="C38" s="5" t="str">
        <f>IFERROR(__xludf.DUMMYFUNCTION("""COMPUTED_VALUE"""),"ALFAMRT Y207 BRTN 6019009510239343")</f>
        <v>ALFAMRT Y207 BRTN 6019009510239343</v>
      </c>
      <c r="D38" s="5">
        <f>IFERROR(__xludf.DUMMYFUNCTION("""COMPUTED_VALUE"""),168100.0)</f>
        <v>168100</v>
      </c>
      <c r="E38" s="5"/>
      <c r="F38" s="5"/>
      <c r="G38" s="5">
        <f>IFERROR(__xludf.DUMMYFUNCTION("""COMPUTED_VALUE"""),3.8502485595000005E8)</f>
        <v>385024856</v>
      </c>
      <c r="H38" s="5"/>
      <c r="I38" s="5" t="str">
        <f>IFERROR(__xludf.DUMMYFUNCTION("""COMPUTED_VALUE"""),"PRIBADI")</f>
        <v>PRIBADI</v>
      </c>
    </row>
    <row r="39">
      <c r="A39" s="8">
        <f>IFERROR(__xludf.DUMMYFUNCTION("""COMPUTED_VALUE"""),46167.0)</f>
        <v>46167</v>
      </c>
      <c r="B39" s="5" t="str">
        <f>IFERROR(__xludf.DUMMYFUNCTION("""COMPUTED_VALUE"""),"TRSF E-BANKING DB")</f>
        <v>TRSF E-BANKING DB</v>
      </c>
      <c r="C39" s="5" t="str">
        <f>IFERROR(__xludf.DUMMYFUNCTION("""COMPUTED_VALUE"""),"2505/FTSCY/WS95031 2000000.00 titip WARDHY SHOMA")</f>
        <v>2505/FTSCY/WS95031 2000000.00 titip WARDHY SHOMA</v>
      </c>
      <c r="D39" s="5">
        <f>IFERROR(__xludf.DUMMYFUNCTION("""COMPUTED_VALUE"""),2000000.0)</f>
        <v>2000000</v>
      </c>
      <c r="E39" s="5"/>
      <c r="F39" s="5" t="str">
        <f>IFERROR(__xludf.DUMMYFUNCTION("""COMPUTED_VALUE"""),"DB")</f>
        <v>DB</v>
      </c>
      <c r="G39" s="5">
        <f>IFERROR(__xludf.DUMMYFUNCTION("""COMPUTED_VALUE"""),3.8302485595000005E8)</f>
        <v>383024856</v>
      </c>
      <c r="H39" s="5"/>
      <c r="I39" s="5" t="str">
        <f>IFERROR(__xludf.DUMMYFUNCTION("""COMPUTED_VALUE"""),"PRIBADI")</f>
        <v>PRIBADI</v>
      </c>
    </row>
    <row r="40">
      <c r="A40" s="8">
        <f>IFERROR(__xludf.DUMMYFUNCTION("""COMPUTED_VALUE"""),46167.0)</f>
        <v>46167</v>
      </c>
      <c r="B40" s="5" t="str">
        <f>IFERROR(__xludf.DUMMYFUNCTION("""COMPUTED_VALUE"""),"TRSF E-BANKING DB")</f>
        <v>TRSF E-BANKING DB</v>
      </c>
      <c r="C40" s="5" t="str">
        <f>IFERROR(__xludf.DUMMYFUNCTION("""COMPUTED_VALUE"""),"2505/FTSCY/WS95271 94413000.00 Sat May 23 2026 14:00:00 GMT+0700 (Western Indonesia Time) BINTANG TAMA SANTO")</f>
        <v>2505/FTSCY/WS95271 94413000.00 Sat May 23 2026 14:00:00 GMT+0700 (Western Indonesia Time) BINTANG TAMA SANTO</v>
      </c>
      <c r="D40" s="5">
        <f>IFERROR(__xludf.DUMMYFUNCTION("""COMPUTED_VALUE"""),9.4413E7)</f>
        <v>94413000</v>
      </c>
      <c r="E40" s="5"/>
      <c r="F40" s="5" t="str">
        <f>IFERROR(__xludf.DUMMYFUNCTION("""COMPUTED_VALUE"""),"DB")</f>
        <v>DB</v>
      </c>
      <c r="G40" s="5">
        <f>IFERROR(__xludf.DUMMYFUNCTION("""COMPUTED_VALUE"""),4.0330525595000005E8)</f>
        <v>403305256</v>
      </c>
      <c r="H40" s="5"/>
      <c r="I40" s="5" t="str">
        <f>IFERROR(__xludf.DUMMYFUNCTION("""COMPUTED_VALUE"""),"PRIBADI")</f>
        <v>PRIBADI</v>
      </c>
    </row>
    <row r="41">
      <c r="A41" s="8">
        <f>IFERROR(__xludf.DUMMYFUNCTION("""COMPUTED_VALUE"""),46167.0)</f>
        <v>46167</v>
      </c>
      <c r="B41" s="5" t="str">
        <f>IFERROR(__xludf.DUMMYFUNCTION("""COMPUTED_VALUE"""),"TRSF E-BANKING DB")</f>
        <v>TRSF E-BANKING DB</v>
      </c>
      <c r="C41" s="5" t="str">
        <f>IFERROR(__xludf.DUMMYFUNCTION("""COMPUTED_VALUE"""),"2505/FTSCY/WS95271 66000000.00 Sat May 23 2026 14:00:00 GMT+0700 (Western Indonesia Time) RUKUN MITRA BERSAM")</f>
        <v>2505/FTSCY/WS95271 66000000.00 Sat May 23 2026 14:00:00 GMT+0700 (Western Indonesia Time) RUKUN MITRA BERSAM</v>
      </c>
      <c r="D41" s="5">
        <f>IFERROR(__xludf.DUMMYFUNCTION("""COMPUTED_VALUE"""),6.6E7)</f>
        <v>66000000</v>
      </c>
      <c r="E41" s="5"/>
      <c r="F41" s="5" t="str">
        <f>IFERROR(__xludf.DUMMYFUNCTION("""COMPUTED_VALUE"""),"DB")</f>
        <v>DB</v>
      </c>
      <c r="G41" s="5">
        <f>IFERROR(__xludf.DUMMYFUNCTION("""COMPUTED_VALUE"""),3.3730525595000005E8)</f>
        <v>337305256</v>
      </c>
      <c r="H41" s="5"/>
      <c r="I41" s="5" t="str">
        <f>IFERROR(__xludf.DUMMYFUNCTION("""COMPUTED_VALUE"""),"PRIBADI")</f>
        <v>PRIBADI</v>
      </c>
    </row>
    <row r="42">
      <c r="A42" s="8">
        <f>IFERROR(__xludf.DUMMYFUNCTION("""COMPUTED_VALUE"""),46167.0)</f>
        <v>46167</v>
      </c>
      <c r="B42" s="5" t="str">
        <f>IFERROR(__xludf.DUMMYFUNCTION("""COMPUTED_VALUE"""),"TRSF E-BANKING DB")</f>
        <v>TRSF E-BANKING DB</v>
      </c>
      <c r="C42" s="5" t="str">
        <f>IFERROR(__xludf.DUMMYFUNCTION("""COMPUTED_VALUE"""),"2505/FTSCY/WS95271 55418000.00 Sat May 23 2026 14:00:00 GMT+0700 (Western Indonesia Time) BROILER MAKMUR TAN")</f>
        <v>2505/FTSCY/WS95271 55418000.00 Sat May 23 2026 14:00:00 GMT+0700 (Western Indonesia Time) BROILER MAKMUR TAN</v>
      </c>
      <c r="D42" s="5">
        <f>IFERROR(__xludf.DUMMYFUNCTION("""COMPUTED_VALUE"""),5.5418E7)</f>
        <v>55418000</v>
      </c>
      <c r="E42" s="5"/>
      <c r="F42" s="5" t="str">
        <f>IFERROR(__xludf.DUMMYFUNCTION("""COMPUTED_VALUE"""),"DB")</f>
        <v>DB</v>
      </c>
      <c r="G42" s="5">
        <f>IFERROR(__xludf.DUMMYFUNCTION("""COMPUTED_VALUE"""),2.8188725595000005E8)</f>
        <v>281887256</v>
      </c>
      <c r="H42" s="5"/>
      <c r="I42" s="5" t="str">
        <f>IFERROR(__xludf.DUMMYFUNCTION("""COMPUTED_VALUE"""),"PRIBADI")</f>
        <v>PRIBADI</v>
      </c>
    </row>
    <row r="43">
      <c r="A43" s="8">
        <f>IFERROR(__xludf.DUMMYFUNCTION("""COMPUTED_VALUE"""),46167.0)</f>
        <v>46167</v>
      </c>
      <c r="B43" s="5" t="str">
        <f>IFERROR(__xludf.DUMMYFUNCTION("""COMPUTED_VALUE"""),"TRSF E-BANKING DB")</f>
        <v>TRSF E-BANKING DB</v>
      </c>
      <c r="C43" s="5" t="str">
        <f>IFERROR(__xludf.DUMMYFUNCTION("""COMPUTED_VALUE"""),"2505/FTSCY/WS95271 82800000.00 ngawi 6.8 ton GUNA MITRA SEHAT P")</f>
        <v>2505/FTSCY/WS95271 82800000.00 ngawi 6.8 ton GUNA MITRA SEHAT P</v>
      </c>
      <c r="D43" s="5">
        <f>IFERROR(__xludf.DUMMYFUNCTION("""COMPUTED_VALUE"""),8.28E7)</f>
        <v>82800000</v>
      </c>
      <c r="E43" s="5"/>
      <c r="F43" s="5" t="str">
        <f>IFERROR(__xludf.DUMMYFUNCTION("""COMPUTED_VALUE"""),"DB")</f>
        <v>DB</v>
      </c>
      <c r="G43" s="5">
        <f>IFERROR(__xludf.DUMMYFUNCTION("""COMPUTED_VALUE"""),1.9908725595000005E8)</f>
        <v>199087256</v>
      </c>
      <c r="H43" s="5"/>
      <c r="I43" s="5" t="str">
        <f>IFERROR(__xludf.DUMMYFUNCTION("""COMPUTED_VALUE"""),"PRIBADI")</f>
        <v>PRIBADI</v>
      </c>
    </row>
    <row r="44">
      <c r="A44" s="8">
        <f>IFERROR(__xludf.DUMMYFUNCTION("""COMPUTED_VALUE"""),46167.0)</f>
        <v>46167</v>
      </c>
      <c r="B44" s="5" t="str">
        <f>IFERROR(__xludf.DUMMYFUNCTION("""COMPUTED_VALUE"""),"TRSF E-BANKING DB")</f>
        <v>TRSF E-BANKING DB</v>
      </c>
      <c r="C44" s="5" t="str">
        <f>IFERROR(__xludf.DUMMYFUNCTION("""COMPUTED_VALUE"""),"2505/FTSCY/WS95031 60000000.00 pelunasan GUNA MITRA SEHAT P")</f>
        <v>2505/FTSCY/WS95031 60000000.00 pelunasan GUNA MITRA SEHAT P</v>
      </c>
      <c r="D44" s="5">
        <f>IFERROR(__xludf.DUMMYFUNCTION("""COMPUTED_VALUE"""),6.0E7)</f>
        <v>60000000</v>
      </c>
      <c r="E44" s="5"/>
      <c r="F44" s="5" t="str">
        <f>IFERROR(__xludf.DUMMYFUNCTION("""COMPUTED_VALUE"""),"DB")</f>
        <v>DB</v>
      </c>
      <c r="G44" s="5">
        <f>IFERROR(__xludf.DUMMYFUNCTION("""COMPUTED_VALUE"""),1.3908725595000005E8)</f>
        <v>139087256</v>
      </c>
      <c r="H44" s="5"/>
      <c r="I44" s="5" t="str">
        <f>IFERROR(__xludf.DUMMYFUNCTION("""COMPUTED_VALUE"""),"PRIBADI")</f>
        <v>PRIBADI</v>
      </c>
    </row>
    <row r="45">
      <c r="A45" s="8">
        <f>IFERROR(__xludf.DUMMYFUNCTION("""COMPUTED_VALUE"""),46167.0)</f>
        <v>46167</v>
      </c>
      <c r="B45" s="5" t="str">
        <f>IFERROR(__xludf.DUMMYFUNCTION("""COMPUTED_VALUE"""),"TRSF E-BANKING DB")</f>
        <v>TRSF E-BANKING DB</v>
      </c>
      <c r="C45" s="5" t="str">
        <f>IFERROR(__xludf.DUMMYFUNCTION("""COMPUTED_VALUE"""),"2505/FTSCY/WS95031 1179000.00 MUJIANTO")</f>
        <v>2505/FTSCY/WS95031 1179000.00 MUJIANTO</v>
      </c>
      <c r="D45" s="5">
        <f>IFERROR(__xludf.DUMMYFUNCTION("""COMPUTED_VALUE"""),1179000.0)</f>
        <v>1179000</v>
      </c>
      <c r="E45" s="5"/>
      <c r="F45" s="5" t="str">
        <f>IFERROR(__xludf.DUMMYFUNCTION("""COMPUTED_VALUE"""),"DB")</f>
        <v>DB</v>
      </c>
      <c r="G45" s="5">
        <f>IFERROR(__xludf.DUMMYFUNCTION("""COMPUTED_VALUE"""),1.3790825595000005E8)</f>
        <v>137908256</v>
      </c>
      <c r="H45" s="5">
        <f>IFERROR(__xludf.DUMMYFUNCTION("""COMPUTED_VALUE"""),1.3790825595E8)</f>
        <v>137908256</v>
      </c>
      <c r="I45" s="5" t="str">
        <f>IFERROR(__xludf.DUMMYFUNCTION("""COMPUTED_VALUE"""),"PRIBADI")</f>
        <v>PRIBADI</v>
      </c>
    </row>
    <row r="46">
      <c r="A46" s="8">
        <f>IFERROR(__xludf.DUMMYFUNCTION("""COMPUTED_VALUE"""),46167.0)</f>
        <v>46167</v>
      </c>
      <c r="B46" s="5" t="str">
        <f>IFERROR(__xludf.DUMMYFUNCTION("""COMPUTED_VALUE"""),"TRSF E-BANKING DB")</f>
        <v>TRSF E-BANKING DB</v>
      </c>
      <c r="C46" s="5" t="str">
        <f>IFERROR(__xludf.DUMMYFUNCTION("""COMPUTED_VALUE"""),"2505/FTSCY/WS95011 209928400.00 Sun May 24 2026 14:00:00 GMT+0700 (Western Indonesia Time) LAJU SATWA WISESA")</f>
        <v>2505/FTSCY/WS95011 209928400.00 Sun May 24 2026 14:00:00 GMT+0700 (Western Indonesia Time) LAJU SATWA WISESA</v>
      </c>
      <c r="D46" s="5">
        <f>IFERROR(__xludf.DUMMYFUNCTION("""COMPUTED_VALUE"""),2.099284E8)</f>
        <v>209928400</v>
      </c>
      <c r="E46" s="5"/>
      <c r="F46" s="5" t="str">
        <f>IFERROR(__xludf.DUMMYFUNCTION("""COMPUTED_VALUE"""),"DB")</f>
        <v>DB</v>
      </c>
      <c r="G46" s="5">
        <f>IFERROR(__xludf.DUMMYFUNCTION("""COMPUTED_VALUE"""),2.7769335595000005E8)</f>
        <v>277693356</v>
      </c>
      <c r="H46" s="5"/>
      <c r="I46" s="5" t="str">
        <f>IFERROR(__xludf.DUMMYFUNCTION("""COMPUTED_VALUE"""),"PRIBADI")</f>
        <v>PRIBADI</v>
      </c>
    </row>
    <row r="47">
      <c r="A47" s="8">
        <f>IFERROR(__xludf.DUMMYFUNCTION("""COMPUTED_VALUE"""),46167.0)</f>
        <v>46167</v>
      </c>
      <c r="B47" s="5" t="str">
        <f>IFERROR(__xludf.DUMMYFUNCTION("""COMPUTED_VALUE"""),"TRSF E-BANKING DB")</f>
        <v>TRSF E-BANKING DB</v>
      </c>
      <c r="C47" s="5" t="str">
        <f>IFERROR(__xludf.DUMMYFUNCTION("""COMPUTED_VALUE"""),"2505/FTSCY/WS95011 75306000.00 Sun May 24 2026 14:00:00 GMT+0700 (Western Indonesia Time) LAJU SATWA WISESA")</f>
        <v>2505/FTSCY/WS95011 75306000.00 Sun May 24 2026 14:00:00 GMT+0700 (Western Indonesia Time) LAJU SATWA WISESA</v>
      </c>
      <c r="D47" s="5">
        <f>IFERROR(__xludf.DUMMYFUNCTION("""COMPUTED_VALUE"""),7.5306E7)</f>
        <v>75306000</v>
      </c>
      <c r="E47" s="5"/>
      <c r="F47" s="5" t="str">
        <f>IFERROR(__xludf.DUMMYFUNCTION("""COMPUTED_VALUE"""),"DB")</f>
        <v>DB</v>
      </c>
      <c r="G47" s="5">
        <f>IFERROR(__xludf.DUMMYFUNCTION("""COMPUTED_VALUE"""),2.0238735595000005E8)</f>
        <v>202387356</v>
      </c>
      <c r="H47" s="5"/>
      <c r="I47" s="5" t="str">
        <f>IFERROR(__xludf.DUMMYFUNCTION("""COMPUTED_VALUE"""),"PRIBADI")</f>
        <v>PRIBADI</v>
      </c>
    </row>
    <row r="48">
      <c r="A48" s="8">
        <f>IFERROR(__xludf.DUMMYFUNCTION("""COMPUTED_VALUE"""),46167.0)</f>
        <v>46167</v>
      </c>
      <c r="B48" s="5" t="str">
        <f>IFERROR(__xludf.DUMMYFUNCTION("""COMPUTED_VALUE"""),"TRSF E-BANKING DB")</f>
        <v>TRSF E-BANKING DB</v>
      </c>
      <c r="C48" s="5" t="str">
        <f>IFERROR(__xludf.DUMMYFUNCTION("""COMPUTED_VALUE"""),"2505/FTSCY/WS95011 57716750.00 Sun May 24 2026 14:00:00 GMT+0700 (Western Indonesia Time) BINTANG TAMA SANTO")</f>
        <v>2505/FTSCY/WS95011 57716750.00 Sun May 24 2026 14:00:00 GMT+0700 (Western Indonesia Time) BINTANG TAMA SANTO</v>
      </c>
      <c r="D48" s="5">
        <f>IFERROR(__xludf.DUMMYFUNCTION("""COMPUTED_VALUE"""),5.771675E7)</f>
        <v>57716750</v>
      </c>
      <c r="E48" s="5"/>
      <c r="F48" s="5" t="str">
        <f>IFERROR(__xludf.DUMMYFUNCTION("""COMPUTED_VALUE"""),"DB")</f>
        <v>DB</v>
      </c>
      <c r="G48" s="5">
        <f>IFERROR(__xludf.DUMMYFUNCTION("""COMPUTED_VALUE"""),1.4467060595000005E8)</f>
        <v>144670606</v>
      </c>
      <c r="H48" s="5"/>
      <c r="I48" s="5" t="str">
        <f>IFERROR(__xludf.DUMMYFUNCTION("""COMPUTED_VALUE"""),"PRIBADI")</f>
        <v>PRIBADI</v>
      </c>
    </row>
    <row r="49">
      <c r="A49" s="8">
        <f>IFERROR(__xludf.DUMMYFUNCTION("""COMPUTED_VALUE"""),46167.0)</f>
        <v>46167</v>
      </c>
      <c r="B49" s="5" t="str">
        <f>IFERROR(__xludf.DUMMYFUNCTION("""COMPUTED_VALUE"""),"TRSF E-BANKING DB")</f>
        <v>TRSF E-BANKING DB</v>
      </c>
      <c r="C49" s="5" t="str">
        <f>IFERROR(__xludf.DUMMYFUNCTION("""COMPUTED_VALUE"""),"2505/FTSCY/WS95011 65945000.00 Sun May 24 2026 14:00:00 GMT+0700 (Western Indonesia Time) ANUGERAH KARTIKA A")</f>
        <v>2505/FTSCY/WS95011 65945000.00 Sun May 24 2026 14:00:00 GMT+0700 (Western Indonesia Time) ANUGERAH KARTIKA A</v>
      </c>
      <c r="D49" s="5">
        <f>IFERROR(__xludf.DUMMYFUNCTION("""COMPUTED_VALUE"""),6.5945E7)</f>
        <v>65945000</v>
      </c>
      <c r="E49" s="5"/>
      <c r="F49" s="5" t="str">
        <f>IFERROR(__xludf.DUMMYFUNCTION("""COMPUTED_VALUE"""),"DB")</f>
        <v>DB</v>
      </c>
      <c r="G49" s="5">
        <f>IFERROR(__xludf.DUMMYFUNCTION("""COMPUTED_VALUE"""),7.872560595000005E7)</f>
        <v>78725605.95</v>
      </c>
      <c r="H49" s="5"/>
      <c r="I49" s="5" t="str">
        <f>IFERROR(__xludf.DUMMYFUNCTION("""COMPUTED_VALUE"""),"PRIBADI")</f>
        <v>PRIBADI</v>
      </c>
    </row>
    <row r="50">
      <c r="A50" s="8">
        <f>IFERROR(__xludf.DUMMYFUNCTION("""COMPUTED_VALUE"""),46167.0)</f>
        <v>46167</v>
      </c>
      <c r="B50" s="5" t="str">
        <f>IFERROR(__xludf.DUMMYFUNCTION("""COMPUTED_VALUE"""),"TRSF E-BANKING DB")</f>
        <v>TRSF E-BANKING DB</v>
      </c>
      <c r="C50" s="5" t="str">
        <f>IFERROR(__xludf.DUMMYFUNCTION("""COMPUTED_VALUE"""),"2505/FTSCY/WS95011 66506000.00 Sun May 24 2026 14:00:00 GMT+0700 (Western Indonesia Time) ANUGERAH KARTIKA A")</f>
        <v>2505/FTSCY/WS95011 66506000.00 Sun May 24 2026 14:00:00 GMT+0700 (Western Indonesia Time) ANUGERAH KARTIKA A</v>
      </c>
      <c r="D50" s="5">
        <f>IFERROR(__xludf.DUMMYFUNCTION("""COMPUTED_VALUE"""),6.6506E7)</f>
        <v>66506000</v>
      </c>
      <c r="E50" s="5"/>
      <c r="F50" s="5" t="str">
        <f>IFERROR(__xludf.DUMMYFUNCTION("""COMPUTED_VALUE"""),"DB")</f>
        <v>DB</v>
      </c>
      <c r="G50" s="5">
        <f>IFERROR(__xludf.DUMMYFUNCTION("""COMPUTED_VALUE"""),1.2219605950000048E7)</f>
        <v>12219605.95</v>
      </c>
      <c r="H50" s="5"/>
      <c r="I50" s="5" t="str">
        <f>IFERROR(__xludf.DUMMYFUNCTION("""COMPUTED_VALUE"""),"PRIBADI")</f>
        <v>PRIBADI</v>
      </c>
    </row>
    <row r="51">
      <c r="A51" s="8">
        <f>IFERROR(__xludf.DUMMYFUNCTION("""COMPUTED_VALUE"""),46167.0)</f>
        <v>46167</v>
      </c>
      <c r="B51" s="5" t="str">
        <f>IFERROR(__xludf.DUMMYFUNCTION("""COMPUTED_VALUE"""),"TRSF E-BANKING DB")</f>
        <v>TRSF E-BANKING DB</v>
      </c>
      <c r="C51" s="5" t="str">
        <f>IFERROR(__xludf.DUMMYFUNCTION("""COMPUTED_VALUE"""),"2505/FTSCY/WS95031 9523400.00 krg 55 jt EKO SETIYAWAN")</f>
        <v>2505/FTSCY/WS95031 9523400.00 krg 55 jt EKO SETIYAWAN</v>
      </c>
      <c r="D51" s="5">
        <f>IFERROR(__xludf.DUMMYFUNCTION("""COMPUTED_VALUE"""),9523400.0)</f>
        <v>9523400</v>
      </c>
      <c r="E51" s="5"/>
      <c r="F51" s="5" t="str">
        <f>IFERROR(__xludf.DUMMYFUNCTION("""COMPUTED_VALUE"""),"DB")</f>
        <v>DB</v>
      </c>
      <c r="G51" s="5">
        <f>IFERROR(__xludf.DUMMYFUNCTION("""COMPUTED_VALUE"""),2696205.9500000477)</f>
        <v>2696205.95</v>
      </c>
      <c r="H51" s="5">
        <f>IFERROR(__xludf.DUMMYFUNCTION("""COMPUTED_VALUE"""),2696205.95)</f>
        <v>2696205.95</v>
      </c>
      <c r="I51" s="5" t="str">
        <f>IFERROR(__xludf.DUMMYFUNCTION("""COMPUTED_VALUE"""),"PRIBADI")</f>
        <v>PRIBADI</v>
      </c>
    </row>
    <row r="52">
      <c r="A52" s="8">
        <f>IFERROR(__xludf.DUMMYFUNCTION("""COMPUTED_VALUE"""),46168.0)</f>
        <v>46168</v>
      </c>
      <c r="B52" s="5" t="str">
        <f>IFERROR(__xludf.DUMMYFUNCTION("""COMPUTED_VALUE"""),"TRSF E-BANKING DB")</f>
        <v>TRSF E-BANKING DB</v>
      </c>
      <c r="C52" s="5" t="str">
        <f>IFERROR(__xludf.DUMMYFUNCTION("""COMPUTED_VALUE"""),"2605/FTSCY/WS95031 1895000.00 pembayaran reng RIKUT NURSITA")</f>
        <v>2605/FTSCY/WS95031 1895000.00 pembayaran reng RIKUT NURSITA</v>
      </c>
      <c r="D52" s="5">
        <f>IFERROR(__xludf.DUMMYFUNCTION("""COMPUTED_VALUE"""),1895000.0)</f>
        <v>1895000</v>
      </c>
      <c r="E52" s="5"/>
      <c r="F52" s="5" t="str">
        <f>IFERROR(__xludf.DUMMYFUNCTION("""COMPUTED_VALUE"""),"DB")</f>
        <v>DB</v>
      </c>
      <c r="G52" s="5">
        <f>IFERROR(__xludf.DUMMYFUNCTION("""COMPUTED_VALUE"""),1241205.9500000477)</f>
        <v>1241205.95</v>
      </c>
      <c r="H52" s="5"/>
      <c r="I52" s="5" t="str">
        <f>IFERROR(__xludf.DUMMYFUNCTION("""COMPUTED_VALUE"""),"PRIBADI")</f>
        <v>PRIBADI</v>
      </c>
    </row>
    <row r="53">
      <c r="A53" s="8">
        <f>IFERROR(__xludf.DUMMYFUNCTION("""COMPUTED_VALUE"""),46168.0)</f>
        <v>46168</v>
      </c>
      <c r="B53" s="5" t="str">
        <f>IFERROR(__xludf.DUMMYFUNCTION("""COMPUTED_VALUE"""),"TRSF E-BANKING DB")</f>
        <v>TRSF E-BANKING DB</v>
      </c>
      <c r="C53" s="5" t="str">
        <f>IFERROR(__xludf.DUMMYFUNCTION("""COMPUTED_VALUE"""),"2605/FTSCY/WS95031 23100.00 pelunasan GUNA MITRA SEHAT P")</f>
        <v>2605/FTSCY/WS95031 23100.00 pelunasan GUNA MITRA SEHAT P</v>
      </c>
      <c r="D53" s="5">
        <f>IFERROR(__xludf.DUMMYFUNCTION("""COMPUTED_VALUE"""),23100.0)</f>
        <v>23100</v>
      </c>
      <c r="E53" s="5"/>
      <c r="F53" s="5" t="str">
        <f>IFERROR(__xludf.DUMMYFUNCTION("""COMPUTED_VALUE"""),"DB")</f>
        <v>DB</v>
      </c>
      <c r="G53" s="5">
        <f>IFERROR(__xludf.DUMMYFUNCTION("""COMPUTED_VALUE"""),4.5204350595000005E8)</f>
        <v>452043506</v>
      </c>
      <c r="H53" s="5"/>
      <c r="I53" s="5" t="str">
        <f>IFERROR(__xludf.DUMMYFUNCTION("""COMPUTED_VALUE"""),"PRIBADI")</f>
        <v>PRIBADI</v>
      </c>
    </row>
    <row r="54">
      <c r="A54" s="8">
        <f>IFERROR(__xludf.DUMMYFUNCTION("""COMPUTED_VALUE"""),46168.0)</f>
        <v>46168</v>
      </c>
      <c r="B54" s="5" t="str">
        <f>IFERROR(__xludf.DUMMYFUNCTION("""COMPUTED_VALUE"""),"TRSF E-BANKING DB")</f>
        <v>TRSF E-BANKING DB</v>
      </c>
      <c r="C54" s="5" t="str">
        <f>IFERROR(__xludf.DUMMYFUNCTION("""COMPUTED_VALUE"""),"2605/FTSCY/WS95031 61500000.00 t.agung 3 ton GUNA MITRA SEHAT P")</f>
        <v>2605/FTSCY/WS95031 61500000.00 t.agung 3 ton GUNA MITRA SEHAT P</v>
      </c>
      <c r="D54" s="5">
        <f>IFERROR(__xludf.DUMMYFUNCTION("""COMPUTED_VALUE"""),6.15E7)</f>
        <v>61500000</v>
      </c>
      <c r="E54" s="5"/>
      <c r="F54" s="5" t="str">
        <f>IFERROR(__xludf.DUMMYFUNCTION("""COMPUTED_VALUE"""),"DB")</f>
        <v>DB</v>
      </c>
      <c r="G54" s="5">
        <f>IFERROR(__xludf.DUMMYFUNCTION("""COMPUTED_VALUE"""),4.7072561595000005E8)</f>
        <v>470725616</v>
      </c>
      <c r="H54" s="5">
        <f>IFERROR(__xludf.DUMMYFUNCTION("""COMPUTED_VALUE"""),4.7072561595E8)</f>
        <v>470725616</v>
      </c>
      <c r="I54" s="5" t="str">
        <f>IFERROR(__xludf.DUMMYFUNCTION("""COMPUTED_VALUE"""),"PRIBADI")</f>
        <v>PRIBADI</v>
      </c>
    </row>
    <row r="55">
      <c r="A55" s="8">
        <f>IFERROR(__xludf.DUMMYFUNCTION("""COMPUTED_VALUE"""),46168.0)</f>
        <v>46168</v>
      </c>
      <c r="B55" s="5" t="str">
        <f>IFERROR(__xludf.DUMMYFUNCTION("""COMPUTED_VALUE"""),"TRSF E-BANKING DB")</f>
        <v>TRSF E-BANKING DB</v>
      </c>
      <c r="C55" s="5" t="str">
        <f>IFERROR(__xludf.DUMMYFUNCTION("""COMPUTED_VALUE"""),"2605/FTSCY/WS95031 1000000.00 bon SUPRIYADI")</f>
        <v>2605/FTSCY/WS95031 1000000.00 bon SUPRIYADI</v>
      </c>
      <c r="D55" s="5">
        <f>IFERROR(__xludf.DUMMYFUNCTION("""COMPUTED_VALUE"""),1000000.0)</f>
        <v>1000000</v>
      </c>
      <c r="E55" s="5"/>
      <c r="F55" s="5" t="str">
        <f>IFERROR(__xludf.DUMMYFUNCTION("""COMPUTED_VALUE"""),"DB")</f>
        <v>DB</v>
      </c>
      <c r="G55" s="5">
        <f>IFERROR(__xludf.DUMMYFUNCTION("""COMPUTED_VALUE"""),4.6972561595000005E8)</f>
        <v>469725616</v>
      </c>
      <c r="H55" s="5"/>
      <c r="I55" s="5" t="str">
        <f>IFERROR(__xludf.DUMMYFUNCTION("""COMPUTED_VALUE"""),"PRIBADI")</f>
        <v>PRIBADI</v>
      </c>
    </row>
    <row r="56">
      <c r="A56" s="8">
        <f>IFERROR(__xludf.DUMMYFUNCTION("""COMPUTED_VALUE"""),46168.0)</f>
        <v>46168</v>
      </c>
      <c r="B56" s="5" t="str">
        <f>IFERROR(__xludf.DUMMYFUNCTION("""COMPUTED_VALUE"""),"TRSF E-BANKING DB")</f>
        <v>TRSF E-BANKING DB</v>
      </c>
      <c r="C56" s="5" t="str">
        <f>IFERROR(__xludf.DUMMYFUNCTION("""COMPUTED_VALUE"""),"2605/FTSCY/WS95271 58674000.00 Mon May 25 2026 14:00:00 GMT+0700 (Western Indonesia Time) ANUGERAH KARTIKA A")</f>
        <v>2605/FTSCY/WS95271 58674000.00 Mon May 25 2026 14:00:00 GMT+0700 (Western Indonesia Time) ANUGERAH KARTIKA A</v>
      </c>
      <c r="D56" s="5">
        <f>IFERROR(__xludf.DUMMYFUNCTION("""COMPUTED_VALUE"""),5.8674E7)</f>
        <v>58674000</v>
      </c>
      <c r="E56" s="5"/>
      <c r="F56" s="5" t="str">
        <f>IFERROR(__xludf.DUMMYFUNCTION("""COMPUTED_VALUE"""),"DB")</f>
        <v>DB</v>
      </c>
      <c r="G56" s="5">
        <f>IFERROR(__xludf.DUMMYFUNCTION("""COMPUTED_VALUE"""),4.1105161595000005E8)</f>
        <v>411051616</v>
      </c>
      <c r="H56" s="5"/>
      <c r="I56" s="5" t="str">
        <f>IFERROR(__xludf.DUMMYFUNCTION("""COMPUTED_VALUE"""),"PRIBADI")</f>
        <v>PRIBADI</v>
      </c>
    </row>
    <row r="57">
      <c r="A57" s="8">
        <f>IFERROR(__xludf.DUMMYFUNCTION("""COMPUTED_VALUE"""),46168.0)</f>
        <v>46168</v>
      </c>
      <c r="B57" s="5" t="str">
        <f>IFERROR(__xludf.DUMMYFUNCTION("""COMPUTED_VALUE"""),"TRSF E-BANKING DB")</f>
        <v>TRSF E-BANKING DB</v>
      </c>
      <c r="C57" s="5" t="str">
        <f>IFERROR(__xludf.DUMMYFUNCTION("""COMPUTED_VALUE"""),"2605/FTSCY/WS95271 119264200.00 Sun May 24 2026 14:00:00 GMT+0700 (Western Indonesia Time) BROILER MAKMUR TAN")</f>
        <v>2605/FTSCY/WS95271 119264200.00 Sun May 24 2026 14:00:00 GMT+0700 (Western Indonesia Time) BROILER MAKMUR TAN</v>
      </c>
      <c r="D57" s="5">
        <f>IFERROR(__xludf.DUMMYFUNCTION("""COMPUTED_VALUE"""),1.192642E8)</f>
        <v>119264200</v>
      </c>
      <c r="E57" s="5"/>
      <c r="F57" s="5" t="str">
        <f>IFERROR(__xludf.DUMMYFUNCTION("""COMPUTED_VALUE"""),"DB")</f>
        <v>DB</v>
      </c>
      <c r="G57" s="5">
        <f>IFERROR(__xludf.DUMMYFUNCTION("""COMPUTED_VALUE"""),2.9178741595000005E8)</f>
        <v>291787416</v>
      </c>
      <c r="H57" s="5"/>
      <c r="I57" s="5" t="str">
        <f>IFERROR(__xludf.DUMMYFUNCTION("""COMPUTED_VALUE"""),"PRIBADI")</f>
        <v>PRIBADI</v>
      </c>
    </row>
    <row r="58">
      <c r="A58" s="8">
        <f>IFERROR(__xludf.DUMMYFUNCTION("""COMPUTED_VALUE"""),46168.0)</f>
        <v>46168</v>
      </c>
      <c r="B58" s="5" t="str">
        <f>IFERROR(__xludf.DUMMYFUNCTION("""COMPUTED_VALUE"""),"TRSF E-BANKING DB")</f>
        <v>TRSF E-BANKING DB</v>
      </c>
      <c r="C58" s="5" t="str">
        <f>IFERROR(__xludf.DUMMYFUNCTION("""COMPUTED_VALUE"""),"2605/FTSCY/WS95271 60200000.00 Sun May 24 2026 14:00:00 GMT+0700 (Western Indonesia Time) SUPER UNGGAS JAYA")</f>
        <v>2605/FTSCY/WS95271 60200000.00 Sun May 24 2026 14:00:00 GMT+0700 (Western Indonesia Time) SUPER UNGGAS JAYA</v>
      </c>
      <c r="D58" s="5">
        <f>IFERROR(__xludf.DUMMYFUNCTION("""COMPUTED_VALUE"""),6.02E7)</f>
        <v>60200000</v>
      </c>
      <c r="E58" s="5"/>
      <c r="F58" s="5" t="str">
        <f>IFERROR(__xludf.DUMMYFUNCTION("""COMPUTED_VALUE"""),"DB")</f>
        <v>DB</v>
      </c>
      <c r="G58" s="5">
        <f>IFERROR(__xludf.DUMMYFUNCTION("""COMPUTED_VALUE"""),2.3158741595000005E8)</f>
        <v>231587416</v>
      </c>
      <c r="H58" s="5"/>
      <c r="I58" s="5" t="str">
        <f>IFERROR(__xludf.DUMMYFUNCTION("""COMPUTED_VALUE"""),"PRIBADI")</f>
        <v>PRIBADI</v>
      </c>
    </row>
    <row r="59">
      <c r="A59" s="8">
        <f>IFERROR(__xludf.DUMMYFUNCTION("""COMPUTED_VALUE"""),46168.0)</f>
        <v>46168</v>
      </c>
      <c r="B59" s="5" t="str">
        <f>IFERROR(__xludf.DUMMYFUNCTION("""COMPUTED_VALUE"""),"TRSF E-BANKING DB")</f>
        <v>TRSF E-BANKING DB</v>
      </c>
      <c r="C59" s="5" t="str">
        <f>IFERROR(__xludf.DUMMYFUNCTION("""COMPUTED_VALUE"""),"2605/FTFVA/WS95031 55569/PT PRIMA FAJ lmjg dan besuki to t. 6 ton 40190")</f>
        <v>2605/FTFVA/WS95031 55569/PT PRIMA FAJ lmjg dan besuki to t. 6 ton 40190</v>
      </c>
      <c r="D59" s="5">
        <f>IFERROR(__xludf.DUMMYFUNCTION("""COMPUTED_VALUE"""),1.182E8)</f>
        <v>118200000</v>
      </c>
      <c r="E59" s="5"/>
      <c r="F59" s="5" t="str">
        <f>IFERROR(__xludf.DUMMYFUNCTION("""COMPUTED_VALUE"""),"DB")</f>
        <v>DB</v>
      </c>
      <c r="G59" s="5">
        <f>IFERROR(__xludf.DUMMYFUNCTION("""COMPUTED_VALUE"""),1.1338741595000005E8)</f>
        <v>113387416</v>
      </c>
      <c r="H59" s="5">
        <f>IFERROR(__xludf.DUMMYFUNCTION("""COMPUTED_VALUE"""),1.1338741595E8)</f>
        <v>113387416</v>
      </c>
      <c r="I59" s="5" t="str">
        <f>IFERROR(__xludf.DUMMYFUNCTION("""COMPUTED_VALUE"""),"PRIBADI")</f>
        <v>PRIBADI</v>
      </c>
    </row>
    <row r="60">
      <c r="A60" s="8">
        <f>IFERROR(__xludf.DUMMYFUNCTION("""COMPUTED_VALUE"""),46169.0)</f>
        <v>46169</v>
      </c>
      <c r="B60" s="5" t="str">
        <f>IFERROR(__xludf.DUMMYFUNCTION("""COMPUTED_VALUE"""),"TRSF E-BANKING DB")</f>
        <v>TRSF E-BANKING DB</v>
      </c>
      <c r="C60" s="5" t="str">
        <f>IFERROR(__xludf.DUMMYFUNCTION("""COMPUTED_VALUE"""),"2705/FTSCY/WS95271 64501500.00 0l25/05 ANUGERAH KARTIKA A")</f>
        <v>2705/FTSCY/WS95271 64501500.00 0l25/05 ANUGERAH KARTIKA A</v>
      </c>
      <c r="D60" s="5">
        <f>IFERROR(__xludf.DUMMYFUNCTION("""COMPUTED_VALUE"""),6.45015E7)</f>
        <v>64501500</v>
      </c>
      <c r="E60" s="5"/>
      <c r="F60" s="5" t="str">
        <f>IFERROR(__xludf.DUMMYFUNCTION("""COMPUTED_VALUE"""),"DB")</f>
        <v>DB</v>
      </c>
      <c r="G60" s="5">
        <f>IFERROR(__xludf.DUMMYFUNCTION("""COMPUTED_VALUE"""),2.3946106595000005E8)</f>
        <v>239461066</v>
      </c>
      <c r="H60" s="5"/>
      <c r="I60" s="5" t="str">
        <f>IFERROR(__xludf.DUMMYFUNCTION("""COMPUTED_VALUE"""),"PRIBADI")</f>
        <v>PRIBADI</v>
      </c>
    </row>
    <row r="61">
      <c r="A61" s="8">
        <f>IFERROR(__xludf.DUMMYFUNCTION("""COMPUTED_VALUE"""),46169.0)</f>
        <v>46169</v>
      </c>
      <c r="B61" s="5" t="str">
        <f>IFERROR(__xludf.DUMMYFUNCTION("""COMPUTED_VALUE"""),"TRSF E-BANKING DB")</f>
        <v>TRSF E-BANKING DB</v>
      </c>
      <c r="C61" s="5" t="str">
        <f>IFERROR(__xludf.DUMMYFUNCTION("""COMPUTED_VALUE"""),"2705/FTSCY/WS95271 61592250.00 Mon May 25 2026 14:00:00 GMT+0700 (Western Indonesia Time) ANUGERAH KARTIKA A")</f>
        <v>2705/FTSCY/WS95271 61592250.00 Mon May 25 2026 14:00:00 GMT+0700 (Western Indonesia Time) ANUGERAH KARTIKA A</v>
      </c>
      <c r="D61" s="5">
        <f>IFERROR(__xludf.DUMMYFUNCTION("""COMPUTED_VALUE"""),6.159225E7)</f>
        <v>61592250</v>
      </c>
      <c r="E61" s="5"/>
      <c r="F61" s="5" t="str">
        <f>IFERROR(__xludf.DUMMYFUNCTION("""COMPUTED_VALUE"""),"DB")</f>
        <v>DB</v>
      </c>
      <c r="G61" s="5">
        <f>IFERROR(__xludf.DUMMYFUNCTION("""COMPUTED_VALUE"""),1.7786881595000005E8)</f>
        <v>177868816</v>
      </c>
      <c r="H61" s="5"/>
      <c r="I61" s="5" t="str">
        <f>IFERROR(__xludf.DUMMYFUNCTION("""COMPUTED_VALUE"""),"PRIBADI")</f>
        <v>PRIBADI</v>
      </c>
    </row>
    <row r="62">
      <c r="A62" s="8">
        <f>IFERROR(__xludf.DUMMYFUNCTION("""COMPUTED_VALUE"""),46169.0)</f>
        <v>46169</v>
      </c>
      <c r="B62" s="5" t="str">
        <f>IFERROR(__xludf.DUMMYFUNCTION("""COMPUTED_VALUE"""),"TRSF E-BANKING DB")</f>
        <v>TRSF E-BANKING DB</v>
      </c>
      <c r="C62" s="5" t="str">
        <f>IFERROR(__xludf.DUMMYFUNCTION("""COMPUTED_VALUE"""),"2705/FTSCY/WS95271 63231000.00 Mon May 25 2026 14:00:00 GMT+0700 (Western Indonesia Time) ANUGERAH KARTIKA A")</f>
        <v>2705/FTSCY/WS95271 63231000.00 Mon May 25 2026 14:00:00 GMT+0700 (Western Indonesia Time) ANUGERAH KARTIKA A</v>
      </c>
      <c r="D62" s="5">
        <f>IFERROR(__xludf.DUMMYFUNCTION("""COMPUTED_VALUE"""),6.3231E7)</f>
        <v>63231000</v>
      </c>
      <c r="E62" s="5"/>
      <c r="F62" s="5" t="str">
        <f>IFERROR(__xludf.DUMMYFUNCTION("""COMPUTED_VALUE"""),"DB")</f>
        <v>DB</v>
      </c>
      <c r="G62" s="5">
        <f>IFERROR(__xludf.DUMMYFUNCTION("""COMPUTED_VALUE"""),1.1463781595000005E8)</f>
        <v>114637816</v>
      </c>
      <c r="H62" s="5"/>
      <c r="I62" s="5" t="str">
        <f>IFERROR(__xludf.DUMMYFUNCTION("""COMPUTED_VALUE"""),"PRIBADI")</f>
        <v>PRIBADI</v>
      </c>
    </row>
    <row r="63">
      <c r="A63" s="8">
        <f>IFERROR(__xludf.DUMMYFUNCTION("""COMPUTED_VALUE"""),46169.0)</f>
        <v>46169</v>
      </c>
      <c r="B63" s="5" t="str">
        <f>IFERROR(__xludf.DUMMYFUNCTION("""COMPUTED_VALUE"""),"TRSF E-BANKING DB")</f>
        <v>TRSF E-BANKING DB</v>
      </c>
      <c r="C63" s="5" t="str">
        <f>IFERROR(__xludf.DUMMYFUNCTION("""COMPUTED_VALUE"""),"2705/FTSCY/WS95271 2414490.00 kediri MUJIANTO")</f>
        <v>2705/FTSCY/WS95271 2414490.00 kediri MUJIANTO</v>
      </c>
      <c r="D63" s="5">
        <f>IFERROR(__xludf.DUMMYFUNCTION("""COMPUTED_VALUE"""),2414490.0)</f>
        <v>2414490</v>
      </c>
      <c r="E63" s="5"/>
      <c r="F63" s="5" t="str">
        <f>IFERROR(__xludf.DUMMYFUNCTION("""COMPUTED_VALUE"""),"DB")</f>
        <v>DB</v>
      </c>
      <c r="G63" s="5">
        <f>IFERROR(__xludf.DUMMYFUNCTION("""COMPUTED_VALUE"""),1.1222332595000005E8)</f>
        <v>112223326</v>
      </c>
      <c r="H63" s="5"/>
      <c r="I63" s="5" t="str">
        <f>IFERROR(__xludf.DUMMYFUNCTION("""COMPUTED_VALUE"""),"PRIBADI")</f>
        <v>PRIBADI</v>
      </c>
    </row>
    <row r="64">
      <c r="A64" s="8">
        <f>IFERROR(__xludf.DUMMYFUNCTION("""COMPUTED_VALUE"""),46169.0)</f>
        <v>46169</v>
      </c>
      <c r="B64" s="5" t="str">
        <f>IFERROR(__xludf.DUMMYFUNCTION("""COMPUTED_VALUE"""),"TRSF E-BANKING DB")</f>
        <v>TRSF E-BANKING DB</v>
      </c>
      <c r="C64" s="5" t="str">
        <f>IFERROR(__xludf.DUMMYFUNCTION("""COMPUTED_VALUE"""),"2705/FTSCY/WS95031 2661900.00 HERMAWAN")</f>
        <v>2705/FTSCY/WS95031 2661900.00 HERMAWAN</v>
      </c>
      <c r="D64" s="5">
        <f>IFERROR(__xludf.DUMMYFUNCTION("""COMPUTED_VALUE"""),2661900.0)</f>
        <v>2661900</v>
      </c>
      <c r="E64" s="5"/>
      <c r="F64" s="5" t="str">
        <f>IFERROR(__xludf.DUMMYFUNCTION("""COMPUTED_VALUE"""),"DB")</f>
        <v>DB</v>
      </c>
      <c r="G64" s="5">
        <f>IFERROR(__xludf.DUMMYFUNCTION("""COMPUTED_VALUE"""),1.0956142595000005E8)</f>
        <v>109561426</v>
      </c>
      <c r="H64" s="5"/>
      <c r="I64" s="5" t="str">
        <f>IFERROR(__xludf.DUMMYFUNCTION("""COMPUTED_VALUE"""),"PRIBADI")</f>
        <v>PRIBADI</v>
      </c>
    </row>
    <row r="65">
      <c r="A65" s="8">
        <f>IFERROR(__xludf.DUMMYFUNCTION("""COMPUTED_VALUE"""),46169.0)</f>
        <v>46169</v>
      </c>
      <c r="B65" s="5" t="str">
        <f>IFERROR(__xludf.DUMMYFUNCTION("""COMPUTED_VALUE"""),"KARTU DEBIT")</f>
        <v>KARTU DEBIT</v>
      </c>
      <c r="C65" s="5" t="str">
        <f>IFERROR(__xludf.DUMMYFUNCTION("""COMPUTED_VALUE"""),"ALFAMRT Y207 BRTN 6019009510239343")</f>
        <v>ALFAMRT Y207 BRTN 6019009510239343</v>
      </c>
      <c r="D65" s="5">
        <f>IFERROR(__xludf.DUMMYFUNCTION("""COMPUTED_VALUE"""),173900.0)</f>
        <v>173900</v>
      </c>
      <c r="E65" s="5"/>
      <c r="F65" s="5"/>
      <c r="G65" s="5">
        <f>IFERROR(__xludf.DUMMYFUNCTION("""COMPUTED_VALUE"""),1.0938752595000005E8)</f>
        <v>109387526</v>
      </c>
      <c r="H65" s="5">
        <f>IFERROR(__xludf.DUMMYFUNCTION("""COMPUTED_VALUE"""),1.0938752595E8)</f>
        <v>109387526</v>
      </c>
      <c r="I65" s="5" t="str">
        <f>IFERROR(__xludf.DUMMYFUNCTION("""COMPUTED_VALUE"""),"PRIBADI")</f>
        <v>PRIBADI</v>
      </c>
    </row>
    <row r="66">
      <c r="A66" s="8">
        <f>IFERROR(__xludf.DUMMYFUNCTION("""COMPUTED_VALUE"""),46169.0)</f>
        <v>46169</v>
      </c>
      <c r="B66" s="5" t="str">
        <f>IFERROR(__xludf.DUMMYFUNCTION("""COMPUTED_VALUE"""),"TRSF E-BANKING DB")</f>
        <v>TRSF E-BANKING DB</v>
      </c>
      <c r="C66" s="5" t="str">
        <f>IFERROR(__xludf.DUMMYFUNCTION("""COMPUTED_VALUE"""),"2705/FTSCY/WS95011 273150400.00 Mon May 25 2026 14:00:00 GMT+0700 (Western Indonesia Time) LAJU SATWA WISESA")</f>
        <v>2705/FTSCY/WS95011 273150400.00 Mon May 25 2026 14:00:00 GMT+0700 (Western Indonesia Time) LAJU SATWA WISESA</v>
      </c>
      <c r="D66" s="5">
        <f>IFERROR(__xludf.DUMMYFUNCTION("""COMPUTED_VALUE"""),2.731504E8)</f>
        <v>273150400</v>
      </c>
      <c r="E66" s="5"/>
      <c r="F66" s="5" t="str">
        <f>IFERROR(__xludf.DUMMYFUNCTION("""COMPUTED_VALUE"""),"DB")</f>
        <v>DB</v>
      </c>
      <c r="G66" s="5">
        <f>IFERROR(__xludf.DUMMYFUNCTION("""COMPUTED_VALUE"""),2.4688712595000005E8)</f>
        <v>246887126</v>
      </c>
      <c r="H66" s="5"/>
      <c r="I66" s="5" t="str">
        <f>IFERROR(__xludf.DUMMYFUNCTION("""COMPUTED_VALUE"""),"PRIBADI")</f>
        <v>PRIBADI</v>
      </c>
    </row>
    <row r="67">
      <c r="A67" s="8">
        <f>IFERROR(__xludf.DUMMYFUNCTION("""COMPUTED_VALUE"""),46169.0)</f>
        <v>46169</v>
      </c>
      <c r="B67" s="5" t="str">
        <f>IFERROR(__xludf.DUMMYFUNCTION("""COMPUTED_VALUE"""),"TRSF E-BANKING DB")</f>
        <v>TRSF E-BANKING DB</v>
      </c>
      <c r="C67" s="5" t="str">
        <f>IFERROR(__xludf.DUMMYFUNCTION("""COMPUTED_VALUE"""),"2705/FTSCY/WS95011 129340890.00 Mon May 25 2026 14:00:00 GMT+0700 (Western Indonesia Time) SUPER UNGGAS JAYA")</f>
        <v>2705/FTSCY/WS95011 129340890.00 Mon May 25 2026 14:00:00 GMT+0700 (Western Indonesia Time) SUPER UNGGAS JAYA</v>
      </c>
      <c r="D67" s="5">
        <f>IFERROR(__xludf.DUMMYFUNCTION("""COMPUTED_VALUE"""),1.2934089E8)</f>
        <v>129340890</v>
      </c>
      <c r="E67" s="5"/>
      <c r="F67" s="5" t="str">
        <f>IFERROR(__xludf.DUMMYFUNCTION("""COMPUTED_VALUE"""),"DB")</f>
        <v>DB</v>
      </c>
      <c r="G67" s="5">
        <f>IFERROR(__xludf.DUMMYFUNCTION("""COMPUTED_VALUE"""),1.1754623595000005E8)</f>
        <v>117546236</v>
      </c>
      <c r="H67" s="5"/>
      <c r="I67" s="5" t="str">
        <f>IFERROR(__xludf.DUMMYFUNCTION("""COMPUTED_VALUE"""),"PRIBADI")</f>
        <v>PRIBADI</v>
      </c>
    </row>
    <row r="68">
      <c r="A68" s="8">
        <f>IFERROR(__xludf.DUMMYFUNCTION("""COMPUTED_VALUE"""),46169.0)</f>
        <v>46169</v>
      </c>
      <c r="B68" s="5" t="str">
        <f>IFERROR(__xludf.DUMMYFUNCTION("""COMPUTED_VALUE"""),"TRSF E-BANKING DB")</f>
        <v>TRSF E-BANKING DB</v>
      </c>
      <c r="C68" s="5" t="str">
        <f>IFERROR(__xludf.DUMMYFUNCTION("""COMPUTED_VALUE"""),"2705/FTSCY/WS95011 61771500.00 Mon May 25 2026 14:00:00 GMT+0700 (Western Indonesia Time) RUKUN MITRA BERSAM")</f>
        <v>2705/FTSCY/WS95011 61771500.00 Mon May 25 2026 14:00:00 GMT+0700 (Western Indonesia Time) RUKUN MITRA BERSAM</v>
      </c>
      <c r="D68" s="5">
        <f>IFERROR(__xludf.DUMMYFUNCTION("""COMPUTED_VALUE"""),6.17715E7)</f>
        <v>61771500</v>
      </c>
      <c r="E68" s="5"/>
      <c r="F68" s="5" t="str">
        <f>IFERROR(__xludf.DUMMYFUNCTION("""COMPUTED_VALUE"""),"DB")</f>
        <v>DB</v>
      </c>
      <c r="G68" s="5">
        <f>IFERROR(__xludf.DUMMYFUNCTION("""COMPUTED_VALUE"""),5.577473595000005E7)</f>
        <v>55774735.95</v>
      </c>
      <c r="H68" s="5"/>
      <c r="I68" s="5" t="str">
        <f>IFERROR(__xludf.DUMMYFUNCTION("""COMPUTED_VALUE"""),"PRIBADI")</f>
        <v>PRIBADI</v>
      </c>
    </row>
    <row r="69">
      <c r="A69" s="8">
        <f>IFERROR(__xludf.DUMMYFUNCTION("""COMPUTED_VALUE"""),46170.0)</f>
        <v>46170</v>
      </c>
      <c r="B69" s="5" t="str">
        <f>IFERROR(__xludf.DUMMYFUNCTION("""COMPUTED_VALUE"""),"TRSF E-BANKING DB")</f>
        <v>TRSF E-BANKING DB</v>
      </c>
      <c r="C69" s="5" t="str">
        <f>IFERROR(__xludf.DUMMYFUNCTION("""COMPUTED_VALUE"""),"2805/FTSCY/WS95271 65930000.00 Tue May 26 2026 14:00:00 GMT+0700 (Western Indonesia Time) BINTANG TAMA SANTO")</f>
        <v>2805/FTSCY/WS95271 65930000.00 Tue May 26 2026 14:00:00 GMT+0700 (Western Indonesia Time) BINTANG TAMA SANTO</v>
      </c>
      <c r="D69" s="5">
        <f>IFERROR(__xludf.DUMMYFUNCTION("""COMPUTED_VALUE"""),6.593E7)</f>
        <v>65930000</v>
      </c>
      <c r="E69" s="5"/>
      <c r="F69" s="5" t="str">
        <f>IFERROR(__xludf.DUMMYFUNCTION("""COMPUTED_VALUE"""),"DB")</f>
        <v>DB</v>
      </c>
      <c r="G69" s="5">
        <f>IFERROR(__xludf.DUMMYFUNCTION("""COMPUTED_VALUE"""),4.0046188595000005E8)</f>
        <v>400461886</v>
      </c>
      <c r="H69" s="5"/>
      <c r="I69" s="5" t="str">
        <f>IFERROR(__xludf.DUMMYFUNCTION("""COMPUTED_VALUE"""),"PRIBADI")</f>
        <v>PRIBADI</v>
      </c>
    </row>
    <row r="70">
      <c r="A70" s="8">
        <f>IFERROR(__xludf.DUMMYFUNCTION("""COMPUTED_VALUE"""),46170.0)</f>
        <v>46170</v>
      </c>
      <c r="B70" s="5" t="str">
        <f>IFERROR(__xludf.DUMMYFUNCTION("""COMPUTED_VALUE"""),"TRSF E-BANKING DB")</f>
        <v>TRSF E-BANKING DB</v>
      </c>
      <c r="C70" s="5" t="str">
        <f>IFERROR(__xludf.DUMMYFUNCTION("""COMPUTED_VALUE"""),"2805/FTSCY/WS95271 60114000.00 Tue May 26 2026 14:00:00 GMT+0700 (Western Indonesia Time) ANUGERAH KARTIKA A")</f>
        <v>2805/FTSCY/WS95271 60114000.00 Tue May 26 2026 14:00:00 GMT+0700 (Western Indonesia Time) ANUGERAH KARTIKA A</v>
      </c>
      <c r="D70" s="5">
        <f>IFERROR(__xludf.DUMMYFUNCTION("""COMPUTED_VALUE"""),6.0114E7)</f>
        <v>60114000</v>
      </c>
      <c r="E70" s="5"/>
      <c r="F70" s="5" t="str">
        <f>IFERROR(__xludf.DUMMYFUNCTION("""COMPUTED_VALUE"""),"DB")</f>
        <v>DB</v>
      </c>
      <c r="G70" s="5">
        <f>IFERROR(__xludf.DUMMYFUNCTION("""COMPUTED_VALUE"""),3.4034788595000005E8)</f>
        <v>340347886</v>
      </c>
      <c r="H70" s="5"/>
      <c r="I70" s="5" t="str">
        <f>IFERROR(__xludf.DUMMYFUNCTION("""COMPUTED_VALUE"""),"PRIBADI")</f>
        <v>PRIBADI</v>
      </c>
    </row>
    <row r="71">
      <c r="A71" s="8">
        <f>IFERROR(__xludf.DUMMYFUNCTION("""COMPUTED_VALUE"""),46170.0)</f>
        <v>46170</v>
      </c>
      <c r="B71" s="5" t="str">
        <f>IFERROR(__xludf.DUMMYFUNCTION("""COMPUTED_VALUE"""),"TRSF E-BANKING DB")</f>
        <v>TRSF E-BANKING DB</v>
      </c>
      <c r="C71" s="5" t="str">
        <f>IFERROR(__xludf.DUMMYFUNCTION("""COMPUTED_VALUE"""),"2805/FTSCY/WS95271 145152300.00 Tue May 26 2026 14:00:00 GMT+0700 (Western Indonesia Time) LAJU SATWA WISESA")</f>
        <v>2805/FTSCY/WS95271 145152300.00 Tue May 26 2026 14:00:00 GMT+0700 (Western Indonesia Time) LAJU SATWA WISESA</v>
      </c>
      <c r="D71" s="5">
        <f>IFERROR(__xludf.DUMMYFUNCTION("""COMPUTED_VALUE"""),1.451523E8)</f>
        <v>145152300</v>
      </c>
      <c r="E71" s="5"/>
      <c r="F71" s="5" t="str">
        <f>IFERROR(__xludf.DUMMYFUNCTION("""COMPUTED_VALUE"""),"DB")</f>
        <v>DB</v>
      </c>
      <c r="G71" s="5">
        <f>IFERROR(__xludf.DUMMYFUNCTION("""COMPUTED_VALUE"""),1.9519558595000005E8)</f>
        <v>195195586</v>
      </c>
      <c r="H71" s="5"/>
      <c r="I71" s="5" t="str">
        <f>IFERROR(__xludf.DUMMYFUNCTION("""COMPUTED_VALUE"""),"PRIBADI")</f>
        <v>PRIBADI</v>
      </c>
    </row>
    <row r="72">
      <c r="A72" s="8">
        <f>IFERROR(__xludf.DUMMYFUNCTION("""COMPUTED_VALUE"""),46170.0)</f>
        <v>46170</v>
      </c>
      <c r="B72" s="5" t="str">
        <f>IFERROR(__xludf.DUMMYFUNCTION("""COMPUTED_VALUE"""),"TRSF E-BANKING DB")</f>
        <v>TRSF E-BANKING DB</v>
      </c>
      <c r="C72" s="5" t="str">
        <f>IFERROR(__xludf.DUMMYFUNCTION("""COMPUTED_VALUE"""),"2805/FTSCY/WS95031 64350000.00 Tue May 26 2026 14:00:00 GMT+0700 (Western Indonesia Time) ANUGERAH KARTIKA A")</f>
        <v>2805/FTSCY/WS95031 64350000.00 Tue May 26 2026 14:00:00 GMT+0700 (Western Indonesia Time) ANUGERAH KARTIKA A</v>
      </c>
      <c r="D72" s="5">
        <f>IFERROR(__xludf.DUMMYFUNCTION("""COMPUTED_VALUE"""),6.435E7)</f>
        <v>64350000</v>
      </c>
      <c r="E72" s="5"/>
      <c r="F72" s="5" t="str">
        <f>IFERROR(__xludf.DUMMYFUNCTION("""COMPUTED_VALUE"""),"DB")</f>
        <v>DB</v>
      </c>
      <c r="G72" s="5">
        <f>IFERROR(__xludf.DUMMYFUNCTION("""COMPUTED_VALUE"""),1.3084558595000005E8)</f>
        <v>130845586</v>
      </c>
      <c r="H72" s="5"/>
      <c r="I72" s="5" t="str">
        <f>IFERROR(__xludf.DUMMYFUNCTION("""COMPUTED_VALUE"""),"PRIBADI")</f>
        <v>PRIBADI</v>
      </c>
    </row>
    <row r="73">
      <c r="A73" s="8">
        <f>IFERROR(__xludf.DUMMYFUNCTION("""COMPUTED_VALUE"""),46170.0)</f>
        <v>46170</v>
      </c>
      <c r="B73" s="5" t="str">
        <f>IFERROR(__xludf.DUMMYFUNCTION("""COMPUTED_VALUE"""),"TRSF E-BANKING DB")</f>
        <v>TRSF E-BANKING DB</v>
      </c>
      <c r="C73" s="5" t="str">
        <f>IFERROR(__xludf.DUMMYFUNCTION("""COMPUTED_VALUE"""),"2805/FTSCY/WS95031 955600.00 HERMAWAN")</f>
        <v>2805/FTSCY/WS95031 955600.00 HERMAWAN</v>
      </c>
      <c r="D73" s="5">
        <f>IFERROR(__xludf.DUMMYFUNCTION("""COMPUTED_VALUE"""),955600.0)</f>
        <v>955600</v>
      </c>
      <c r="E73" s="5"/>
      <c r="F73" s="5" t="str">
        <f>IFERROR(__xludf.DUMMYFUNCTION("""COMPUTED_VALUE"""),"DB")</f>
        <v>DB</v>
      </c>
      <c r="G73" s="5">
        <f>IFERROR(__xludf.DUMMYFUNCTION("""COMPUTED_VALUE"""),1.2988998595000005E8)</f>
        <v>129889986</v>
      </c>
      <c r="H73" s="5"/>
      <c r="I73" s="5" t="str">
        <f>IFERROR(__xludf.DUMMYFUNCTION("""COMPUTED_VALUE"""),"PRIBADI")</f>
        <v>PRIBADI</v>
      </c>
    </row>
    <row r="74">
      <c r="A74" s="8">
        <f>IFERROR(__xludf.DUMMYFUNCTION("""COMPUTED_VALUE"""),46170.0)</f>
        <v>46170</v>
      </c>
      <c r="B74" s="5" t="str">
        <f>IFERROR(__xludf.DUMMYFUNCTION("""COMPUTED_VALUE"""),"TRSF E-BANKING DB")</f>
        <v>TRSF E-BANKING DB</v>
      </c>
      <c r="C74" s="5" t="str">
        <f>IFERROR(__xludf.DUMMYFUNCTION("""COMPUTED_VALUE"""),"2805/FTSCY/WS95031 12728900.00 krg 60 jt EKO SETIYAWAN")</f>
        <v>2805/FTSCY/WS95031 12728900.00 krg 60 jt EKO SETIYAWAN</v>
      </c>
      <c r="D74" s="5">
        <f>IFERROR(__xludf.DUMMYFUNCTION("""COMPUTED_VALUE"""),1.27289E7)</f>
        <v>12728900</v>
      </c>
      <c r="E74" s="5"/>
      <c r="F74" s="5" t="str">
        <f>IFERROR(__xludf.DUMMYFUNCTION("""COMPUTED_VALUE"""),"DB")</f>
        <v>DB</v>
      </c>
      <c r="G74" s="5">
        <f>IFERROR(__xludf.DUMMYFUNCTION("""COMPUTED_VALUE"""),1.1716108595000005E8)</f>
        <v>117161086</v>
      </c>
      <c r="H74" s="5"/>
      <c r="I74" s="5" t="str">
        <f>IFERROR(__xludf.DUMMYFUNCTION("""COMPUTED_VALUE"""),"PRIBADI")</f>
        <v>PRIBADI</v>
      </c>
    </row>
    <row r="75">
      <c r="A75" s="8">
        <f>IFERROR(__xludf.DUMMYFUNCTION("""COMPUTED_VALUE"""),46170.0)</f>
        <v>46170</v>
      </c>
      <c r="B75" s="5" t="str">
        <f>IFERROR(__xludf.DUMMYFUNCTION("""COMPUTED_VALUE"""),"TRSF E-BANKING DB")</f>
        <v>TRSF E-BANKING DB</v>
      </c>
      <c r="C75" s="5" t="str">
        <f>IFERROR(__xludf.DUMMYFUNCTION("""COMPUTED_VALUE"""),"2805/FTSCY/WS95031 3064590.00 refund NURHAYATI")</f>
        <v>2805/FTSCY/WS95031 3064590.00 refund NURHAYATI</v>
      </c>
      <c r="D75" s="5">
        <f>IFERROR(__xludf.DUMMYFUNCTION("""COMPUTED_VALUE"""),3064590.0)</f>
        <v>3064590</v>
      </c>
      <c r="E75" s="5"/>
      <c r="F75" s="5" t="str">
        <f>IFERROR(__xludf.DUMMYFUNCTION("""COMPUTED_VALUE"""),"DB")</f>
        <v>DB</v>
      </c>
      <c r="G75" s="5">
        <f>IFERROR(__xludf.DUMMYFUNCTION("""COMPUTED_VALUE"""),1.1409649595000005E8)</f>
        <v>114096496</v>
      </c>
      <c r="H75" s="5">
        <f>IFERROR(__xludf.DUMMYFUNCTION("""COMPUTED_VALUE"""),1.1409649595E8)</f>
        <v>114096496</v>
      </c>
      <c r="I75" s="5" t="str">
        <f>IFERROR(__xludf.DUMMYFUNCTION("""COMPUTED_VALUE"""),"PRIBADI")</f>
        <v>PRIBADI</v>
      </c>
    </row>
    <row r="76">
      <c r="A76" s="8">
        <f>IFERROR(__xludf.DUMMYFUNCTION("""COMPUTED_VALUE"""),46170.0)</f>
        <v>46170</v>
      </c>
      <c r="B76" s="5" t="str">
        <f>IFERROR(__xludf.DUMMYFUNCTION("""COMPUTED_VALUE"""),"TRSF E-BANKING DB")</f>
        <v>TRSF E-BANKING DB</v>
      </c>
      <c r="C76" s="5" t="str">
        <f>IFERROR(__xludf.DUMMYFUNCTION("""COMPUTED_VALUE"""),"2805/FTSCY/WS95031 1000000.00 bon SUPRIYADI")</f>
        <v>2805/FTSCY/WS95031 1000000.00 bon SUPRIYADI</v>
      </c>
      <c r="D76" s="5">
        <f>IFERROR(__xludf.DUMMYFUNCTION("""COMPUTED_VALUE"""),1000000.0)</f>
        <v>1000000</v>
      </c>
      <c r="E76" s="5"/>
      <c r="F76" s="5" t="str">
        <f>IFERROR(__xludf.DUMMYFUNCTION("""COMPUTED_VALUE"""),"DB")</f>
        <v>DB</v>
      </c>
      <c r="G76" s="5">
        <f>IFERROR(__xludf.DUMMYFUNCTION("""COMPUTED_VALUE"""),1.1499649595000005E8)</f>
        <v>114996496</v>
      </c>
      <c r="H76" s="5"/>
      <c r="I76" s="5" t="str">
        <f>IFERROR(__xludf.DUMMYFUNCTION("""COMPUTED_VALUE"""),"PRIBADI")</f>
        <v>PRIBADI</v>
      </c>
    </row>
    <row r="77">
      <c r="A77" s="8">
        <f>IFERROR(__xludf.DUMMYFUNCTION("""COMPUTED_VALUE"""),46170.0)</f>
        <v>46170</v>
      </c>
      <c r="B77" s="5" t="str">
        <f>IFERROR(__xludf.DUMMYFUNCTION("""COMPUTED_VALUE"""),"TRSF E-BANKING DB")</f>
        <v>TRSF E-BANKING DB</v>
      </c>
      <c r="C77" s="5" t="str">
        <f>IFERROR(__xludf.DUMMYFUNCTION("""COMPUTED_VALUE"""),"2805/FTFVA/WS95031 55569/PT PRIMA FAJ mlg 3 ton - 40190")</f>
        <v>2805/FTFVA/WS95031 55569/PT PRIMA FAJ mlg 3 ton - 40190</v>
      </c>
      <c r="D77" s="5">
        <f>IFERROR(__xludf.DUMMYFUNCTION("""COMPUTED_VALUE"""),6.0E7)</f>
        <v>60000000</v>
      </c>
      <c r="E77" s="5"/>
      <c r="F77" s="5" t="str">
        <f>IFERROR(__xludf.DUMMYFUNCTION("""COMPUTED_VALUE"""),"DB")</f>
        <v>DB</v>
      </c>
      <c r="G77" s="5">
        <f>IFERROR(__xludf.DUMMYFUNCTION("""COMPUTED_VALUE"""),7.469407595000005E7)</f>
        <v>74694075.95</v>
      </c>
      <c r="H77" s="5"/>
      <c r="I77" s="5" t="str">
        <f>IFERROR(__xludf.DUMMYFUNCTION("""COMPUTED_VALUE"""),"PRIBADI")</f>
        <v>PRIBADI</v>
      </c>
    </row>
    <row r="78">
      <c r="A78" s="8">
        <f>IFERROR(__xludf.DUMMYFUNCTION("""COMPUTED_VALUE"""),46171.0)</f>
        <v>46171</v>
      </c>
      <c r="B78" s="5" t="str">
        <f>IFERROR(__xludf.DUMMYFUNCTION("""COMPUTED_VALUE"""),"KARTU DEBIT")</f>
        <v>KARTU DEBIT</v>
      </c>
      <c r="C78" s="5" t="str">
        <f>IFERROR(__xludf.DUMMYFUNCTION("""COMPUTED_VALUE"""),"IDM TROJ LANGSEP 6019009510239343")</f>
        <v>IDM TROJ LANGSEP 6019009510239343</v>
      </c>
      <c r="D78" s="5">
        <f>IFERROR(__xludf.DUMMYFUNCTION("""COMPUTED_VALUE"""),212100.0)</f>
        <v>212100</v>
      </c>
      <c r="E78" s="5"/>
      <c r="F78" s="5"/>
      <c r="G78" s="5">
        <f>IFERROR(__xludf.DUMMYFUNCTION("""COMPUTED_VALUE"""),7.478197595000005E7)</f>
        <v>74781975.95</v>
      </c>
      <c r="H78" s="5">
        <f>IFERROR(__xludf.DUMMYFUNCTION("""COMPUTED_VALUE"""),212100.0)</f>
        <v>212100</v>
      </c>
      <c r="I78" s="5" t="str">
        <f>IFERROR(__xludf.DUMMYFUNCTION("""COMPUTED_VALUE"""),"PRIBADI")</f>
        <v>PRIBADI</v>
      </c>
    </row>
    <row r="79">
      <c r="A79" s="8">
        <f>IFERROR(__xludf.DUMMYFUNCTION("""COMPUTED_VALUE"""),46171.0)</f>
        <v>46171</v>
      </c>
      <c r="B79" s="5" t="str">
        <f>IFERROR(__xludf.DUMMYFUNCTION("""COMPUTED_VALUE"""),"TRSF E-BANKING DB")</f>
        <v>TRSF E-BANKING DB</v>
      </c>
      <c r="C79" s="5" t="str">
        <f>IFERROR(__xludf.DUMMYFUNCTION("""COMPUTED_VALUE"""),"2905/FTSCY/WS95271 267708030.00 pellunasan ANDALAN YASA MITRA")</f>
        <v>2905/FTSCY/WS95271 267708030.00 pellunasan ANDALAN YASA MITRA</v>
      </c>
      <c r="D79" s="5">
        <f>IFERROR(__xludf.DUMMYFUNCTION("""COMPUTED_VALUE"""),2.6770803E8)</f>
        <v>267708030</v>
      </c>
      <c r="E79" s="5"/>
      <c r="F79" s="5" t="str">
        <f>IFERROR(__xludf.DUMMYFUNCTION("""COMPUTED_VALUE"""),"DB")</f>
        <v>DB</v>
      </c>
      <c r="G79" s="5">
        <f>IFERROR(__xludf.DUMMYFUNCTION("""COMPUTED_VALUE"""),3.5639713595000005E8)</f>
        <v>356397136</v>
      </c>
      <c r="H79" s="5"/>
      <c r="I79" s="5" t="str">
        <f>IFERROR(__xludf.DUMMYFUNCTION("""COMPUTED_VALUE"""),"PRIBADI")</f>
        <v>PRIBADI</v>
      </c>
    </row>
    <row r="80">
      <c r="A80" s="8">
        <f>IFERROR(__xludf.DUMMYFUNCTION("""COMPUTED_VALUE"""),46171.0)</f>
        <v>46171</v>
      </c>
      <c r="B80" s="5" t="str">
        <f>IFERROR(__xludf.DUMMYFUNCTION("""COMPUTED_VALUE"""),"TRSF E-BANKING DB")</f>
        <v>TRSF E-BANKING DB</v>
      </c>
      <c r="C80" s="5" t="str">
        <f>IFERROR(__xludf.DUMMYFUNCTION("""COMPUTED_VALUE"""),"2905/FTSCY/WS95031 100000000.00 Tue May 26 2026 14:00:00 GMT+0700 (Western Indonesia Time) BROILER MAKMUR TAN")</f>
        <v>2905/FTSCY/WS95031 100000000.00 Tue May 26 2026 14:00:00 GMT+0700 (Western Indonesia Time) BROILER MAKMUR TAN</v>
      </c>
      <c r="D80" s="5">
        <f>IFERROR(__xludf.DUMMYFUNCTION("""COMPUTED_VALUE"""),1.0E8)</f>
        <v>100000000</v>
      </c>
      <c r="E80" s="5"/>
      <c r="F80" s="5" t="str">
        <f>IFERROR(__xludf.DUMMYFUNCTION("""COMPUTED_VALUE"""),"DB")</f>
        <v>DB</v>
      </c>
      <c r="G80" s="5">
        <f>IFERROR(__xludf.DUMMYFUNCTION("""COMPUTED_VALUE"""),2.5639713595000005E8)</f>
        <v>256397136</v>
      </c>
      <c r="H80" s="5"/>
      <c r="I80" s="5" t="str">
        <f>IFERROR(__xludf.DUMMYFUNCTION("""COMPUTED_VALUE"""),"PRIBADI")</f>
        <v>PRIBADI</v>
      </c>
    </row>
    <row r="81">
      <c r="A81" s="8">
        <f>IFERROR(__xludf.DUMMYFUNCTION("""COMPUTED_VALUE"""),46171.0)</f>
        <v>46171</v>
      </c>
      <c r="B81" s="5" t="str">
        <f>IFERROR(__xludf.DUMMYFUNCTION("""COMPUTED_VALUE"""),"KARTU DEBIT")</f>
        <v>KARTU DEBIT</v>
      </c>
      <c r="C81" s="5" t="str">
        <f>IFERROR(__xludf.DUMMYFUNCTION("""COMPUTED_VALUE"""),"ALFAMRT Y207 BRTN 6019009510239343")</f>
        <v>ALFAMRT Y207 BRTN 6019009510239343</v>
      </c>
      <c r="D81" s="5">
        <f>IFERROR(__xludf.DUMMYFUNCTION("""COMPUTED_VALUE"""),32100.0)</f>
        <v>32100</v>
      </c>
      <c r="E81" s="5"/>
      <c r="F81" s="5"/>
      <c r="G81" s="5">
        <f>IFERROR(__xludf.DUMMYFUNCTION("""COMPUTED_VALUE"""),2.5636503595000005E8)</f>
        <v>256365036</v>
      </c>
      <c r="H81" s="5">
        <f>IFERROR(__xludf.DUMMYFUNCTION("""COMPUTED_VALUE"""),2.5636503595E8)</f>
        <v>256365036</v>
      </c>
      <c r="I81" s="5" t="str">
        <f>IFERROR(__xludf.DUMMYFUNCTION("""COMPUTED_VALUE"""),"PRIBADI")</f>
        <v>PRIBADI</v>
      </c>
    </row>
    <row r="82">
      <c r="A82" s="8">
        <f>IFERROR(__xludf.DUMMYFUNCTION("""COMPUTED_VALUE"""),46171.0)</f>
        <v>46171</v>
      </c>
      <c r="B82" s="5" t="str">
        <f>IFERROR(__xludf.DUMMYFUNCTION("""COMPUTED_VALUE"""),"TRSF E-BANKING DB")</f>
        <v>TRSF E-BANKING DB</v>
      </c>
      <c r="C82" s="5" t="str">
        <f>IFERROR(__xludf.DUMMYFUNCTION("""COMPUTED_VALUE"""),"2905/FTSCY/WS95011 37119450.00 pelunasan BROILER MAKMUR TAN")</f>
        <v>2905/FTSCY/WS95011 37119450.00 pelunasan BROILER MAKMUR TAN</v>
      </c>
      <c r="D82" s="5">
        <f>IFERROR(__xludf.DUMMYFUNCTION("""COMPUTED_VALUE"""),3.711945E7)</f>
        <v>37119450</v>
      </c>
      <c r="E82" s="5"/>
      <c r="F82" s="5" t="str">
        <f>IFERROR(__xludf.DUMMYFUNCTION("""COMPUTED_VALUE"""),"DB")</f>
        <v>DB</v>
      </c>
      <c r="G82" s="5">
        <f>IFERROR(__xludf.DUMMYFUNCTION("""COMPUTED_VALUE"""),2.1949558595000005E8)</f>
        <v>219495586</v>
      </c>
      <c r="H82" s="5"/>
      <c r="I82" s="5" t="str">
        <f>IFERROR(__xludf.DUMMYFUNCTION("""COMPUTED_VALUE"""),"PRIBADI")</f>
        <v>PRIBADI</v>
      </c>
    </row>
    <row r="83">
      <c r="A83" s="8">
        <f>IFERROR(__xludf.DUMMYFUNCTION("""COMPUTED_VALUE"""),46171.0)</f>
        <v>46171</v>
      </c>
      <c r="B83" s="5" t="str">
        <f>IFERROR(__xludf.DUMMYFUNCTION("""COMPUTED_VALUE"""),"TRSF E-BANKING DB")</f>
        <v>TRSF E-BANKING DB</v>
      </c>
      <c r="C83" s="5" t="str">
        <f>IFERROR(__xludf.DUMMYFUNCTION("""COMPUTED_VALUE"""),"2905/FTSCY/WS95011 155200000.00 Thu May 28 2026 14:00:00 GMT+0700 (Western Indonesia Time) RUKUN MITRA BERSAM")</f>
        <v>2905/FTSCY/WS95011 155200000.00 Thu May 28 2026 14:00:00 GMT+0700 (Western Indonesia Time) RUKUN MITRA BERSAM</v>
      </c>
      <c r="D83" s="5">
        <f>IFERROR(__xludf.DUMMYFUNCTION("""COMPUTED_VALUE"""),1.552E8)</f>
        <v>155200000</v>
      </c>
      <c r="E83" s="5"/>
      <c r="F83" s="5" t="str">
        <f>IFERROR(__xludf.DUMMYFUNCTION("""COMPUTED_VALUE"""),"DB")</f>
        <v>DB</v>
      </c>
      <c r="G83" s="5">
        <f>IFERROR(__xludf.DUMMYFUNCTION("""COMPUTED_VALUE"""),6.429558595000005E7)</f>
        <v>64295585.95</v>
      </c>
      <c r="H83" s="5">
        <f>IFERROR(__xludf.DUMMYFUNCTION("""COMPUTED_VALUE"""),6.429558595E7)</f>
        <v>64295585.95</v>
      </c>
      <c r="I83" s="5" t="str">
        <f>IFERROR(__xludf.DUMMYFUNCTION("""COMPUTED_VALUE"""),"PRIBADI")</f>
        <v>PRIBADI</v>
      </c>
    </row>
    <row r="84">
      <c r="A84" s="8">
        <f>IFERROR(__xludf.DUMMYFUNCTION("""COMPUTED_VALUE"""),46172.0)</f>
        <v>46172</v>
      </c>
      <c r="B84" s="5" t="str">
        <f>IFERROR(__xludf.DUMMYFUNCTION("""COMPUTED_VALUE"""),"TRSF E-BANKING DB")</f>
        <v>TRSF E-BANKING DB</v>
      </c>
      <c r="C84" s="5" t="str">
        <f>IFERROR(__xludf.DUMMYFUNCTION("""COMPUTED_VALUE"""),"3005/FTSCY/WS95031 69320080.00 Thu May 28 2026 14:00:00 GMT+0700 (Western Indonesia Time) PT BERLIAN INDOMIT")</f>
        <v>3005/FTSCY/WS95031 69320080.00 Thu May 28 2026 14:00:00 GMT+0700 (Western Indonesia Time) PT BERLIAN INDOMIT</v>
      </c>
      <c r="D84" s="5">
        <f>IFERROR(__xludf.DUMMYFUNCTION("""COMPUTED_VALUE"""),6.932008E7)</f>
        <v>69320080</v>
      </c>
      <c r="E84" s="5"/>
      <c r="F84" s="5" t="str">
        <f>IFERROR(__xludf.DUMMYFUNCTION("""COMPUTED_VALUE"""),"DB")</f>
        <v>DB</v>
      </c>
      <c r="G84" s="5">
        <f>IFERROR(__xludf.DUMMYFUNCTION("""COMPUTED_VALUE"""),5.961551595000005E7)</f>
        <v>59615515.95</v>
      </c>
      <c r="H84" s="5"/>
      <c r="I84" s="5" t="str">
        <f>IFERROR(__xludf.DUMMYFUNCTION("""COMPUTED_VALUE"""),"PRIBADI")</f>
        <v>PRIBADI</v>
      </c>
    </row>
    <row r="85">
      <c r="A85" s="8">
        <f>IFERROR(__xludf.DUMMYFUNCTION("""COMPUTED_VALUE"""),46172.0)</f>
        <v>46172</v>
      </c>
      <c r="B85" s="5" t="str">
        <f>IFERROR(__xludf.DUMMYFUNCTION("""COMPUTED_VALUE"""),"BI-FAST DB")</f>
        <v>BI-FAST DB</v>
      </c>
      <c r="C85" s="5" t="str">
        <f>IFERROR(__xludf.DUMMYFUNCTION("""COMPUTED_VALUE"""),"BIF TRANSFER KE 2 AKHMAT FAIZHAL M-BCA")</f>
        <v>BIF TRANSFER KE 2 AKHMAT FAIZHAL M-BCA</v>
      </c>
      <c r="D85" s="5">
        <f>IFERROR(__xludf.DUMMYFUNCTION("""COMPUTED_VALUE"""),100000.0)</f>
        <v>100000</v>
      </c>
      <c r="E85" s="5"/>
      <c r="F85" s="5" t="str">
        <f>IFERROR(__xludf.DUMMYFUNCTION("""COMPUTED_VALUE"""),"DB")</f>
        <v>DB</v>
      </c>
      <c r="G85" s="5">
        <f>IFERROR(__xludf.DUMMYFUNCTION("""COMPUTED_VALUE"""),5.951551595000005E7)</f>
        <v>59515515.95</v>
      </c>
      <c r="H85" s="5"/>
      <c r="I85" s="5" t="str">
        <f>IFERROR(__xludf.DUMMYFUNCTION("""COMPUTED_VALUE"""),"PRIBADI")</f>
        <v>PRIBADI</v>
      </c>
    </row>
    <row r="86">
      <c r="A86" s="8">
        <f>IFERROR(__xludf.DUMMYFUNCTION("""COMPUTED_VALUE"""),46172.0)</f>
        <v>46172</v>
      </c>
      <c r="B86" s="5" t="str">
        <f>IFERROR(__xludf.DUMMYFUNCTION("""COMPUTED_VALUE"""),"BI-FAST DB")</f>
        <v>BI-FAST DB</v>
      </c>
      <c r="C86" s="5" t="str">
        <f>IFERROR(__xludf.DUMMYFUNCTION("""COMPUTED_VALUE"""),"BIF BIAYA TXN KE 2 AKHMAT FAIZHAL M-BCA")</f>
        <v>BIF BIAYA TXN KE 2 AKHMAT FAIZHAL M-BCA</v>
      </c>
      <c r="D86" s="5">
        <f>IFERROR(__xludf.DUMMYFUNCTION("""COMPUTED_VALUE"""),2500.0)</f>
        <v>2500</v>
      </c>
      <c r="E86" s="5"/>
      <c r="F86" s="5" t="str">
        <f>IFERROR(__xludf.DUMMYFUNCTION("""COMPUTED_VALUE"""),"DB")</f>
        <v>DB</v>
      </c>
      <c r="G86" s="5">
        <f>IFERROR(__xludf.DUMMYFUNCTION("""COMPUTED_VALUE"""),5.951301595000005E7)</f>
        <v>59513015.95</v>
      </c>
      <c r="H86" s="5"/>
      <c r="I86" s="5" t="str">
        <f>IFERROR(__xludf.DUMMYFUNCTION("""COMPUTED_VALUE"""),"PRIBADI")</f>
        <v>PRIBADI</v>
      </c>
    </row>
    <row r="87">
      <c r="A87" s="8">
        <f>IFERROR(__xludf.DUMMYFUNCTION("""COMPUTED_VALUE"""),46172.0)</f>
        <v>46172</v>
      </c>
      <c r="B87" s="5" t="str">
        <f>IFERROR(__xludf.DUMMYFUNCTION("""COMPUTED_VALUE"""),"TRSF E-BANKING DB")</f>
        <v>TRSF E-BANKING DB</v>
      </c>
      <c r="C87" s="5" t="str">
        <f>IFERROR(__xludf.DUMMYFUNCTION("""COMPUTED_VALUE"""),"3005/FTFVA/WS95031 55569/PT PRIMA FAJ pelunasan - 40190")</f>
        <v>3005/FTFVA/WS95031 55569/PT PRIMA FAJ pelunasan - 40190</v>
      </c>
      <c r="D87" s="5">
        <f>IFERROR(__xludf.DUMMYFUNCTION("""COMPUTED_VALUE"""),1800000.0)</f>
        <v>1800000</v>
      </c>
      <c r="E87" s="5"/>
      <c r="F87" s="5" t="str">
        <f>IFERROR(__xludf.DUMMYFUNCTION("""COMPUTED_VALUE"""),"DB")</f>
        <v>DB</v>
      </c>
      <c r="G87" s="5">
        <f>IFERROR(__xludf.DUMMYFUNCTION("""COMPUTED_VALUE"""),5.771301595000005E7)</f>
        <v>57713015.95</v>
      </c>
      <c r="H87" s="5"/>
      <c r="I87" s="5" t="str">
        <f>IFERROR(__xludf.DUMMYFUNCTION("""COMPUTED_VALUE"""),"PRIBADI")</f>
        <v>PRIBADI</v>
      </c>
    </row>
    <row r="88">
      <c r="A88" s="8">
        <f>IFERROR(__xludf.DUMMYFUNCTION("""COMPUTED_VALUE"""),46172.0)</f>
        <v>46172</v>
      </c>
      <c r="B88" s="5" t="str">
        <f>IFERROR(__xludf.DUMMYFUNCTION("""COMPUTED_VALUE"""),"KARTU DEBIT")</f>
        <v>KARTU DEBIT</v>
      </c>
      <c r="C88" s="5" t="str">
        <f>IFERROR(__xludf.DUMMYFUNCTION("""COMPUTED_VALUE"""),"IDM TWUN-JELBUK 6019009510239343")</f>
        <v>IDM TWUN-JELBUK 6019009510239343</v>
      </c>
      <c r="D88" s="5">
        <f>IFERROR(__xludf.DUMMYFUNCTION("""COMPUTED_VALUE"""),297100.0)</f>
        <v>297100</v>
      </c>
      <c r="E88" s="5"/>
      <c r="F88" s="5"/>
      <c r="G88" s="5">
        <f>IFERROR(__xludf.DUMMYFUNCTION("""COMPUTED_VALUE"""),2.0911205595000005E8)</f>
        <v>209112056</v>
      </c>
      <c r="H88" s="5"/>
      <c r="I88" s="5" t="str">
        <f>IFERROR(__xludf.DUMMYFUNCTION("""COMPUTED_VALUE"""),"PRIBADI")</f>
        <v>PRIBADI</v>
      </c>
    </row>
    <row r="89">
      <c r="A89" s="8">
        <f>IFERROR(__xludf.DUMMYFUNCTION("""COMPUTED_VALUE"""),46172.0)</f>
        <v>46172</v>
      </c>
      <c r="B89" s="5" t="str">
        <f>IFERROR(__xludf.DUMMYFUNCTION("""COMPUTED_VALUE"""),"TRSF E-BANKING DB")</f>
        <v>TRSF E-BANKING DB</v>
      </c>
      <c r="C89" s="5" t="str">
        <f>IFERROR(__xludf.DUMMYFUNCTION("""COMPUTED_VALUE"""),"3005/FTSCY/WS95271 67600000.00 Thu May 28 2026 14:00:00 GMT+0700 (Western Indonesia Time) ANUGERAH KARTIKA A")</f>
        <v>3005/FTSCY/WS95271 67600000.00 Thu May 28 2026 14:00:00 GMT+0700 (Western Indonesia Time) ANUGERAH KARTIKA A</v>
      </c>
      <c r="D89" s="5">
        <f>IFERROR(__xludf.DUMMYFUNCTION("""COMPUTED_VALUE"""),6.76E7)</f>
        <v>67600000</v>
      </c>
      <c r="E89" s="5"/>
      <c r="F89" s="5" t="str">
        <f>IFERROR(__xludf.DUMMYFUNCTION("""COMPUTED_VALUE"""),"DB")</f>
        <v>DB</v>
      </c>
      <c r="G89" s="5">
        <f>IFERROR(__xludf.DUMMYFUNCTION("""COMPUTED_VALUE"""),2.4151205595000005E8)</f>
        <v>241512056</v>
      </c>
      <c r="H89" s="5">
        <f>IFERROR(__xludf.DUMMYFUNCTION("""COMPUTED_VALUE"""),2.4151205595E8)</f>
        <v>241512056</v>
      </c>
      <c r="I89" s="5" t="str">
        <f>IFERROR(__xludf.DUMMYFUNCTION("""COMPUTED_VALUE"""),"PRIBADI")</f>
        <v>PRIBADI</v>
      </c>
    </row>
    <row r="90">
      <c r="A90" s="8">
        <f>IFERROR(__xludf.DUMMYFUNCTION("""COMPUTED_VALUE"""),46172.0)</f>
        <v>46172</v>
      </c>
      <c r="B90" s="5" t="str">
        <f>IFERROR(__xludf.DUMMYFUNCTION("""COMPUTED_VALUE"""),"TRSF E-BANKING DB")</f>
        <v>TRSF E-BANKING DB</v>
      </c>
      <c r="C90" s="5" t="str">
        <f>IFERROR(__xludf.DUMMYFUNCTION("""COMPUTED_VALUE"""),"3005/FTSCY/WS95271 63954000.00 Thu May 28 2026 14:00:00 GMT+0700 (Western Indonesia Time) ANDALAN YASA MITRA")</f>
        <v>3005/FTSCY/WS95271 63954000.00 Thu May 28 2026 14:00:00 GMT+0700 (Western Indonesia Time) ANDALAN YASA MITRA</v>
      </c>
      <c r="D90" s="5">
        <f>IFERROR(__xludf.DUMMYFUNCTION("""COMPUTED_VALUE"""),6.3954E7)</f>
        <v>63954000</v>
      </c>
      <c r="E90" s="5"/>
      <c r="F90" s="5" t="str">
        <f>IFERROR(__xludf.DUMMYFUNCTION("""COMPUTED_VALUE"""),"DB")</f>
        <v>DB</v>
      </c>
      <c r="G90" s="5">
        <f>IFERROR(__xludf.DUMMYFUNCTION("""COMPUTED_VALUE"""),1.7755805595000005E8)</f>
        <v>177558056</v>
      </c>
      <c r="H90" s="5">
        <f>IFERROR(__xludf.DUMMYFUNCTION("""COMPUTED_VALUE"""),1.7755805595E8)</f>
        <v>177558056</v>
      </c>
      <c r="I90" s="5" t="str">
        <f>IFERROR(__xludf.DUMMYFUNCTION("""COMPUTED_VALUE"""),"PRIBADI")</f>
        <v>PRIBADI</v>
      </c>
    </row>
    <row r="91">
      <c r="A91" s="8">
        <f>IFERROR(__xludf.DUMMYFUNCTION("""COMPUTED_VALUE"""),46172.0)</f>
        <v>46172</v>
      </c>
      <c r="B91" s="5" t="str">
        <f>IFERROR(__xludf.DUMMYFUNCTION("""COMPUTED_VALUE"""),"TRSF E-BANKING DB")</f>
        <v>TRSF E-BANKING DB</v>
      </c>
      <c r="C91" s="5" t="str">
        <f>IFERROR(__xludf.DUMMYFUNCTION("""COMPUTED_VALUE"""),"3005/FTSCY/WS95011 173834800.00 Thu May 28 2026 14:00:00 GMT+0700 (Western Indonesia Time) SUPER UNGGAS JAYA")</f>
        <v>3005/FTSCY/WS95011 173834800.00 Thu May 28 2026 14:00:00 GMT+0700 (Western Indonesia Time) SUPER UNGGAS JAYA</v>
      </c>
      <c r="D91" s="5">
        <f>IFERROR(__xludf.DUMMYFUNCTION("""COMPUTED_VALUE"""),1.738348E8)</f>
        <v>173834800</v>
      </c>
      <c r="E91" s="5"/>
      <c r="F91" s="5" t="str">
        <f>IFERROR(__xludf.DUMMYFUNCTION("""COMPUTED_VALUE"""),"DB")</f>
        <v>DB</v>
      </c>
      <c r="G91" s="5">
        <f>IFERROR(__xludf.DUMMYFUNCTION("""COMPUTED_VALUE"""),3723255.9500000477)</f>
        <v>3723255.95</v>
      </c>
      <c r="H91" s="5">
        <f>IFERROR(__xludf.DUMMYFUNCTION("""COMPUTED_VALUE"""),3723255.95)</f>
        <v>3723255.95</v>
      </c>
      <c r="I91" s="5" t="str">
        <f>IFERROR(__xludf.DUMMYFUNCTION("""COMPUTED_VALUE"""),"PRIBADI")</f>
        <v>PRIBADI</v>
      </c>
    </row>
    <row r="92">
      <c r="A92" s="8">
        <f>IFERROR(__xludf.DUMMYFUNCTION("""COMPUTED_VALUE"""),46173.0)</f>
        <v>46173</v>
      </c>
      <c r="B92" s="5" t="str">
        <f>IFERROR(__xludf.DUMMYFUNCTION("""COMPUTED_VALUE"""),"TRSF E-BANKING DB")</f>
        <v>TRSF E-BANKING DB</v>
      </c>
      <c r="C92" s="5" t="str">
        <f>IFERROR(__xludf.DUMMYFUNCTION("""COMPUTED_VALUE"""),"3105/FTSCY/WS95031 1000000.00 HERMAWAN")</f>
        <v>3105/FTSCY/WS95031 1000000.00 HERMAWAN</v>
      </c>
      <c r="D92" s="5">
        <f>IFERROR(__xludf.DUMMYFUNCTION("""COMPUTED_VALUE"""),1000000.0)</f>
        <v>1000000</v>
      </c>
      <c r="E92" s="5"/>
      <c r="F92" s="5" t="str">
        <f>IFERROR(__xludf.DUMMYFUNCTION("""COMPUTED_VALUE"""),"DB")</f>
        <v>DB</v>
      </c>
      <c r="G92" s="5">
        <f>IFERROR(__xludf.DUMMYFUNCTION("""COMPUTED_VALUE"""),2723255.9500000477)</f>
        <v>2723255.95</v>
      </c>
      <c r="H92" s="5"/>
      <c r="I92" s="5" t="str">
        <f>IFERROR(__xludf.DUMMYFUNCTION("""COMPUTED_VALUE"""),"PRIBADI")</f>
        <v>PRIBADI</v>
      </c>
    </row>
    <row r="93">
      <c r="A93" s="8">
        <f>IFERROR(__xludf.DUMMYFUNCTION("""COMPUTED_VALUE"""),46173.0)</f>
        <v>46173</v>
      </c>
      <c r="B93" s="5" t="str">
        <f>IFERROR(__xludf.DUMMYFUNCTION("""COMPUTED_VALUE"""),"TRSF E-BANKING DB")</f>
        <v>TRSF E-BANKING DB</v>
      </c>
      <c r="C93" s="5" t="str">
        <f>IFERROR(__xludf.DUMMYFUNCTION("""COMPUTED_VALUE"""),"3105/FTSCY/WS95031 61811400.00 Thu May 28 2026 14:00:00 GMT+0700 (Western Indonesia Time) BINTANG TAMA SANTO")</f>
        <v>3105/FTSCY/WS95031 61811400.00 Thu May 28 2026 14:00:00 GMT+0700 (Western Indonesia Time) BINTANG TAMA SANTO</v>
      </c>
      <c r="D93" s="5">
        <f>IFERROR(__xludf.DUMMYFUNCTION("""COMPUTED_VALUE"""),6.18114E7)</f>
        <v>61811400</v>
      </c>
      <c r="E93" s="5"/>
      <c r="F93" s="5" t="str">
        <f>IFERROR(__xludf.DUMMYFUNCTION("""COMPUTED_VALUE"""),"DB")</f>
        <v>DB</v>
      </c>
      <c r="G93" s="5">
        <f>IFERROR(__xludf.DUMMYFUNCTION("""COMPUTED_VALUE"""),4.750945595000005E7)</f>
        <v>47509455.95</v>
      </c>
      <c r="H93" s="5"/>
      <c r="I93" s="5" t="str">
        <f>IFERROR(__xludf.DUMMYFUNCTION("""COMPUTED_VALUE"""),"PRIBADI")</f>
        <v>PRIBADI</v>
      </c>
    </row>
    <row r="94">
      <c r="A94" s="8">
        <f>IFERROR(__xludf.DUMMYFUNCTION("""COMPUTED_VALUE"""),46173.0)</f>
        <v>46173</v>
      </c>
      <c r="B94" s="5" t="str">
        <f>IFERROR(__xludf.DUMMYFUNCTION("""COMPUTED_VALUE"""),"TRSF E-BANKING DB")</f>
        <v>TRSF E-BANKING DB</v>
      </c>
      <c r="C94" s="5" t="str">
        <f>IFERROR(__xludf.DUMMYFUNCTION("""COMPUTED_VALUE"""),"3105/FTSCY/WS95271 1450000.00 MUHAMMAD HAIRUL MA")</f>
        <v>3105/FTSCY/WS95271 1450000.00 MUHAMMAD HAIRUL MA</v>
      </c>
      <c r="D94" s="5">
        <f>IFERROR(__xludf.DUMMYFUNCTION("""COMPUTED_VALUE"""),1450000.0)</f>
        <v>1450000</v>
      </c>
      <c r="E94" s="5"/>
      <c r="F94" s="5" t="str">
        <f>IFERROR(__xludf.DUMMYFUNCTION("""COMPUTED_VALUE"""),"DB")</f>
        <v>DB</v>
      </c>
      <c r="G94" s="5">
        <f>IFERROR(__xludf.DUMMYFUNCTION("""COMPUTED_VALUE"""),4.4748533595000005E8)</f>
        <v>447485336</v>
      </c>
      <c r="H94" s="5"/>
      <c r="I94" s="5" t="str">
        <f>IFERROR(__xludf.DUMMYFUNCTION("""COMPUTED_VALUE"""),"PRIBADI")</f>
        <v>PRIBADI</v>
      </c>
    </row>
    <row r="95">
      <c r="A95" s="8">
        <f>IFERROR(__xludf.DUMMYFUNCTION("""COMPUTED_VALUE"""),46173.0)</f>
        <v>46173</v>
      </c>
      <c r="B95" s="5" t="str">
        <f>IFERROR(__xludf.DUMMYFUNCTION("""COMPUTED_VALUE"""),"TRSF E-BANKING DB")</f>
        <v>TRSF E-BANKING DB</v>
      </c>
      <c r="C95" s="5" t="str">
        <f>IFERROR(__xludf.DUMMYFUNCTION("""COMPUTED_VALUE"""),"3105/FTSCY/WS95271 60000.00 pelunasan MUHAMMAD HAIRUL MA")</f>
        <v>3105/FTSCY/WS95271 60000.00 pelunasan MUHAMMAD HAIRUL MA</v>
      </c>
      <c r="D95" s="5">
        <f>IFERROR(__xludf.DUMMYFUNCTION("""COMPUTED_VALUE"""),60000.0)</f>
        <v>60000</v>
      </c>
      <c r="E95" s="5"/>
      <c r="F95" s="5" t="str">
        <f>IFERROR(__xludf.DUMMYFUNCTION("""COMPUTED_VALUE"""),"DB")</f>
        <v>DB</v>
      </c>
      <c r="G95" s="5">
        <f>IFERROR(__xludf.DUMMYFUNCTION("""COMPUTED_VALUE"""),4.4742533595000005E8)</f>
        <v>447425336</v>
      </c>
      <c r="H95" s="5"/>
      <c r="I95" s="5" t="str">
        <f>IFERROR(__xludf.DUMMYFUNCTION("""COMPUTED_VALUE"""),"PRIBADI")</f>
        <v>PRIBADI</v>
      </c>
    </row>
    <row r="96">
      <c r="A96" s="8">
        <f>IFERROR(__xludf.DUMMYFUNCTION("""COMPUTED_VALUE"""),46173.0)</f>
        <v>46173</v>
      </c>
      <c r="B96" s="5" t="str">
        <f>IFERROR(__xludf.DUMMYFUNCTION("""COMPUTED_VALUE"""),"TRSF E-BANKING DB")</f>
        <v>TRSF E-BANKING DB</v>
      </c>
      <c r="C96" s="5" t="str">
        <f>IFERROR(__xludf.DUMMYFUNCTION("""COMPUTED_VALUE"""),"3105/FTSCY/WS95271 198567600.00 Fri May 29 2026 14:00:00 GMT+0700 (Western Indonesia Time) BROILER MAKMUR TAN")</f>
        <v>3105/FTSCY/WS95271 198567600.00 Fri May 29 2026 14:00:00 GMT+0700 (Western Indonesia Time) BROILER MAKMUR TAN</v>
      </c>
      <c r="D96" s="5">
        <f>IFERROR(__xludf.DUMMYFUNCTION("""COMPUTED_VALUE"""),1.985676E8)</f>
        <v>198567600</v>
      </c>
      <c r="E96" s="5"/>
      <c r="F96" s="5" t="str">
        <f>IFERROR(__xludf.DUMMYFUNCTION("""COMPUTED_VALUE"""),"DB")</f>
        <v>DB</v>
      </c>
      <c r="G96" s="5">
        <f>IFERROR(__xludf.DUMMYFUNCTION("""COMPUTED_VALUE"""),2.4885773595000005E8)</f>
        <v>248857736</v>
      </c>
      <c r="H96" s="5"/>
      <c r="I96" s="5" t="str">
        <f>IFERROR(__xludf.DUMMYFUNCTION("""COMPUTED_VALUE"""),"PRIBADI")</f>
        <v>PRIBADI</v>
      </c>
    </row>
    <row r="97">
      <c r="A97" s="8">
        <f>IFERROR(__xludf.DUMMYFUNCTION("""COMPUTED_VALUE"""),46173.0)</f>
        <v>46173</v>
      </c>
      <c r="B97" s="5" t="str">
        <f>IFERROR(__xludf.DUMMYFUNCTION("""COMPUTED_VALUE"""),"TRSF E-BANKING DB")</f>
        <v>TRSF E-BANKING DB</v>
      </c>
      <c r="C97" s="5" t="str">
        <f>IFERROR(__xludf.DUMMYFUNCTION("""COMPUTED_VALUE"""),"3105/FTSCY/WS95271 94462280.00 pelunasan ANDALAN YASA MITRA")</f>
        <v>3105/FTSCY/WS95271 94462280.00 pelunasan ANDALAN YASA MITRA</v>
      </c>
      <c r="D97" s="5">
        <f>IFERROR(__xludf.DUMMYFUNCTION("""COMPUTED_VALUE"""),9.446228E7)</f>
        <v>94462280</v>
      </c>
      <c r="E97" s="5"/>
      <c r="F97" s="5" t="str">
        <f>IFERROR(__xludf.DUMMYFUNCTION("""COMPUTED_VALUE"""),"DB")</f>
        <v>DB</v>
      </c>
      <c r="G97" s="5">
        <f>IFERROR(__xludf.DUMMYFUNCTION("""COMPUTED_VALUE"""),1.5439545595000005E8)</f>
        <v>154395456</v>
      </c>
      <c r="H97" s="5"/>
      <c r="I97" s="5" t="str">
        <f>IFERROR(__xludf.DUMMYFUNCTION("""COMPUTED_VALUE"""),"PRIBADI")</f>
        <v>PRIBADI</v>
      </c>
    </row>
    <row r="98">
      <c r="A98" s="8">
        <f>IFERROR(__xludf.DUMMYFUNCTION("""COMPUTED_VALUE"""),46173.0)</f>
        <v>46173</v>
      </c>
      <c r="B98" s="5" t="str">
        <f>IFERROR(__xludf.DUMMYFUNCTION("""COMPUTED_VALUE"""),"TRSF E-BANKING DB")</f>
        <v>TRSF E-BANKING DB</v>
      </c>
      <c r="C98" s="5" t="str">
        <f>IFERROR(__xludf.DUMMYFUNCTION("""COMPUTED_VALUE"""),"3105/FTSCY/WS95031 600000.00 MUJIANTO")</f>
        <v>3105/FTSCY/WS95031 600000.00 MUJIANTO</v>
      </c>
      <c r="D98" s="5">
        <f>IFERROR(__xludf.DUMMYFUNCTION("""COMPUTED_VALUE"""),600000.0)</f>
        <v>600000</v>
      </c>
      <c r="E98" s="5"/>
      <c r="F98" s="5" t="str">
        <f>IFERROR(__xludf.DUMMYFUNCTION("""COMPUTED_VALUE"""),"DB")</f>
        <v>DB</v>
      </c>
      <c r="G98" s="5">
        <f>IFERROR(__xludf.DUMMYFUNCTION("""COMPUTED_VALUE"""),1.5379545595000005E8)</f>
        <v>153795456</v>
      </c>
      <c r="H98" s="5">
        <f>IFERROR(__xludf.DUMMYFUNCTION("""COMPUTED_VALUE"""),1.5379545595E8)</f>
        <v>153795456</v>
      </c>
      <c r="I98" s="5" t="str">
        <f>IFERROR(__xludf.DUMMYFUNCTION("""COMPUTED_VALUE"""),"PRIBADI")</f>
        <v>PRIBADI</v>
      </c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>
        <f>IFERROR(__xludf.DUMMYFUNCTION("IFERROR(QUERY(MEI_2023!A:I, ""SELECT * WHERE D IS NOT NULL AND UPPER(I) = 'PRODUKSI'"", 1), ""Data PRODUKSI belum ditemukan"") "),46143.0)</f>
        <v>46143</v>
      </c>
      <c r="B1" s="5" t="str">
        <f>IFERROR(__xludf.DUMMYFUNCTION("""COMPUTED_VALUE"""),"TRSF E-BANKING DB")</f>
        <v>TRSF E-BANKING DB</v>
      </c>
      <c r="C1" s="5" t="str">
        <f>IFERROR(__xludf.DUMMYFUNCTION("""COMPUTED_VALUE"""),"0105/FTSCY/WS95271 183332250.00 Tue Apr 28 2026 14:00:00 GMT+0700 (Western Indonesia Time) BROILER MAKMUR TAN")</f>
        <v>0105/FTSCY/WS95271 183332250.00 Tue Apr 28 2026 14:00:00 GMT+0700 (Western Indonesia Time) BROILER MAKMUR TAN</v>
      </c>
      <c r="D1" s="5">
        <f>IFERROR(__xludf.DUMMYFUNCTION("""COMPUTED_VALUE"""),1.8333225E8)</f>
        <v>183332250</v>
      </c>
      <c r="E1" s="5"/>
      <c r="F1" s="5" t="str">
        <f>IFERROR(__xludf.DUMMYFUNCTION("""COMPUTED_VALUE"""),"DB")</f>
        <v>DB</v>
      </c>
      <c r="G1" s="5">
        <f>IFERROR(__xludf.DUMMYFUNCTION("""COMPUTED_VALUE"""),2.9337089949999988E7)</f>
        <v>29337089.95</v>
      </c>
      <c r="H1" s="5"/>
      <c r="I1" s="5" t="str">
        <f>IFERROR(__xludf.DUMMYFUNCTION("""COMPUTED_VALUE"""),"PRODUKSI")</f>
        <v>PRODUKSI</v>
      </c>
      <c r="J1" s="5">
        <f>SUM(D1:D1000)</f>
        <v>4272124630</v>
      </c>
    </row>
    <row r="2">
      <c r="A2" s="8">
        <f>IFERROR(__xludf.DUMMYFUNCTION("""COMPUTED_VALUE"""),46143.0)</f>
        <v>46143</v>
      </c>
      <c r="B2" s="5" t="str">
        <f>IFERROR(__xludf.DUMMYFUNCTION("""COMPUTED_VALUE"""),"TARIKAN ATM 01/05")</f>
        <v>TARIKAN ATM 01/05</v>
      </c>
      <c r="C2" s="5" t="str">
        <f>IFERROR(__xludf.DUMMYFUNCTION("""COMPUTED_VALUE"""),"TARIKAN ATM 01/05")</f>
        <v>TARIKAN ATM 01/05</v>
      </c>
      <c r="D2" s="5">
        <f>IFERROR(__xludf.DUMMYFUNCTION("""COMPUTED_VALUE"""),200000.0)</f>
        <v>200000</v>
      </c>
      <c r="E2" s="5"/>
      <c r="F2" s="5"/>
      <c r="G2" s="5">
        <f>IFERROR(__xludf.DUMMYFUNCTION("""COMPUTED_VALUE"""),2.9137089949999988E7)</f>
        <v>29137089.95</v>
      </c>
      <c r="H2" s="5"/>
      <c r="I2" s="5" t="str">
        <f>IFERROR(__xludf.DUMMYFUNCTION("""COMPUTED_VALUE"""),"PRODUKSI")</f>
        <v>PRODUKSI</v>
      </c>
      <c r="J2" s="2"/>
    </row>
    <row r="3">
      <c r="A3" s="8">
        <f>IFERROR(__xludf.DUMMYFUNCTION("""COMPUTED_VALUE"""),46143.0)</f>
        <v>46143</v>
      </c>
      <c r="B3" s="5" t="str">
        <f>IFERROR(__xludf.DUMMYFUNCTION("""COMPUTED_VALUE"""),"KARTU DEBIT")</f>
        <v>KARTU DEBIT</v>
      </c>
      <c r="C3" s="5" t="str">
        <f>IFERROR(__xludf.DUMMYFUNCTION("""COMPUTED_VALUE"""),"ALFAMRT Y073 SUDI 6019009510239343")</f>
        <v>ALFAMRT Y073 SUDI 6019009510239343</v>
      </c>
      <c r="D3" s="5">
        <f>IFERROR(__xludf.DUMMYFUNCTION("""COMPUTED_VALUE"""),141400.0)</f>
        <v>141400</v>
      </c>
      <c r="E3" s="5"/>
      <c r="F3" s="5"/>
      <c r="G3" s="5">
        <f>IFERROR(__xludf.DUMMYFUNCTION("""COMPUTED_VALUE"""),4.5306738995E8)</f>
        <v>453067390</v>
      </c>
      <c r="H3" s="5"/>
      <c r="I3" s="5" t="str">
        <f>IFERROR(__xludf.DUMMYFUNCTION("""COMPUTED_VALUE"""),"PRODUKSI")</f>
        <v>PRODUKSI</v>
      </c>
    </row>
    <row r="4">
      <c r="A4" s="8">
        <f>IFERROR(__xludf.DUMMYFUNCTION("""COMPUTED_VALUE"""),46143.0)</f>
        <v>46143</v>
      </c>
      <c r="B4" s="5" t="str">
        <f>IFERROR(__xludf.DUMMYFUNCTION("""COMPUTED_VALUE"""),"TRSF E-BANKING DB")</f>
        <v>TRSF E-BANKING DB</v>
      </c>
      <c r="C4" s="5" t="str">
        <f>IFERROR(__xludf.DUMMYFUNCTION("""COMPUTED_VALUE"""),"0105/FTSCY/WS95031 1000000.00 SUPRIYADI")</f>
        <v>0105/FTSCY/WS95031 1000000.00 SUPRIYADI</v>
      </c>
      <c r="D4" s="5">
        <f>IFERROR(__xludf.DUMMYFUNCTION("""COMPUTED_VALUE"""),1000000.0)</f>
        <v>1000000</v>
      </c>
      <c r="E4" s="5"/>
      <c r="F4" s="5" t="str">
        <f>IFERROR(__xludf.DUMMYFUNCTION("""COMPUTED_VALUE"""),"DB")</f>
        <v>DB</v>
      </c>
      <c r="G4" s="5">
        <f>IFERROR(__xludf.DUMMYFUNCTION("""COMPUTED_VALUE"""),3.5206738995E8)</f>
        <v>352067390</v>
      </c>
      <c r="H4" s="5"/>
      <c r="I4" s="5" t="str">
        <f>IFERROR(__xludf.DUMMYFUNCTION("""COMPUTED_VALUE"""),"PRODUKSI")</f>
        <v>PRODUKSI</v>
      </c>
    </row>
    <row r="5">
      <c r="A5" s="8">
        <f>IFERROR(__xludf.DUMMYFUNCTION("""COMPUTED_VALUE"""),46143.0)</f>
        <v>46143</v>
      </c>
      <c r="B5" s="5" t="str">
        <f>IFERROR(__xludf.DUMMYFUNCTION("""COMPUTED_VALUE"""),"TRSF E-BANKING DB")</f>
        <v>TRSF E-BANKING DB</v>
      </c>
      <c r="C5" s="5" t="str">
        <f>IFERROR(__xludf.DUMMYFUNCTION("""COMPUTED_VALUE"""),"0105/FTSCY/WS95031 90000000.00 pelunasan BROILER MAKMUR TAN")</f>
        <v>0105/FTSCY/WS95031 90000000.00 pelunasan BROILER MAKMUR TAN</v>
      </c>
      <c r="D5" s="5">
        <f>IFERROR(__xludf.DUMMYFUNCTION("""COMPUTED_VALUE"""),9.0E7)</f>
        <v>90000000</v>
      </c>
      <c r="E5" s="5"/>
      <c r="F5" s="5" t="str">
        <f>IFERROR(__xludf.DUMMYFUNCTION("""COMPUTED_VALUE"""),"DB")</f>
        <v>DB</v>
      </c>
      <c r="G5" s="5">
        <f>IFERROR(__xludf.DUMMYFUNCTION("""COMPUTED_VALUE"""),2.4716208995E8)</f>
        <v>247162090</v>
      </c>
      <c r="H5" s="5">
        <f>IFERROR(__xludf.DUMMYFUNCTION("""COMPUTED_VALUE"""),2.4716208995E8)</f>
        <v>247162090</v>
      </c>
      <c r="I5" s="5" t="str">
        <f>IFERROR(__xludf.DUMMYFUNCTION("""COMPUTED_VALUE"""),"PRODUKSI")</f>
        <v>PRODUKSI</v>
      </c>
    </row>
    <row r="6">
      <c r="A6" s="8">
        <f>IFERROR(__xludf.DUMMYFUNCTION("""COMPUTED_VALUE"""),46144.0)</f>
        <v>46144</v>
      </c>
      <c r="B6" s="5" t="str">
        <f>IFERROR(__xludf.DUMMYFUNCTION("""COMPUTED_VALUE"""),"BI-FAST DB")</f>
        <v>BI-FAST DB</v>
      </c>
      <c r="C6" s="5" t="str">
        <f>IFERROR(__xludf.DUMMYFUNCTION("""COMPUTED_VALUE"""),"BIF BIAYA TXN KE 9 NOUVAL HOLQI RISKU M-BCA")</f>
        <v>BIF BIAYA TXN KE 9 NOUVAL HOLQI RISKU M-BCA</v>
      </c>
      <c r="D6" s="5">
        <f>IFERROR(__xludf.DUMMYFUNCTION("""COMPUTED_VALUE"""),2500.0)</f>
        <v>2500</v>
      </c>
      <c r="E6" s="5"/>
      <c r="F6" s="5" t="str">
        <f>IFERROR(__xludf.DUMMYFUNCTION("""COMPUTED_VALUE"""),"DB")</f>
        <v>DB</v>
      </c>
      <c r="G6" s="5">
        <f>IFERROR(__xludf.DUMMYFUNCTION("""COMPUTED_VALUE"""),1.5467472995E8)</f>
        <v>154674730</v>
      </c>
      <c r="H6" s="5"/>
      <c r="I6" s="5" t="str">
        <f>IFERROR(__xludf.DUMMYFUNCTION("""COMPUTED_VALUE"""),"PRODUKSI")</f>
        <v>PRODUKSI</v>
      </c>
    </row>
    <row r="7">
      <c r="A7" s="8">
        <f>IFERROR(__xludf.DUMMYFUNCTION("""COMPUTED_VALUE"""),46144.0)</f>
        <v>46144</v>
      </c>
      <c r="B7" s="5" t="str">
        <f>IFERROR(__xludf.DUMMYFUNCTION("""COMPUTED_VALUE"""),"TRSF E-BANKING DB")</f>
        <v>TRSF E-BANKING DB</v>
      </c>
      <c r="C7" s="5" t="str">
        <f>IFERROR(__xludf.DUMMYFUNCTION("""COMPUTED_VALUE"""),"0205/FTSCY/WS95271 200000000.00 titip UNGGAS MANDIRI BER")</f>
        <v>0205/FTSCY/WS95271 200000000.00 titip UNGGAS MANDIRI BER</v>
      </c>
      <c r="D7" s="5">
        <f>IFERROR(__xludf.DUMMYFUNCTION("""COMPUTED_VALUE"""),2.0E8)</f>
        <v>200000000</v>
      </c>
      <c r="E7" s="5"/>
      <c r="F7" s="5" t="str">
        <f>IFERROR(__xludf.DUMMYFUNCTION("""COMPUTED_VALUE"""),"DB")</f>
        <v>DB</v>
      </c>
      <c r="G7" s="5">
        <f>IFERROR(__xludf.DUMMYFUNCTION("""COMPUTED_VALUE"""),1.6583580995E8)</f>
        <v>165835810</v>
      </c>
      <c r="H7" s="5"/>
      <c r="I7" s="5" t="str">
        <f>IFERROR(__xludf.DUMMYFUNCTION("""COMPUTED_VALUE"""),"PRODUKSI")</f>
        <v>PRODUKSI</v>
      </c>
    </row>
    <row r="8">
      <c r="A8" s="8">
        <f>IFERROR(__xludf.DUMMYFUNCTION("""COMPUTED_VALUE"""),46144.0)</f>
        <v>46144</v>
      </c>
      <c r="B8" s="5" t="str">
        <f>IFERROR(__xludf.DUMMYFUNCTION("""COMPUTED_VALUE"""),"TRSF E-BANKING DB")</f>
        <v>TRSF E-BANKING DB</v>
      </c>
      <c r="C8" s="5" t="str">
        <f>IFERROR(__xludf.DUMMYFUNCTION("""COMPUTED_VALUE"""),"0205/FTSCY/WS95011 92000000.00 lunas kd suharto pasuruan BRANTAS ABADI SENT")</f>
        <v>0205/FTSCY/WS95011 92000000.00 lunas kd suharto pasuruan BRANTAS ABADI SENT</v>
      </c>
      <c r="D8" s="5">
        <f>IFERROR(__xludf.DUMMYFUNCTION("""COMPUTED_VALUE"""),9.2E7)</f>
        <v>92000000</v>
      </c>
      <c r="E8" s="5"/>
      <c r="F8" s="5" t="str">
        <f>IFERROR(__xludf.DUMMYFUNCTION("""COMPUTED_VALUE"""),"DB")</f>
        <v>DB</v>
      </c>
      <c r="G8" s="5">
        <f>IFERROR(__xludf.DUMMYFUNCTION("""COMPUTED_VALUE"""),3.2636611995E8)</f>
        <v>326366120</v>
      </c>
      <c r="H8" s="5">
        <f>IFERROR(__xludf.DUMMYFUNCTION("""COMPUTED_VALUE"""),3.2636611995E8)</f>
        <v>326366120</v>
      </c>
      <c r="I8" s="5" t="str">
        <f>IFERROR(__xludf.DUMMYFUNCTION("""COMPUTED_VALUE"""),"PRODUKSI")</f>
        <v>PRODUKSI</v>
      </c>
    </row>
    <row r="9">
      <c r="A9" s="8">
        <f>IFERROR(__xludf.DUMMYFUNCTION("""COMPUTED_VALUE"""),46144.0)</f>
        <v>46144</v>
      </c>
      <c r="B9" s="5" t="str">
        <f>IFERROR(__xludf.DUMMYFUNCTION("""COMPUTED_VALUE"""),"TRSF E-BANKING DB")</f>
        <v>TRSF E-BANKING DB</v>
      </c>
      <c r="C9" s="5" t="str">
        <f>IFERROR(__xludf.DUMMYFUNCTION("""COMPUTED_VALUE"""),"0205/FTSCY/WS95011 99256000.00 Fri May 01 2026 14:00:00 GMT+0700 (Western Indonesia Time) BINTANG TAMA SANTO")</f>
        <v>0205/FTSCY/WS95011 99256000.00 Fri May 01 2026 14:00:00 GMT+0700 (Western Indonesia Time) BINTANG TAMA SANTO</v>
      </c>
      <c r="D9" s="5">
        <f>IFERROR(__xludf.DUMMYFUNCTION("""COMPUTED_VALUE"""),9.9256E7)</f>
        <v>99256000</v>
      </c>
      <c r="E9" s="5"/>
      <c r="F9" s="5" t="str">
        <f>IFERROR(__xludf.DUMMYFUNCTION("""COMPUTED_VALUE"""),"DB")</f>
        <v>DB</v>
      </c>
      <c r="G9" s="5">
        <f>IFERROR(__xludf.DUMMYFUNCTION("""COMPUTED_VALUE"""),1.3496679995E8)</f>
        <v>134966800</v>
      </c>
      <c r="H9" s="5"/>
      <c r="I9" s="5" t="str">
        <f>IFERROR(__xludf.DUMMYFUNCTION("""COMPUTED_VALUE"""),"PRODUKSI")</f>
        <v>PRODUKSI</v>
      </c>
    </row>
    <row r="10">
      <c r="A10" s="8">
        <f>IFERROR(__xludf.DUMMYFUNCTION("""COMPUTED_VALUE"""),46145.0)</f>
        <v>46145</v>
      </c>
      <c r="B10" s="5" t="str">
        <f>IFERROR(__xludf.DUMMYFUNCTION("""COMPUTED_VALUE"""),"TRSF E-BANKING DB")</f>
        <v>TRSF E-BANKING DB</v>
      </c>
      <c r="C10" s="5" t="str">
        <f>IFERROR(__xludf.DUMMYFUNCTION("""COMPUTED_VALUE"""),"0305/FTSCY/WS95271 150000.00 MUHAMMAD HAIRUL MA")</f>
        <v>0305/FTSCY/WS95271 150000.00 MUHAMMAD HAIRUL MA</v>
      </c>
      <c r="D10" s="5">
        <f>IFERROR(__xludf.DUMMYFUNCTION("""COMPUTED_VALUE"""),150000.0)</f>
        <v>150000</v>
      </c>
      <c r="E10" s="5"/>
      <c r="F10" s="5" t="str">
        <f>IFERROR(__xludf.DUMMYFUNCTION("""COMPUTED_VALUE"""),"DB")</f>
        <v>DB</v>
      </c>
      <c r="G10" s="5">
        <f>IFERROR(__xludf.DUMMYFUNCTION("""COMPUTED_VALUE"""),3.1403999949999988E7)</f>
        <v>31403999.95</v>
      </c>
      <c r="H10" s="5"/>
      <c r="I10" s="5" t="str">
        <f>IFERROR(__xludf.DUMMYFUNCTION("""COMPUTED_VALUE"""),"PRODUKSI")</f>
        <v>PRODUKSI</v>
      </c>
    </row>
    <row r="11">
      <c r="A11" s="8">
        <f>IFERROR(__xludf.DUMMYFUNCTION("""COMPUTED_VALUE"""),46145.0)</f>
        <v>46145</v>
      </c>
      <c r="B11" s="5" t="str">
        <f>IFERROR(__xludf.DUMMYFUNCTION("""COMPUTED_VALUE"""),"TRSF E-BANKING DB")</f>
        <v>TRSF E-BANKING DB</v>
      </c>
      <c r="C11" s="5" t="str">
        <f>IFERROR(__xludf.DUMMYFUNCTION("""COMPUTED_VALUE"""),"0305/FTSCY/WS95031 2255540.00 MUJIANTO")</f>
        <v>0305/FTSCY/WS95031 2255540.00 MUJIANTO</v>
      </c>
      <c r="D11" s="5">
        <f>IFERROR(__xludf.DUMMYFUNCTION("""COMPUTED_VALUE"""),2255540.0)</f>
        <v>2255540</v>
      </c>
      <c r="E11" s="5"/>
      <c r="F11" s="5" t="str">
        <f>IFERROR(__xludf.DUMMYFUNCTION("""COMPUTED_VALUE"""),"DB")</f>
        <v>DB</v>
      </c>
      <c r="G11" s="5">
        <f>IFERROR(__xludf.DUMMYFUNCTION("""COMPUTED_VALUE"""),2.9148459949999988E7)</f>
        <v>29148459.95</v>
      </c>
      <c r="H11" s="5"/>
      <c r="I11" s="5" t="str">
        <f>IFERROR(__xludf.DUMMYFUNCTION("""COMPUTED_VALUE"""),"PRODUKSI")</f>
        <v>PRODUKSI</v>
      </c>
    </row>
    <row r="12">
      <c r="A12" s="8">
        <f>IFERROR(__xludf.DUMMYFUNCTION("""COMPUTED_VALUE"""),46145.0)</f>
        <v>46145</v>
      </c>
      <c r="B12" s="5" t="str">
        <f>IFERROR(__xludf.DUMMYFUNCTION("""COMPUTED_VALUE"""),"TRSF E-BANKING DB")</f>
        <v>TRSF E-BANKING DB</v>
      </c>
      <c r="C12" s="5" t="str">
        <f>IFERROR(__xludf.DUMMYFUNCTION("""COMPUTED_VALUE"""),"0305/FTSCY/WS95031 8174900.00 pelunasan UNGGAS MANDIRI BER")</f>
        <v>0305/FTSCY/WS95031 8174900.00 pelunasan UNGGAS MANDIRI BER</v>
      </c>
      <c r="D12" s="5">
        <f>IFERROR(__xludf.DUMMYFUNCTION("""COMPUTED_VALUE"""),8174900.0)</f>
        <v>8174900</v>
      </c>
      <c r="E12" s="5"/>
      <c r="F12" s="5" t="str">
        <f>IFERROR(__xludf.DUMMYFUNCTION("""COMPUTED_VALUE"""),"DB")</f>
        <v>DB</v>
      </c>
      <c r="G12" s="5">
        <f>IFERROR(__xludf.DUMMYFUNCTION("""COMPUTED_VALUE"""),1.8301239949999988E7)</f>
        <v>18301239.95</v>
      </c>
      <c r="H12" s="5"/>
      <c r="I12" s="5" t="str">
        <f>IFERROR(__xludf.DUMMYFUNCTION("""COMPUTED_VALUE"""),"PRODUKSI")</f>
        <v>PRODUKSI</v>
      </c>
    </row>
    <row r="13">
      <c r="A13" s="8">
        <f>IFERROR(__xludf.DUMMYFUNCTION("""COMPUTED_VALUE"""),46145.0)</f>
        <v>46145</v>
      </c>
      <c r="B13" s="5" t="str">
        <f>IFERROR(__xludf.DUMMYFUNCTION("""COMPUTED_VALUE"""),"TRSF E-BANKING DB")</f>
        <v>TRSF E-BANKING DB</v>
      </c>
      <c r="C13" s="5" t="str">
        <f>IFERROR(__xludf.DUMMYFUNCTION("""COMPUTED_VALUE"""),"0305/FTSCY/WS95031 3872030.00 HERMAWAN")</f>
        <v>0305/FTSCY/WS95031 3872030.00 HERMAWAN</v>
      </c>
      <c r="D13" s="5">
        <f>IFERROR(__xludf.DUMMYFUNCTION("""COMPUTED_VALUE"""),3872030.0)</f>
        <v>3872030</v>
      </c>
      <c r="E13" s="5"/>
      <c r="F13" s="5" t="str">
        <f>IFERROR(__xludf.DUMMYFUNCTION("""COMPUTED_VALUE"""),"DB")</f>
        <v>DB</v>
      </c>
      <c r="G13" s="5">
        <f>IFERROR(__xludf.DUMMYFUNCTION("""COMPUTED_VALUE"""),1.4429209949999988E7)</f>
        <v>14429209.95</v>
      </c>
      <c r="H13" s="5"/>
      <c r="I13" s="5" t="str">
        <f>IFERROR(__xludf.DUMMYFUNCTION("""COMPUTED_VALUE"""),"PRODUKSI")</f>
        <v>PRODUKSI</v>
      </c>
    </row>
    <row r="14">
      <c r="A14" s="8">
        <f>IFERROR(__xludf.DUMMYFUNCTION("""COMPUTED_VALUE"""),46145.0)</f>
        <v>46145</v>
      </c>
      <c r="B14" s="5" t="str">
        <f>IFERROR(__xludf.DUMMYFUNCTION("""COMPUTED_VALUE"""),"TRSF E-BANKING DB")</f>
        <v>TRSF E-BANKING DB</v>
      </c>
      <c r="C14" s="5" t="str">
        <f>IFERROR(__xludf.DUMMYFUNCTION("""COMPUTED_VALUE"""),"0305/FTSCY/WS95031 45971200.00 Kd. dwi y nganjuk SUPER UNGGAS JAYA")</f>
        <v>0305/FTSCY/WS95031 45971200.00 Kd. dwi y nganjuk SUPER UNGGAS JAYA</v>
      </c>
      <c r="D14" s="5">
        <f>IFERROR(__xludf.DUMMYFUNCTION("""COMPUTED_VALUE"""),4.59712E7)</f>
        <v>45971200</v>
      </c>
      <c r="E14" s="5"/>
      <c r="F14" s="5" t="str">
        <f>IFERROR(__xludf.DUMMYFUNCTION("""COMPUTED_VALUE"""),"DB")</f>
        <v>DB</v>
      </c>
      <c r="G14" s="5">
        <f>IFERROR(__xludf.DUMMYFUNCTION("""COMPUTED_VALUE"""),2.7798209949999988E7)</f>
        <v>27798209.95</v>
      </c>
      <c r="H14" s="5"/>
      <c r="I14" s="5" t="str">
        <f>IFERROR(__xludf.DUMMYFUNCTION("""COMPUTED_VALUE"""),"PRODUKSI")</f>
        <v>PRODUKSI</v>
      </c>
    </row>
    <row r="15">
      <c r="A15" s="8">
        <f>IFERROR(__xludf.DUMMYFUNCTION("""COMPUTED_VALUE"""),46145.0)</f>
        <v>46145</v>
      </c>
      <c r="B15" s="5" t="str">
        <f>IFERROR(__xludf.DUMMYFUNCTION("""COMPUTED_VALUE"""),"TRSF E-BANKING DB")</f>
        <v>TRSF E-BANKING DB</v>
      </c>
      <c r="C15" s="5" t="str">
        <f>IFERROR(__xludf.DUMMYFUNCTION("""COMPUTED_VALUE"""),"0305/FTSCY/WS95271 116352000.00 Fri May 01 2026 14:00:00 GMT+0700 (Western Indonesia Time) LAJU SATWA WISESA")</f>
        <v>0305/FTSCY/WS95271 116352000.00 Fri May 01 2026 14:00:00 GMT+0700 (Western Indonesia Time) LAJU SATWA WISESA</v>
      </c>
      <c r="D15" s="5">
        <f>IFERROR(__xludf.DUMMYFUNCTION("""COMPUTED_VALUE"""),1.16352E8)</f>
        <v>116352000</v>
      </c>
      <c r="E15" s="5"/>
      <c r="F15" s="5" t="str">
        <f>IFERROR(__xludf.DUMMYFUNCTION("""COMPUTED_VALUE"""),"DB")</f>
        <v>DB</v>
      </c>
      <c r="G15" s="5">
        <f>IFERROR(__xludf.DUMMYFUNCTION("""COMPUTED_VALUE"""),1.2039970994999999E8)</f>
        <v>120399710</v>
      </c>
      <c r="H15" s="5"/>
      <c r="I15" s="5" t="str">
        <f>IFERROR(__xludf.DUMMYFUNCTION("""COMPUTED_VALUE"""),"PRODUKSI")</f>
        <v>PRODUKSI</v>
      </c>
    </row>
    <row r="16">
      <c r="A16" s="8">
        <f>IFERROR(__xludf.DUMMYFUNCTION("""COMPUTED_VALUE"""),46145.0)</f>
        <v>46145</v>
      </c>
      <c r="B16" s="5" t="str">
        <f>IFERROR(__xludf.DUMMYFUNCTION("""COMPUTED_VALUE"""),"TRSF E-BANKING DB")</f>
        <v>TRSF E-BANKING DB</v>
      </c>
      <c r="C16" s="5" t="str">
        <f>IFERROR(__xludf.DUMMYFUNCTION("""COMPUTED_VALUE"""),"0305/FTSCY/WS95011 93952000.00 Fri May 01 2026 14:00:00 GMT+0700 (Western Indonesia Time) LAJU SATWA WISESA")</f>
        <v>0305/FTSCY/WS95011 93952000.00 Fri May 01 2026 14:00:00 GMT+0700 (Western Indonesia Time) LAJU SATWA WISESA</v>
      </c>
      <c r="D16" s="5">
        <f>IFERROR(__xludf.DUMMYFUNCTION("""COMPUTED_VALUE"""),9.3952E7)</f>
        <v>93952000</v>
      </c>
      <c r="E16" s="5"/>
      <c r="F16" s="5" t="str">
        <f>IFERROR(__xludf.DUMMYFUNCTION("""COMPUTED_VALUE"""),"DB")</f>
        <v>DB</v>
      </c>
      <c r="G16" s="5">
        <f>IFERROR(__xludf.DUMMYFUNCTION("""COMPUTED_VALUE"""),1.2757510994999999E8)</f>
        <v>127575110</v>
      </c>
      <c r="H16" s="5"/>
      <c r="I16" s="5" t="str">
        <f>IFERROR(__xludf.DUMMYFUNCTION("""COMPUTED_VALUE"""),"PRODUKSI")</f>
        <v>PRODUKSI</v>
      </c>
    </row>
    <row r="17">
      <c r="A17" s="8">
        <f>IFERROR(__xludf.DUMMYFUNCTION("""COMPUTED_VALUE"""),46145.0)</f>
        <v>46145</v>
      </c>
      <c r="B17" s="5" t="str">
        <f>IFERROR(__xludf.DUMMYFUNCTION("""COMPUTED_VALUE"""),"TRSF E-BANKING DB")</f>
        <v>TRSF E-BANKING DB</v>
      </c>
      <c r="C17" s="5" t="str">
        <f>IFERROR(__xludf.DUMMYFUNCTION("""COMPUTED_VALUE"""),"0305/FTSCY/WS95011 95625600.00 Fri May 01 2026 14:00:00 GMT+0700 (Western Indonesia Time) BROILER MAKMUR TAN")</f>
        <v>0305/FTSCY/WS95011 95625600.00 Fri May 01 2026 14:00:00 GMT+0700 (Western Indonesia Time) BROILER MAKMUR TAN</v>
      </c>
      <c r="D17" s="5">
        <f>IFERROR(__xludf.DUMMYFUNCTION("""COMPUTED_VALUE"""),9.56256E7)</f>
        <v>95625600</v>
      </c>
      <c r="E17" s="5"/>
      <c r="F17" s="5" t="str">
        <f>IFERROR(__xludf.DUMMYFUNCTION("""COMPUTED_VALUE"""),"DB")</f>
        <v>DB</v>
      </c>
      <c r="G17" s="5">
        <f>IFERROR(__xludf.DUMMYFUNCTION("""COMPUTED_VALUE"""),3.1949509949999988E7)</f>
        <v>31949509.95</v>
      </c>
      <c r="H17" s="5"/>
      <c r="I17" s="5" t="str">
        <f>IFERROR(__xludf.DUMMYFUNCTION("""COMPUTED_VALUE"""),"PRODUKSI")</f>
        <v>PRODUKSI</v>
      </c>
    </row>
    <row r="18">
      <c r="A18" s="8">
        <f>IFERROR(__xludf.DUMMYFUNCTION("""COMPUTED_VALUE"""),46145.0)</f>
        <v>46145</v>
      </c>
      <c r="B18" s="5" t="str">
        <f>IFERROR(__xludf.DUMMYFUNCTION("""COMPUTED_VALUE"""),"TARIKAN ATM 03/05")</f>
        <v>TARIKAN ATM 03/05</v>
      </c>
      <c r="C18" s="5" t="str">
        <f>IFERROR(__xludf.DUMMYFUNCTION("""COMPUTED_VALUE"""),"TARIKAN ATM 03/05")</f>
        <v>TARIKAN ATM 03/05</v>
      </c>
      <c r="D18" s="5">
        <f>IFERROR(__xludf.DUMMYFUNCTION("""COMPUTED_VALUE"""),800000.0)</f>
        <v>800000</v>
      </c>
      <c r="E18" s="5"/>
      <c r="F18" s="5"/>
      <c r="G18" s="5">
        <f>IFERROR(__xludf.DUMMYFUNCTION("""COMPUTED_VALUE"""),2.3799542995E8)</f>
        <v>237995430</v>
      </c>
      <c r="H18" s="5"/>
      <c r="I18" s="5" t="str">
        <f>IFERROR(__xludf.DUMMYFUNCTION("""COMPUTED_VALUE"""),"PRODUKSI")</f>
        <v>PRODUKSI</v>
      </c>
    </row>
    <row r="19">
      <c r="A19" s="8">
        <f>IFERROR(__xludf.DUMMYFUNCTION("""COMPUTED_VALUE"""),46145.0)</f>
        <v>46145</v>
      </c>
      <c r="B19" s="5" t="str">
        <f>IFERROR(__xludf.DUMMYFUNCTION("""COMPUTED_VALUE"""),"TRSF E-BANKING DB")</f>
        <v>TRSF E-BANKING DB</v>
      </c>
      <c r="C19" s="5" t="str">
        <f>IFERROR(__xludf.DUMMYFUNCTION("""COMPUTED_VALUE"""),"0305/FTFVA/WS95031 55569/PT PRIMA FAJ prlunasan - 40190")</f>
        <v>0305/FTFVA/WS95031 55569/PT PRIMA FAJ prlunasan - 40190</v>
      </c>
      <c r="D19" s="5">
        <f>IFERROR(__xludf.DUMMYFUNCTION("""COMPUTED_VALUE"""),1620000.0)</f>
        <v>1620000</v>
      </c>
      <c r="E19" s="5"/>
      <c r="F19" s="5" t="str">
        <f>IFERROR(__xludf.DUMMYFUNCTION("""COMPUTED_VALUE"""),"DB")</f>
        <v>DB</v>
      </c>
      <c r="G19" s="5">
        <f>IFERROR(__xludf.DUMMYFUNCTION("""COMPUTED_VALUE"""),2.3637542995E8)</f>
        <v>236375430</v>
      </c>
      <c r="H19" s="5"/>
      <c r="I19" s="5" t="str">
        <f>IFERROR(__xludf.DUMMYFUNCTION("""COMPUTED_VALUE"""),"PRODUKSI")</f>
        <v>PRODUKSI</v>
      </c>
    </row>
    <row r="20">
      <c r="A20" s="8">
        <f>IFERROR(__xludf.DUMMYFUNCTION("""COMPUTED_VALUE"""),46145.0)</f>
        <v>46145</v>
      </c>
      <c r="B20" s="5" t="str">
        <f>IFERROR(__xludf.DUMMYFUNCTION("""COMPUTED_VALUE"""),"KARTU DEBIT")</f>
        <v>KARTU DEBIT</v>
      </c>
      <c r="C20" s="5" t="str">
        <f>IFERROR(__xludf.DUMMYFUNCTION("""COMPUTED_VALUE"""),"ALFAMRT Y207 BRTN 6019009510239343")</f>
        <v>ALFAMRT Y207 BRTN 6019009510239343</v>
      </c>
      <c r="D20" s="5">
        <f>IFERROR(__xludf.DUMMYFUNCTION("""COMPUTED_VALUE"""),99400.0)</f>
        <v>99400</v>
      </c>
      <c r="E20" s="5"/>
      <c r="F20" s="5"/>
      <c r="G20" s="5">
        <f>IFERROR(__xludf.DUMMYFUNCTION("""COMPUTED_VALUE"""),3.3627602995E8)</f>
        <v>336276030</v>
      </c>
      <c r="H20" s="5"/>
      <c r="I20" s="5" t="str">
        <f>IFERROR(__xludf.DUMMYFUNCTION("""COMPUTED_VALUE"""),"PRODUKSI")</f>
        <v>PRODUKSI</v>
      </c>
    </row>
    <row r="21">
      <c r="A21" s="8">
        <f>IFERROR(__xludf.DUMMYFUNCTION("""COMPUTED_VALUE"""),46145.0)</f>
        <v>46145</v>
      </c>
      <c r="B21" s="5" t="str">
        <f>IFERROR(__xludf.DUMMYFUNCTION("""COMPUTED_VALUE"""),"TRSF E-BANKING DB")</f>
        <v>TRSF E-BANKING DB</v>
      </c>
      <c r="C21" s="5" t="str">
        <f>IFERROR(__xludf.DUMMYFUNCTION("""COMPUTED_VALUE"""),"0305/FTFVA/WS95031 55569/PT PRIMA FAJ 8,8 ton pasurusn - 40190")</f>
        <v>0305/FTFVA/WS95031 55569/PT PRIMA FAJ 8,8 ton pasurusn - 40190</v>
      </c>
      <c r="D21" s="5">
        <f>IFERROR(__xludf.DUMMYFUNCTION("""COMPUTED_VALUE"""),1.452E8)</f>
        <v>145200000</v>
      </c>
      <c r="E21" s="5"/>
      <c r="F21" s="5" t="str">
        <f>IFERROR(__xludf.DUMMYFUNCTION("""COMPUTED_VALUE"""),"DB")</f>
        <v>DB</v>
      </c>
      <c r="G21" s="5">
        <f>IFERROR(__xludf.DUMMYFUNCTION("""COMPUTED_VALUE"""),4.6738429995000005E8)</f>
        <v>467384300</v>
      </c>
      <c r="H21" s="5"/>
      <c r="I21" s="5" t="str">
        <f>IFERROR(__xludf.DUMMYFUNCTION("""COMPUTED_VALUE"""),"PRODUKSI")</f>
        <v>PRODUKSI</v>
      </c>
    </row>
    <row r="22">
      <c r="A22" s="8">
        <f>IFERROR(__xludf.DUMMYFUNCTION("""COMPUTED_VALUE"""),46145.0)</f>
        <v>46145</v>
      </c>
      <c r="B22" s="5" t="str">
        <f>IFERROR(__xludf.DUMMYFUNCTION("""COMPUTED_VALUE"""),"TRSF E-BANKING DB")</f>
        <v>TRSF E-BANKING DB</v>
      </c>
      <c r="C22" s="5" t="str">
        <f>IFERROR(__xludf.DUMMYFUNCTION("""COMPUTED_VALUE"""),"0305/FTSCY/WS95031 1500000.00 SUNARTO")</f>
        <v>0305/FTSCY/WS95031 1500000.00 SUNARTO</v>
      </c>
      <c r="D22" s="5">
        <f>IFERROR(__xludf.DUMMYFUNCTION("""COMPUTED_VALUE"""),1500000.0)</f>
        <v>1500000</v>
      </c>
      <c r="E22" s="5"/>
      <c r="F22" s="5" t="str">
        <f>IFERROR(__xludf.DUMMYFUNCTION("""COMPUTED_VALUE"""),"DB")</f>
        <v>DB</v>
      </c>
      <c r="G22" s="5">
        <f>IFERROR(__xludf.DUMMYFUNCTION("""COMPUTED_VALUE"""),4.6588429995000005E8)</f>
        <v>465884300</v>
      </c>
      <c r="H22" s="5">
        <f>IFERROR(__xludf.DUMMYFUNCTION("""COMPUTED_VALUE"""),4.6588429995E8)</f>
        <v>465884300</v>
      </c>
      <c r="I22" s="5" t="str">
        <f>IFERROR(__xludf.DUMMYFUNCTION("""COMPUTED_VALUE"""),"PRODUKSI")</f>
        <v>PRODUKSI</v>
      </c>
    </row>
    <row r="23">
      <c r="A23" s="8">
        <f>IFERROR(__xludf.DUMMYFUNCTION("""COMPUTED_VALUE"""),46158.0)</f>
        <v>46158</v>
      </c>
      <c r="B23" s="5" t="str">
        <f>IFERROR(__xludf.DUMMYFUNCTION("""COMPUTED_VALUE"""),"KARTU DEBIT")</f>
        <v>KARTU DEBIT</v>
      </c>
      <c r="C23" s="5" t="str">
        <f>IFERROR(__xludf.DUMMYFUNCTION("""COMPUTED_VALUE"""),"GOLDEN MARKET-HO 6019009510239343")</f>
        <v>GOLDEN MARKET-HO 6019009510239343</v>
      </c>
      <c r="D23" s="5">
        <f>IFERROR(__xludf.DUMMYFUNCTION("""COMPUTED_VALUE"""),267500.0)</f>
        <v>267500</v>
      </c>
      <c r="E23" s="5"/>
      <c r="F23" s="5"/>
      <c r="G23" s="5">
        <f>IFERROR(__xludf.DUMMYFUNCTION("""COMPUTED_VALUE"""),3.6149280595000005E8)</f>
        <v>361492806</v>
      </c>
      <c r="H23" s="5"/>
      <c r="I23" s="5" t="str">
        <f>IFERROR(__xludf.DUMMYFUNCTION("""COMPUTED_VALUE"""),"PRODUKSI")</f>
        <v>PRODUKSI</v>
      </c>
    </row>
    <row r="24">
      <c r="A24" s="8">
        <f>IFERROR(__xludf.DUMMYFUNCTION("""COMPUTED_VALUE"""),46158.0)</f>
        <v>46158</v>
      </c>
      <c r="B24" s="5" t="str">
        <f>IFERROR(__xludf.DUMMYFUNCTION("""COMPUTED_VALUE"""),"KARTU DEBIT")</f>
        <v>KARTU DEBIT</v>
      </c>
      <c r="C24" s="5" t="str">
        <f>IFERROR(__xludf.DUMMYFUNCTION("""COMPUTED_VALUE"""),"CFC GOLDEN JEMBER 6019009510239343")</f>
        <v>CFC GOLDEN JEMBER 6019009510239343</v>
      </c>
      <c r="D24" s="5">
        <f>IFERROR(__xludf.DUMMYFUNCTION("""COMPUTED_VALUE"""),88500.0)</f>
        <v>88500</v>
      </c>
      <c r="E24" s="5"/>
      <c r="F24" s="5"/>
      <c r="G24" s="5">
        <f>IFERROR(__xludf.DUMMYFUNCTION("""COMPUTED_VALUE"""),3.6140430595000005E8)</f>
        <v>361404306</v>
      </c>
      <c r="H24" s="5">
        <f>IFERROR(__xludf.DUMMYFUNCTION("""COMPUTED_VALUE"""),3.6140430595E8)</f>
        <v>361404306</v>
      </c>
      <c r="I24" s="5" t="str">
        <f>IFERROR(__xludf.DUMMYFUNCTION("""COMPUTED_VALUE"""),"PRODUKSI")</f>
        <v>PRODUKSI</v>
      </c>
    </row>
    <row r="25">
      <c r="A25" s="8">
        <f>IFERROR(__xludf.DUMMYFUNCTION("""COMPUTED_VALUE"""),46159.0)</f>
        <v>46159</v>
      </c>
      <c r="B25" s="5" t="str">
        <f>IFERROR(__xludf.DUMMYFUNCTION("""COMPUTED_VALUE"""),"TRSF E-BANKING DB TANGGAL :16/05")</f>
        <v>TRSF E-BANKING DB TANGGAL :16/05</v>
      </c>
      <c r="C25" s="5" t="str">
        <f>IFERROR(__xludf.DUMMYFUNCTION("""COMPUTED_VALUE"""),"1605/FTSCY/WS95271 Fri May 15 2026 14:00:00 GMT+0700 (Western Indonesia Time) BINTANG TAMA SANTO")</f>
        <v>1605/FTSCY/WS95271 Fri May 15 2026 14:00:00 GMT+0700 (Western Indonesia Time) BINTANG TAMA SANTO</v>
      </c>
      <c r="D25" s="5">
        <f>IFERROR(__xludf.DUMMYFUNCTION("""COMPUTED_VALUE"""),1.2545176E8)</f>
        <v>125451760</v>
      </c>
      <c r="E25" s="5"/>
      <c r="F25" s="5" t="str">
        <f>IFERROR(__xludf.DUMMYFUNCTION("""COMPUTED_VALUE"""),"DB")</f>
        <v>DB</v>
      </c>
      <c r="G25" s="5">
        <f>IFERROR(__xludf.DUMMYFUNCTION("""COMPUTED_VALUE"""),2.3595254595000005E8)</f>
        <v>235952546</v>
      </c>
      <c r="H25" s="5"/>
      <c r="I25" s="5" t="str">
        <f>IFERROR(__xludf.DUMMYFUNCTION("""COMPUTED_VALUE"""),"PRODUKSI")</f>
        <v>PRODUKSI</v>
      </c>
    </row>
    <row r="26">
      <c r="A26" s="8">
        <f>IFERROR(__xludf.DUMMYFUNCTION("""COMPUTED_VALUE"""),46159.0)</f>
        <v>46159</v>
      </c>
      <c r="B26" s="5" t="str">
        <f>IFERROR(__xludf.DUMMYFUNCTION("""COMPUTED_VALUE"""),"TRSF E-BANKING DB TANGGAL :16/05")</f>
        <v>TRSF E-BANKING DB TANGGAL :16/05</v>
      </c>
      <c r="C26" s="5" t="str">
        <f>IFERROR(__xludf.DUMMYFUNCTION("""COMPUTED_VALUE"""),"1605/FTSCY/WS95011 Fri May 15 2026 14:00:00 GMT+0700 (Western Indonesia Time) SUPER UNGGAS JAYA")</f>
        <v>1605/FTSCY/WS95011 Fri May 15 2026 14:00:00 GMT+0700 (Western Indonesia Time) SUPER UNGGAS JAYA</v>
      </c>
      <c r="D26" s="5">
        <f>IFERROR(__xludf.DUMMYFUNCTION("""COMPUTED_VALUE"""),1.46016E8)</f>
        <v>146016000</v>
      </c>
      <c r="E26" s="5"/>
      <c r="F26" s="5" t="str">
        <f>IFERROR(__xludf.DUMMYFUNCTION("""COMPUTED_VALUE"""),"DB")</f>
        <v>DB</v>
      </c>
      <c r="G26" s="5">
        <f>IFERROR(__xludf.DUMMYFUNCTION("""COMPUTED_VALUE"""),8.993654595000005E7)</f>
        <v>89936545.95</v>
      </c>
      <c r="H26" s="5"/>
      <c r="I26" s="5" t="str">
        <f>IFERROR(__xludf.DUMMYFUNCTION("""COMPUTED_VALUE"""),"PRODUKSI")</f>
        <v>PRODUKSI</v>
      </c>
    </row>
    <row r="27">
      <c r="A27" s="8">
        <f>IFERROR(__xludf.DUMMYFUNCTION("""COMPUTED_VALUE"""),46159.0)</f>
        <v>46159</v>
      </c>
      <c r="B27" s="5" t="str">
        <f>IFERROR(__xludf.DUMMYFUNCTION("""COMPUTED_VALUE"""),"TRSF E-BANKING DB TANGGAL :16/05")</f>
        <v>TRSF E-BANKING DB TANGGAL :16/05</v>
      </c>
      <c r="C27" s="5" t="str">
        <f>IFERROR(__xludf.DUMMYFUNCTION("""COMPUTED_VALUE"""),"1605/FTSCY/WS95031 NURHAYATI")</f>
        <v>1605/FTSCY/WS95031 NURHAYATI</v>
      </c>
      <c r="D27" s="5">
        <f>IFERROR(__xludf.DUMMYFUNCTION("""COMPUTED_VALUE"""),2281500.0)</f>
        <v>2281500</v>
      </c>
      <c r="E27" s="5"/>
      <c r="F27" s="5" t="str">
        <f>IFERROR(__xludf.DUMMYFUNCTION("""COMPUTED_VALUE"""),"DB")</f>
        <v>DB</v>
      </c>
      <c r="G27" s="5">
        <f>IFERROR(__xludf.DUMMYFUNCTION("""COMPUTED_VALUE"""),8.765504595000005E7)</f>
        <v>87655045.95</v>
      </c>
      <c r="H27" s="5">
        <f>IFERROR(__xludf.DUMMYFUNCTION("""COMPUTED_VALUE"""),8.765504595E7)</f>
        <v>87655045.95</v>
      </c>
      <c r="I27" s="5" t="str">
        <f>IFERROR(__xludf.DUMMYFUNCTION("""COMPUTED_VALUE"""),"PRODUKSI")</f>
        <v>PRODUKSI</v>
      </c>
    </row>
    <row r="28">
      <c r="A28" s="8">
        <f>IFERROR(__xludf.DUMMYFUNCTION("""COMPUTED_VALUE"""),46159.0)</f>
        <v>46159</v>
      </c>
      <c r="B28" s="5" t="str">
        <f>IFERROR(__xludf.DUMMYFUNCTION("""COMPUTED_VALUE"""),"BI-FAST DB")</f>
        <v>BI-FAST DB</v>
      </c>
      <c r="C28" s="5" t="str">
        <f>IFERROR(__xludf.DUMMYFUNCTION("""COMPUTED_VALUE"""),"BIF TRANSFER KE 2 TURYADI M-BCA")</f>
        <v>BIF TRANSFER KE 2 TURYADI M-BCA</v>
      </c>
      <c r="D28" s="5">
        <f>IFERROR(__xludf.DUMMYFUNCTION("""COMPUTED_VALUE"""),1525000.0)</f>
        <v>1525000</v>
      </c>
      <c r="E28" s="5"/>
      <c r="F28" s="5" t="str">
        <f>IFERROR(__xludf.DUMMYFUNCTION("""COMPUTED_VALUE"""),"DB")</f>
        <v>DB</v>
      </c>
      <c r="G28" s="5">
        <f>IFERROR(__xludf.DUMMYFUNCTION("""COMPUTED_VALUE"""),8.613004595000005E7)</f>
        <v>86130045.95</v>
      </c>
      <c r="H28" s="5">
        <f>IFERROR(__xludf.DUMMYFUNCTION("""COMPUTED_VALUE"""),8.613004595E7)</f>
        <v>86130045.95</v>
      </c>
      <c r="I28" s="5" t="str">
        <f>IFERROR(__xludf.DUMMYFUNCTION("""COMPUTED_VALUE"""),"PRODUKSI")</f>
        <v>PRODUKSI</v>
      </c>
    </row>
    <row r="29">
      <c r="A29" s="8">
        <f>IFERROR(__xludf.DUMMYFUNCTION("""COMPUTED_VALUE"""),46159.0)</f>
        <v>46159</v>
      </c>
      <c r="B29" s="5" t="str">
        <f>IFERROR(__xludf.DUMMYFUNCTION("""COMPUTED_VALUE"""),"BYR VIA E-BANKING")</f>
        <v>BYR VIA E-BANKING</v>
      </c>
      <c r="C29" s="5" t="str">
        <f>IFERROR(__xludf.DUMMYFUNCTION("""COMPUTED_VALUE"""),"17/05  WSID9503101 0507 FIF 803001249921 MUHAMMAD HAIRUL MA")</f>
        <v>17/05  WSID9503101 0507 FIF 803001249921 MUHAMMAD HAIRUL MA</v>
      </c>
      <c r="D29" s="5">
        <f>IFERROR(__xludf.DUMMYFUNCTION("""COMPUTED_VALUE"""),750000.0)</f>
        <v>750000</v>
      </c>
      <c r="E29" s="5"/>
      <c r="F29" s="5"/>
      <c r="G29" s="5">
        <f>IFERROR(__xludf.DUMMYFUNCTION("""COMPUTED_VALUE"""),8.537754595000005E7)</f>
        <v>85377545.95</v>
      </c>
      <c r="H29" s="5"/>
      <c r="I29" s="5" t="str">
        <f>IFERROR(__xludf.DUMMYFUNCTION("""COMPUTED_VALUE"""),"PRODUKSI")</f>
        <v>PRODUKSI</v>
      </c>
    </row>
    <row r="30">
      <c r="A30" s="8">
        <f>IFERROR(__xludf.DUMMYFUNCTION("""COMPUTED_VALUE"""),46159.0)</f>
        <v>46159</v>
      </c>
      <c r="B30" s="5" t="str">
        <f>IFERROR(__xludf.DUMMYFUNCTION("""COMPUTED_VALUE"""),"TRSF E-BANKING DB")</f>
        <v>TRSF E-BANKING DB</v>
      </c>
      <c r="C30" s="5" t="str">
        <f>IFERROR(__xludf.DUMMYFUNCTION("""COMPUTED_VALUE"""),"1705/FTSCY/WS95031 1015600.00 HERMAWAN")</f>
        <v>1705/FTSCY/WS95031 1015600.00 HERMAWAN</v>
      </c>
      <c r="D30" s="5">
        <f>IFERROR(__xludf.DUMMYFUNCTION("""COMPUTED_VALUE"""),1015600.0)</f>
        <v>1015600</v>
      </c>
      <c r="E30" s="5"/>
      <c r="F30" s="5" t="str">
        <f>IFERROR(__xludf.DUMMYFUNCTION("""COMPUTED_VALUE"""),"DB")</f>
        <v>DB</v>
      </c>
      <c r="G30" s="5">
        <f>IFERROR(__xludf.DUMMYFUNCTION("""COMPUTED_VALUE"""),8.436194595000005E7)</f>
        <v>84361945.95</v>
      </c>
      <c r="H30" s="5"/>
      <c r="I30" s="5" t="str">
        <f>IFERROR(__xludf.DUMMYFUNCTION("""COMPUTED_VALUE"""),"PRODUKSI")</f>
        <v>PRODUKSI</v>
      </c>
    </row>
    <row r="31">
      <c r="A31" s="8">
        <f>IFERROR(__xludf.DUMMYFUNCTION("""COMPUTED_VALUE"""),46159.0)</f>
        <v>46159</v>
      </c>
      <c r="B31" s="5" t="str">
        <f>IFERROR(__xludf.DUMMYFUNCTION("""COMPUTED_VALUE"""),"TRSF E-BANKING DB")</f>
        <v>TRSF E-BANKING DB</v>
      </c>
      <c r="C31" s="5" t="str">
        <f>IFERROR(__xludf.DUMMYFUNCTION("""COMPUTED_VALUE"""),"1705/FTSCY/WS95031 1379100.00 MUJIANTO")</f>
        <v>1705/FTSCY/WS95031 1379100.00 MUJIANTO</v>
      </c>
      <c r="D31" s="5">
        <f>IFERROR(__xludf.DUMMYFUNCTION("""COMPUTED_VALUE"""),1379100.0)</f>
        <v>1379100</v>
      </c>
      <c r="E31" s="5"/>
      <c r="F31" s="5" t="str">
        <f>IFERROR(__xludf.DUMMYFUNCTION("""COMPUTED_VALUE"""),"DB")</f>
        <v>DB</v>
      </c>
      <c r="G31" s="5">
        <f>IFERROR(__xludf.DUMMYFUNCTION("""COMPUTED_VALUE"""),8.298284595000005E7)</f>
        <v>82982845.95</v>
      </c>
      <c r="H31" s="5"/>
      <c r="I31" s="5" t="str">
        <f>IFERROR(__xludf.DUMMYFUNCTION("""COMPUTED_VALUE"""),"PRODUKSI")</f>
        <v>PRODUKSI</v>
      </c>
    </row>
    <row r="32">
      <c r="A32" s="8">
        <f>IFERROR(__xludf.DUMMYFUNCTION("""COMPUTED_VALUE"""),46159.0)</f>
        <v>46159</v>
      </c>
      <c r="B32" s="5" t="str">
        <f>IFERROR(__xludf.DUMMYFUNCTION("""COMPUTED_VALUE"""),"TRSF E-BANKING DB")</f>
        <v>TRSF E-BANKING DB</v>
      </c>
      <c r="C32" s="5" t="str">
        <f>IFERROR(__xludf.DUMMYFUNCTION("""COMPUTED_VALUE"""),"1705/FTSCY/WS95031 4727900.00 krg 50 jt EKO SETIYAWAN")</f>
        <v>1705/FTSCY/WS95031 4727900.00 krg 50 jt EKO SETIYAWAN</v>
      </c>
      <c r="D32" s="5">
        <f>IFERROR(__xludf.DUMMYFUNCTION("""COMPUTED_VALUE"""),4727900.0)</f>
        <v>4727900</v>
      </c>
      <c r="E32" s="5"/>
      <c r="F32" s="5" t="str">
        <f>IFERROR(__xludf.DUMMYFUNCTION("""COMPUTED_VALUE"""),"DB")</f>
        <v>DB</v>
      </c>
      <c r="G32" s="5">
        <f>IFERROR(__xludf.DUMMYFUNCTION("""COMPUTED_VALUE"""),7.825494595000005E7)</f>
        <v>78254945.95</v>
      </c>
      <c r="H32" s="5"/>
      <c r="I32" s="5" t="str">
        <f>IFERROR(__xludf.DUMMYFUNCTION("""COMPUTED_VALUE"""),"PRODUKSI")</f>
        <v>PRODUKSI</v>
      </c>
    </row>
    <row r="33">
      <c r="A33" s="8">
        <f>IFERROR(__xludf.DUMMYFUNCTION("""COMPUTED_VALUE"""),46159.0)</f>
        <v>46159</v>
      </c>
      <c r="B33" s="5" t="str">
        <f>IFERROR(__xludf.DUMMYFUNCTION("""COMPUTED_VALUE"""),"KARTU DEBIT")</f>
        <v>KARTU DEBIT</v>
      </c>
      <c r="C33" s="5" t="str">
        <f>IFERROR(__xludf.DUMMYFUNCTION("""COMPUTED_VALUE"""),"MPM JEMBER 6019009510239343")</f>
        <v>MPM JEMBER 6019009510239343</v>
      </c>
      <c r="D33" s="5">
        <f>IFERROR(__xludf.DUMMYFUNCTION("""COMPUTED_VALUE"""),343500.0)</f>
        <v>343500</v>
      </c>
      <c r="E33" s="5"/>
      <c r="F33" s="5"/>
      <c r="G33" s="5">
        <f>IFERROR(__xludf.DUMMYFUNCTION("""COMPUTED_VALUE"""),7.791144595000005E7)</f>
        <v>77911445.95</v>
      </c>
      <c r="H33" s="5"/>
      <c r="I33" s="5" t="str">
        <f>IFERROR(__xludf.DUMMYFUNCTION("""COMPUTED_VALUE"""),"PRODUKSI")</f>
        <v>PRODUKSI</v>
      </c>
    </row>
    <row r="34">
      <c r="A34" s="8">
        <f>IFERROR(__xludf.DUMMYFUNCTION("""COMPUTED_VALUE"""),46159.0)</f>
        <v>46159</v>
      </c>
      <c r="B34" s="5" t="str">
        <f>IFERROR(__xludf.DUMMYFUNCTION("""COMPUTED_VALUE"""),"TARIKAN ATM 17/05")</f>
        <v>TARIKAN ATM 17/05</v>
      </c>
      <c r="C34" s="5" t="str">
        <f>IFERROR(__xludf.DUMMYFUNCTION("""COMPUTED_VALUE"""),"TARIKAN ATM 17/05")</f>
        <v>TARIKAN ATM 17/05</v>
      </c>
      <c r="D34" s="5">
        <f>IFERROR(__xludf.DUMMYFUNCTION("""COMPUTED_VALUE"""),100000.0)</f>
        <v>100000</v>
      </c>
      <c r="E34" s="5"/>
      <c r="F34" s="5"/>
      <c r="G34" s="5">
        <f>IFERROR(__xludf.DUMMYFUNCTION("""COMPUTED_VALUE"""),7.781144595000005E7)</f>
        <v>77811445.95</v>
      </c>
      <c r="H34" s="5"/>
      <c r="I34" s="5" t="str">
        <f>IFERROR(__xludf.DUMMYFUNCTION("""COMPUTED_VALUE"""),"PRODUKSI")</f>
        <v>PRODUKSI</v>
      </c>
    </row>
    <row r="35">
      <c r="A35" s="8">
        <f>IFERROR(__xludf.DUMMYFUNCTION("""COMPUTED_VALUE"""),46159.0)</f>
        <v>46159</v>
      </c>
      <c r="B35" s="5" t="str">
        <f>IFERROR(__xludf.DUMMYFUNCTION("""COMPUTED_VALUE"""),"TRSF E-BANKING DB")</f>
        <v>TRSF E-BANKING DB</v>
      </c>
      <c r="C35" s="5" t="str">
        <f>IFERROR(__xludf.DUMMYFUNCTION("""COMPUTED_VALUE"""),"1705/FTSCY/WS95031 53605500.00 Fri May 15 2026 14:00:00 GMT+0700 (Western Indonesia Time) ANUGERAH KARTIKA A")</f>
        <v>1705/FTSCY/WS95031 53605500.00 Fri May 15 2026 14:00:00 GMT+0700 (Western Indonesia Time) ANUGERAH KARTIKA A</v>
      </c>
      <c r="D35" s="5">
        <f>IFERROR(__xludf.DUMMYFUNCTION("""COMPUTED_VALUE"""),5.36055E7)</f>
        <v>53605500</v>
      </c>
      <c r="E35" s="5"/>
      <c r="F35" s="5" t="str">
        <f>IFERROR(__xludf.DUMMYFUNCTION("""COMPUTED_VALUE"""),"DB")</f>
        <v>DB</v>
      </c>
      <c r="G35" s="5">
        <f>IFERROR(__xludf.DUMMYFUNCTION("""COMPUTED_VALUE"""),2.4205945950000048E7)</f>
        <v>24205945.95</v>
      </c>
      <c r="H35" s="5"/>
      <c r="I35" s="5" t="str">
        <f>IFERROR(__xludf.DUMMYFUNCTION("""COMPUTED_VALUE"""),"PRODUKSI")</f>
        <v>PRODUKSI</v>
      </c>
    </row>
    <row r="36">
      <c r="A36" s="8">
        <f>IFERROR(__xludf.DUMMYFUNCTION("""COMPUTED_VALUE"""),46159.0)</f>
        <v>46159</v>
      </c>
      <c r="B36" s="5" t="str">
        <f>IFERROR(__xludf.DUMMYFUNCTION("""COMPUTED_VALUE"""),"TRSF E-BANKING DB")</f>
        <v>TRSF E-BANKING DB</v>
      </c>
      <c r="C36" s="5" t="str">
        <f>IFERROR(__xludf.DUMMYFUNCTION("""COMPUTED_VALUE"""),"1705/FTSCY/WS95031 1075200.00 jombang HERMAWAN")</f>
        <v>1705/FTSCY/WS95031 1075200.00 jombang HERMAWAN</v>
      </c>
      <c r="D36" s="5">
        <f>IFERROR(__xludf.DUMMYFUNCTION("""COMPUTED_VALUE"""),1075200.0)</f>
        <v>1075200</v>
      </c>
      <c r="E36" s="5"/>
      <c r="F36" s="5" t="str">
        <f>IFERROR(__xludf.DUMMYFUNCTION("""COMPUTED_VALUE"""),"DB")</f>
        <v>DB</v>
      </c>
      <c r="G36" s="5">
        <f>IFERROR(__xludf.DUMMYFUNCTION("""COMPUTED_VALUE"""),4.3664960595000005E8)</f>
        <v>436649606</v>
      </c>
      <c r="H36" s="5"/>
      <c r="I36" s="5" t="str">
        <f>IFERROR(__xludf.DUMMYFUNCTION("""COMPUTED_VALUE"""),"PRODUKSI")</f>
        <v>PRODUKSI</v>
      </c>
    </row>
    <row r="37">
      <c r="A37" s="8">
        <f>IFERROR(__xludf.DUMMYFUNCTION("""COMPUTED_VALUE"""),46159.0)</f>
        <v>46159</v>
      </c>
      <c r="B37" s="5" t="str">
        <f>IFERROR(__xludf.DUMMYFUNCTION("""COMPUTED_VALUE"""),"TRSF E-BANKING DB")</f>
        <v>TRSF E-BANKING DB</v>
      </c>
      <c r="C37" s="5" t="str">
        <f>IFERROR(__xludf.DUMMYFUNCTION("""COMPUTED_VALUE"""),"1705/FTSCY/WS95031 1047400.00 jombang MUJIANTO")</f>
        <v>1705/FTSCY/WS95031 1047400.00 jombang MUJIANTO</v>
      </c>
      <c r="D37" s="5">
        <f>IFERROR(__xludf.DUMMYFUNCTION("""COMPUTED_VALUE"""),1047400.0)</f>
        <v>1047400</v>
      </c>
      <c r="E37" s="5"/>
      <c r="F37" s="5" t="str">
        <f>IFERROR(__xludf.DUMMYFUNCTION("""COMPUTED_VALUE"""),"DB")</f>
        <v>DB</v>
      </c>
      <c r="G37" s="5">
        <f>IFERROR(__xludf.DUMMYFUNCTION("""COMPUTED_VALUE"""),4.3560220595000005E8)</f>
        <v>435602206</v>
      </c>
      <c r="H37" s="5">
        <f>IFERROR(__xludf.DUMMYFUNCTION("""COMPUTED_VALUE"""),4.3560220595E8)</f>
        <v>435602206</v>
      </c>
      <c r="I37" s="5" t="str">
        <f>IFERROR(__xludf.DUMMYFUNCTION("""COMPUTED_VALUE"""),"PRODUKSI")</f>
        <v>PRODUKSI</v>
      </c>
    </row>
    <row r="38">
      <c r="A38" s="8">
        <f>IFERROR(__xludf.DUMMYFUNCTION("""COMPUTED_VALUE"""),46159.0)</f>
        <v>46159</v>
      </c>
      <c r="B38" s="5" t="str">
        <f>IFERROR(__xludf.DUMMYFUNCTION("""COMPUTED_VALUE"""),"TRSF E-BANKING DB")</f>
        <v>TRSF E-BANKING DB</v>
      </c>
      <c r="C38" s="5" t="str">
        <f>IFERROR(__xludf.DUMMYFUNCTION("""COMPUTED_VALUE"""),"1705/FTSCY/WS95271 63804360.00 Sat May 16 2026 14:00:00 GMT+0700 (Western Indonesia Time) GANESHA SATRIA NUS")</f>
        <v>1705/FTSCY/WS95271 63804360.00 Sat May 16 2026 14:00:00 GMT+0700 (Western Indonesia Time) GANESHA SATRIA NUS</v>
      </c>
      <c r="D38" s="5">
        <f>IFERROR(__xludf.DUMMYFUNCTION("""COMPUTED_VALUE"""),6.380436E7)</f>
        <v>63804360</v>
      </c>
      <c r="E38" s="5"/>
      <c r="F38" s="5" t="str">
        <f>IFERROR(__xludf.DUMMYFUNCTION("""COMPUTED_VALUE"""),"DB")</f>
        <v>DB</v>
      </c>
      <c r="G38" s="5">
        <f>IFERROR(__xludf.DUMMYFUNCTION("""COMPUTED_VALUE"""),3.7179784595000005E8)</f>
        <v>371797846</v>
      </c>
      <c r="H38" s="5">
        <f>IFERROR(__xludf.DUMMYFUNCTION("""COMPUTED_VALUE"""),3.7179784595E8)</f>
        <v>371797846</v>
      </c>
      <c r="I38" s="5" t="str">
        <f>IFERROR(__xludf.DUMMYFUNCTION("""COMPUTED_VALUE"""),"PRODUKSI")</f>
        <v>PRODUKSI</v>
      </c>
    </row>
    <row r="39">
      <c r="A39" s="8">
        <f>IFERROR(__xludf.DUMMYFUNCTION("""COMPUTED_VALUE"""),46159.0)</f>
        <v>46159</v>
      </c>
      <c r="B39" s="5" t="str">
        <f>IFERROR(__xludf.DUMMYFUNCTION("""COMPUTED_VALUE"""),"TRSF E-BANKING DB")</f>
        <v>TRSF E-BANKING DB</v>
      </c>
      <c r="C39" s="5" t="str">
        <f>IFERROR(__xludf.DUMMYFUNCTION("""COMPUTED_VALUE"""),"1705/FTSCY/WS95271 135744840.00 Sat May 16 2026 14:00:00 GMT+0700 (Western Indonesia Time) BROILER MAKMUR TAN")</f>
        <v>1705/FTSCY/WS95271 135744840.00 Sat May 16 2026 14:00:00 GMT+0700 (Western Indonesia Time) BROILER MAKMUR TAN</v>
      </c>
      <c r="D39" s="5">
        <f>IFERROR(__xludf.DUMMYFUNCTION("""COMPUTED_VALUE"""),1.3574484E8)</f>
        <v>135744840</v>
      </c>
      <c r="E39" s="5"/>
      <c r="F39" s="5" t="str">
        <f>IFERROR(__xludf.DUMMYFUNCTION("""COMPUTED_VALUE"""),"DB")</f>
        <v>DB</v>
      </c>
      <c r="G39" s="5">
        <f>IFERROR(__xludf.DUMMYFUNCTION("""COMPUTED_VALUE"""),2.3605300595000005E8)</f>
        <v>236053006</v>
      </c>
      <c r="H39" s="5"/>
      <c r="I39" s="5" t="str">
        <f>IFERROR(__xludf.DUMMYFUNCTION("""COMPUTED_VALUE"""),"PRODUKSI")</f>
        <v>PRODUKSI</v>
      </c>
    </row>
    <row r="40">
      <c r="A40" s="8">
        <f>IFERROR(__xludf.DUMMYFUNCTION("""COMPUTED_VALUE"""),46159.0)</f>
        <v>46159</v>
      </c>
      <c r="B40" s="5" t="str">
        <f>IFERROR(__xludf.DUMMYFUNCTION("""COMPUTED_VALUE"""),"TRSF E-BANKING DB")</f>
        <v>TRSF E-BANKING DB</v>
      </c>
      <c r="C40" s="5" t="str">
        <f>IFERROR(__xludf.DUMMYFUNCTION("""COMPUTED_VALUE"""),"1705/FTSCY/WS95271 3373640.00 NURHAYATI")</f>
        <v>1705/FTSCY/WS95271 3373640.00 NURHAYATI</v>
      </c>
      <c r="D40" s="5">
        <f>IFERROR(__xludf.DUMMYFUNCTION("""COMPUTED_VALUE"""),3373640.0)</f>
        <v>3373640</v>
      </c>
      <c r="E40" s="5"/>
      <c r="F40" s="5" t="str">
        <f>IFERROR(__xludf.DUMMYFUNCTION("""COMPUTED_VALUE"""),"DB")</f>
        <v>DB</v>
      </c>
      <c r="G40" s="5">
        <f>IFERROR(__xludf.DUMMYFUNCTION("""COMPUTED_VALUE"""),2.3267936595000005E8)</f>
        <v>232679366</v>
      </c>
      <c r="H40" s="5"/>
      <c r="I40" s="5" t="str">
        <f>IFERROR(__xludf.DUMMYFUNCTION("""COMPUTED_VALUE"""),"PRODUKSI")</f>
        <v>PRODUKSI</v>
      </c>
    </row>
    <row r="41">
      <c r="A41" s="8">
        <f>IFERROR(__xludf.DUMMYFUNCTION("""COMPUTED_VALUE"""),46159.0)</f>
        <v>46159</v>
      </c>
      <c r="B41" s="5" t="str">
        <f>IFERROR(__xludf.DUMMYFUNCTION("""COMPUTED_VALUE"""),"TRSF E-BANKING DB")</f>
        <v>TRSF E-BANKING DB</v>
      </c>
      <c r="C41" s="5" t="str">
        <f>IFERROR(__xludf.DUMMYFUNCTION("""COMPUTED_VALUE"""),"1705/FTSCY/WS95271 75556260.00 16/05 krg 250 jt SUPER UNGGAS JAYA")</f>
        <v>1705/FTSCY/WS95271 75556260.00 16/05 krg 250 jt SUPER UNGGAS JAYA</v>
      </c>
      <c r="D41" s="5">
        <f>IFERROR(__xludf.DUMMYFUNCTION("""COMPUTED_VALUE"""),7.555626E7)</f>
        <v>75556260</v>
      </c>
      <c r="E41" s="5"/>
      <c r="F41" s="5" t="str">
        <f>IFERROR(__xludf.DUMMYFUNCTION("""COMPUTED_VALUE"""),"DB")</f>
        <v>DB</v>
      </c>
      <c r="G41" s="5">
        <f>IFERROR(__xludf.DUMMYFUNCTION("""COMPUTED_VALUE"""),1.5712310595000005E8)</f>
        <v>157123106</v>
      </c>
      <c r="H41" s="5">
        <f>IFERROR(__xludf.DUMMYFUNCTION("""COMPUTED_VALUE"""),1.5712310595E8)</f>
        <v>157123106</v>
      </c>
      <c r="I41" s="5" t="str">
        <f>IFERROR(__xludf.DUMMYFUNCTION("""COMPUTED_VALUE"""),"PRODUKSI")</f>
        <v>PRODUKSI</v>
      </c>
    </row>
    <row r="42">
      <c r="A42" s="8">
        <f>IFERROR(__xludf.DUMMYFUNCTION("""COMPUTED_VALUE"""),46160.0)</f>
        <v>46160</v>
      </c>
      <c r="B42" s="5" t="str">
        <f>IFERROR(__xludf.DUMMYFUNCTION("""COMPUTED_VALUE"""),"TRSF E-BANKING DB TANGGAL :17/05")</f>
        <v>TRSF E-BANKING DB TANGGAL :17/05</v>
      </c>
      <c r="C42" s="5" t="str">
        <f>IFERROR(__xludf.DUMMYFUNCTION("""COMPUTED_VALUE"""),"1705/FTSCY/WS95031 inova 2 hr MARDIYANTO")</f>
        <v>1705/FTSCY/WS95031 inova 2 hr MARDIYANTO</v>
      </c>
      <c r="D42" s="5">
        <f>IFERROR(__xludf.DUMMYFUNCTION("""COMPUTED_VALUE"""),1100000.0)</f>
        <v>1100000</v>
      </c>
      <c r="E42" s="5"/>
      <c r="F42" s="5" t="str">
        <f>IFERROR(__xludf.DUMMYFUNCTION("""COMPUTED_VALUE"""),"DB")</f>
        <v>DB</v>
      </c>
      <c r="G42" s="5">
        <f>IFERROR(__xludf.DUMMYFUNCTION("""COMPUTED_VALUE"""),1.5602310595000005E8)</f>
        <v>156023106</v>
      </c>
      <c r="H42" s="5"/>
      <c r="I42" s="5" t="str">
        <f>IFERROR(__xludf.DUMMYFUNCTION("""COMPUTED_VALUE"""),"PRODUKSI")</f>
        <v>PRODUKSI</v>
      </c>
    </row>
    <row r="43">
      <c r="A43" s="8">
        <f>IFERROR(__xludf.DUMMYFUNCTION("""COMPUTED_VALUE"""),46160.0)</f>
        <v>46160</v>
      </c>
      <c r="B43" s="5" t="str">
        <f>IFERROR(__xludf.DUMMYFUNCTION("""COMPUTED_VALUE"""),"KARTU DEBIT TANGGAL :17/05")</f>
        <v>KARTU DEBIT TANGGAL :17/05</v>
      </c>
      <c r="C43" s="5" t="str">
        <f>IFERROR(__xludf.DUMMYFUNCTION("""COMPUTED_VALUE"""),"ALFAMRT Y018 DR.SO")</f>
        <v>ALFAMRT Y018 DR.SO</v>
      </c>
      <c r="D43" s="5">
        <f>IFERROR(__xludf.DUMMYFUNCTION("""COMPUTED_VALUE"""),1155600.0)</f>
        <v>1155600</v>
      </c>
      <c r="E43" s="5"/>
      <c r="F43" s="5"/>
      <c r="G43" s="5">
        <f>IFERROR(__xludf.DUMMYFUNCTION("""COMPUTED_VALUE"""),1.5486750595000005E8)</f>
        <v>154867506</v>
      </c>
      <c r="H43" s="5"/>
      <c r="I43" s="5" t="str">
        <f>IFERROR(__xludf.DUMMYFUNCTION("""COMPUTED_VALUE"""),"PRODUKSI")</f>
        <v>PRODUKSI</v>
      </c>
    </row>
    <row r="44">
      <c r="A44" s="8">
        <f>IFERROR(__xludf.DUMMYFUNCTION("""COMPUTED_VALUE"""),46160.0)</f>
        <v>46160</v>
      </c>
      <c r="B44" s="5" t="str">
        <f>IFERROR(__xludf.DUMMYFUNCTION("""COMPUTED_VALUE"""),"TRSF E-BANKING DB TANGGAL :17/05")</f>
        <v>TRSF E-BANKING DB TANGGAL :17/05</v>
      </c>
      <c r="C44" s="5" t="str">
        <f>IFERROR(__xludf.DUMMYFUNCTION("""COMPUTED_VALUE"""),"1705/FTSCY/WS95031 byr oleh2 SAMSUL ARIFIN")</f>
        <v>1705/FTSCY/WS95031 byr oleh2 SAMSUL ARIFIN</v>
      </c>
      <c r="D44" s="5">
        <f>IFERROR(__xludf.DUMMYFUNCTION("""COMPUTED_VALUE"""),687000.0)</f>
        <v>687000</v>
      </c>
      <c r="E44" s="5"/>
      <c r="F44" s="5" t="str">
        <f>IFERROR(__xludf.DUMMYFUNCTION("""COMPUTED_VALUE"""),"DB")</f>
        <v>DB</v>
      </c>
      <c r="G44" s="5">
        <f>IFERROR(__xludf.DUMMYFUNCTION("""COMPUTED_VALUE"""),1.5418050595000005E8)</f>
        <v>154180506</v>
      </c>
      <c r="H44" s="5"/>
      <c r="I44" s="5" t="str">
        <f>IFERROR(__xludf.DUMMYFUNCTION("""COMPUTED_VALUE"""),"PRODUKSI")</f>
        <v>PRODUKSI</v>
      </c>
    </row>
    <row r="45">
      <c r="A45" s="8">
        <f>IFERROR(__xludf.DUMMYFUNCTION("""COMPUTED_VALUE"""),46160.0)</f>
        <v>46160</v>
      </c>
      <c r="B45" s="5" t="str">
        <f>IFERROR(__xludf.DUMMYFUNCTION("""COMPUTED_VALUE"""),"TRSF E-BANKING DB")</f>
        <v>TRSF E-BANKING DB</v>
      </c>
      <c r="C45" s="5" t="str">
        <f>IFERROR(__xludf.DUMMYFUNCTION("""COMPUTED_VALUE"""),"1805/FTFVA/WS95031 73003/MAXSTREAM 20 - - 81326518324")</f>
        <v>1805/FTFVA/WS95031 73003/MAXSTREAM 20 - - 81326518324</v>
      </c>
      <c r="D45" s="5">
        <f>IFERROR(__xludf.DUMMYFUNCTION("""COMPUTED_VALUE"""),22000.0)</f>
        <v>22000</v>
      </c>
      <c r="E45" s="5"/>
      <c r="F45" s="5" t="str">
        <f>IFERROR(__xludf.DUMMYFUNCTION("""COMPUTED_VALUE"""),"DB")</f>
        <v>DB</v>
      </c>
      <c r="G45" s="5">
        <f>IFERROR(__xludf.DUMMYFUNCTION("""COMPUTED_VALUE"""),1.5415850595000005E8)</f>
        <v>154158506</v>
      </c>
      <c r="H45" s="5"/>
      <c r="I45" s="5" t="str">
        <f>IFERROR(__xludf.DUMMYFUNCTION("""COMPUTED_VALUE"""),"PRODUKSI")</f>
        <v>PRODUKSI</v>
      </c>
    </row>
    <row r="46">
      <c r="A46" s="8">
        <f>IFERROR(__xludf.DUMMYFUNCTION("""COMPUTED_VALUE"""),46160.0)</f>
        <v>46160</v>
      </c>
      <c r="B46" s="5" t="str">
        <f>IFERROR(__xludf.DUMMYFUNCTION("""COMPUTED_VALUE"""),"TRSF E-BANKING DB")</f>
        <v>TRSF E-BANKING DB</v>
      </c>
      <c r="C46" s="5" t="str">
        <f>IFERROR(__xludf.DUMMYFUNCTION("""COMPUTED_VALUE"""),"1805/FTSCY/WS95271 146000000.00 7.3 ton UNGGAS MANDIRI BER")</f>
        <v>1805/FTSCY/WS95271 146000000.00 7.3 ton UNGGAS MANDIRI BER</v>
      </c>
      <c r="D46" s="5">
        <f>IFERROR(__xludf.DUMMYFUNCTION("""COMPUTED_VALUE"""),1.46E8)</f>
        <v>146000000</v>
      </c>
      <c r="E46" s="5"/>
      <c r="F46" s="5" t="str">
        <f>IFERROR(__xludf.DUMMYFUNCTION("""COMPUTED_VALUE"""),"DB")</f>
        <v>DB</v>
      </c>
      <c r="G46" s="5">
        <f>IFERROR(__xludf.DUMMYFUNCTION("""COMPUTED_VALUE"""),8158505.950000048)</f>
        <v>8158505.95</v>
      </c>
      <c r="H46" s="5"/>
      <c r="I46" s="5" t="str">
        <f>IFERROR(__xludf.DUMMYFUNCTION("""COMPUTED_VALUE"""),"PRODUKSI")</f>
        <v>PRODUKSI</v>
      </c>
    </row>
    <row r="47">
      <c r="A47" s="8">
        <f>IFERROR(__xludf.DUMMYFUNCTION("""COMPUTED_VALUE"""),46160.0)</f>
        <v>46160</v>
      </c>
      <c r="B47" s="5" t="str">
        <f>IFERROR(__xludf.DUMMYFUNCTION("""COMPUTED_VALUE"""),"KARTU DEBIT")</f>
        <v>KARTU DEBIT</v>
      </c>
      <c r="C47" s="5" t="str">
        <f>IFERROR(__xludf.DUMMYFUNCTION("""COMPUTED_VALUE"""),"MUTIARA INDAH SEJA 6019009510239343")</f>
        <v>MUTIARA INDAH SEJA 6019009510239343</v>
      </c>
      <c r="D47" s="5">
        <f>IFERROR(__xludf.DUMMYFUNCTION("""COMPUTED_VALUE"""),160000.0)</f>
        <v>160000</v>
      </c>
      <c r="E47" s="5"/>
      <c r="F47" s="5"/>
      <c r="G47" s="5">
        <f>IFERROR(__xludf.DUMMYFUNCTION("""COMPUTED_VALUE"""),7998505.950000048)</f>
        <v>7998505.95</v>
      </c>
      <c r="H47" s="5"/>
      <c r="I47" s="5" t="str">
        <f>IFERROR(__xludf.DUMMYFUNCTION("""COMPUTED_VALUE"""),"PRODUKSI")</f>
        <v>PRODUKSI</v>
      </c>
    </row>
    <row r="48">
      <c r="A48" s="8">
        <f>IFERROR(__xludf.DUMMYFUNCTION("""COMPUTED_VALUE"""),46160.0)</f>
        <v>46160</v>
      </c>
      <c r="B48" s="5" t="str">
        <f>IFERROR(__xludf.DUMMYFUNCTION("""COMPUTED_VALUE"""),"KARTU DEBIT")</f>
        <v>KARTU DEBIT</v>
      </c>
      <c r="C48" s="5" t="str">
        <f>IFERROR(__xludf.DUMMYFUNCTION("""COMPUTED_VALUE"""),"IDM TH2N-NGAGLIK B 6019009510239343")</f>
        <v>IDM TH2N-NGAGLIK B 6019009510239343</v>
      </c>
      <c r="D48" s="5">
        <f>IFERROR(__xludf.DUMMYFUNCTION("""COMPUTED_VALUE"""),56700.0)</f>
        <v>56700</v>
      </c>
      <c r="E48" s="5"/>
      <c r="F48" s="5"/>
      <c r="G48" s="5">
        <f>IFERROR(__xludf.DUMMYFUNCTION("""COMPUTED_VALUE"""),7941805.950000048)</f>
        <v>7941805.95</v>
      </c>
      <c r="H48" s="5"/>
      <c r="I48" s="5" t="str">
        <f>IFERROR(__xludf.DUMMYFUNCTION("""COMPUTED_VALUE"""),"PRODUKSI")</f>
        <v>PRODUKSI</v>
      </c>
    </row>
    <row r="49">
      <c r="A49" s="8">
        <f>IFERROR(__xludf.DUMMYFUNCTION("""COMPUTED_VALUE"""),46160.0)</f>
        <v>46160</v>
      </c>
      <c r="B49" s="5" t="str">
        <f>IFERROR(__xludf.DUMMYFUNCTION("""COMPUTED_VALUE"""),"TRSF E-BANKING DB")</f>
        <v>TRSF E-BANKING DB</v>
      </c>
      <c r="C49" s="5" t="str">
        <f>IFERROR(__xludf.DUMMYFUNCTION("""COMPUTED_VALUE"""),"1805/FTFVA/WS95031 39010/DANA - - 82318368518")</f>
        <v>1805/FTFVA/WS95031 39010/DANA - - 82318368518</v>
      </c>
      <c r="D49" s="5">
        <f>IFERROR(__xludf.DUMMYFUNCTION("""COMPUTED_VALUE"""),502000.0)</f>
        <v>502000</v>
      </c>
      <c r="E49" s="5"/>
      <c r="F49" s="5" t="str">
        <f>IFERROR(__xludf.DUMMYFUNCTION("""COMPUTED_VALUE"""),"DB")</f>
        <v>DB</v>
      </c>
      <c r="G49" s="5">
        <f>IFERROR(__xludf.DUMMYFUNCTION("""COMPUTED_VALUE"""),7439805.950000048)</f>
        <v>7439805.95</v>
      </c>
      <c r="H49" s="5">
        <f>IFERROR(__xludf.DUMMYFUNCTION("""COMPUTED_VALUE"""),7439805.95)</f>
        <v>7439805.95</v>
      </c>
      <c r="I49" s="5" t="str">
        <f>IFERROR(__xludf.DUMMYFUNCTION("""COMPUTED_VALUE"""),"PRODUKSI")</f>
        <v>PRODUKSI</v>
      </c>
    </row>
    <row r="50">
      <c r="A50" s="8">
        <f>IFERROR(__xludf.DUMMYFUNCTION("""COMPUTED_VALUE"""),46161.0)</f>
        <v>46161</v>
      </c>
      <c r="B50" s="5" t="str">
        <f>IFERROR(__xludf.DUMMYFUNCTION("""COMPUTED_VALUE"""),"BI-FAST DB")</f>
        <v>BI-FAST DB</v>
      </c>
      <c r="C50" s="5" t="str">
        <f>IFERROR(__xludf.DUMMYFUNCTION("""COMPUTED_VALUE"""),"BIF TRANSFER KE 9 AHMAD LUTHFI FADHI M-BCA")</f>
        <v>BIF TRANSFER KE 9 AHMAD LUTHFI FADHI M-BCA</v>
      </c>
      <c r="D50" s="5">
        <f>IFERROR(__xludf.DUMMYFUNCTION("""COMPUTED_VALUE"""),65000.0)</f>
        <v>65000</v>
      </c>
      <c r="E50" s="5"/>
      <c r="F50" s="5" t="str">
        <f>IFERROR(__xludf.DUMMYFUNCTION("""COMPUTED_VALUE"""),"DB")</f>
        <v>DB</v>
      </c>
      <c r="G50" s="5">
        <f>IFERROR(__xludf.DUMMYFUNCTION("""COMPUTED_VALUE"""),7374805.950000048)</f>
        <v>7374805.95</v>
      </c>
      <c r="H50" s="5"/>
      <c r="I50" s="5" t="str">
        <f>IFERROR(__xludf.DUMMYFUNCTION("""COMPUTED_VALUE"""),"PRODUKSI")</f>
        <v>PRODUKSI</v>
      </c>
    </row>
    <row r="51">
      <c r="A51" s="8">
        <f>IFERROR(__xludf.DUMMYFUNCTION("""COMPUTED_VALUE"""),46161.0)</f>
        <v>46161</v>
      </c>
      <c r="B51" s="5" t="str">
        <f>IFERROR(__xludf.DUMMYFUNCTION("""COMPUTED_VALUE"""),"BI-FAST DB")</f>
        <v>BI-FAST DB</v>
      </c>
      <c r="C51" s="5" t="str">
        <f>IFERROR(__xludf.DUMMYFUNCTION("""COMPUTED_VALUE"""),"BIF BIAYA TXN KE 9 AHMAD LUTHFI FADHI M-BCA")</f>
        <v>BIF BIAYA TXN KE 9 AHMAD LUTHFI FADHI M-BCA</v>
      </c>
      <c r="D51" s="5">
        <f>IFERROR(__xludf.DUMMYFUNCTION("""COMPUTED_VALUE"""),2500.0)</f>
        <v>2500</v>
      </c>
      <c r="E51" s="5"/>
      <c r="F51" s="5" t="str">
        <f>IFERROR(__xludf.DUMMYFUNCTION("""COMPUTED_VALUE"""),"DB")</f>
        <v>DB</v>
      </c>
      <c r="G51" s="5">
        <f>IFERROR(__xludf.DUMMYFUNCTION("""COMPUTED_VALUE"""),7372305.950000048)</f>
        <v>7372305.95</v>
      </c>
      <c r="H51" s="5">
        <f>IFERROR(__xludf.DUMMYFUNCTION("""COMPUTED_VALUE"""),7372305.95)</f>
        <v>7372305.95</v>
      </c>
      <c r="I51" s="5" t="str">
        <f>IFERROR(__xludf.DUMMYFUNCTION("""COMPUTED_VALUE"""),"PRODUKSI")</f>
        <v>PRODUKSI</v>
      </c>
    </row>
    <row r="52">
      <c r="A52" s="8">
        <f>IFERROR(__xludf.DUMMYFUNCTION("""COMPUTED_VALUE"""),46161.0)</f>
        <v>46161</v>
      </c>
      <c r="B52" s="5" t="str">
        <f>IFERROR(__xludf.DUMMYFUNCTION("""COMPUTED_VALUE"""),"KARTU DEBIT")</f>
        <v>KARTU DEBIT</v>
      </c>
      <c r="C52" s="5" t="str">
        <f>IFERROR(__xludf.DUMMYFUNCTION("""COMPUTED_VALUE"""),"ALFAMRT M230 DSKA 6019009510239343")</f>
        <v>ALFAMRT M230 DSKA 6019009510239343</v>
      </c>
      <c r="D52" s="5">
        <f>IFERROR(__xludf.DUMMYFUNCTION("""COMPUTED_VALUE"""),585700.0)</f>
        <v>585700</v>
      </c>
      <c r="E52" s="5"/>
      <c r="F52" s="5"/>
      <c r="G52" s="5">
        <f>IFERROR(__xludf.DUMMYFUNCTION("""COMPUTED_VALUE"""),1.8247514595000005E8)</f>
        <v>182475146</v>
      </c>
      <c r="H52" s="5"/>
      <c r="I52" s="5" t="str">
        <f>IFERROR(__xludf.DUMMYFUNCTION("""COMPUTED_VALUE"""),"PRODUKSI")</f>
        <v>PRODUKSI</v>
      </c>
    </row>
    <row r="53">
      <c r="A53" s="8">
        <f>IFERROR(__xludf.DUMMYFUNCTION("""COMPUTED_VALUE"""),46161.0)</f>
        <v>46161</v>
      </c>
      <c r="B53" s="5" t="str">
        <f>IFERROR(__xludf.DUMMYFUNCTION("""COMPUTED_VALUE"""),"KARTU DEBIT")</f>
        <v>KARTU DEBIT</v>
      </c>
      <c r="C53" s="5" t="str">
        <f>IFERROR(__xludf.DUMMYFUNCTION("""COMPUTED_VALUE"""),"JATIM PARK 2 6019009510239343")</f>
        <v>JATIM PARK 2 6019009510239343</v>
      </c>
      <c r="D53" s="5">
        <f>IFERROR(__xludf.DUMMYFUNCTION("""COMPUTED_VALUE"""),675000.0)</f>
        <v>675000</v>
      </c>
      <c r="E53" s="5"/>
      <c r="F53" s="5"/>
      <c r="G53" s="5">
        <f>IFERROR(__xludf.DUMMYFUNCTION("""COMPUTED_VALUE"""),1.8180014595000005E8)</f>
        <v>181800146</v>
      </c>
      <c r="H53" s="5"/>
      <c r="I53" s="5" t="str">
        <f>IFERROR(__xludf.DUMMYFUNCTION("""COMPUTED_VALUE"""),"PRODUKSI")</f>
        <v>PRODUKSI</v>
      </c>
    </row>
    <row r="54">
      <c r="A54" s="8">
        <f>IFERROR(__xludf.DUMMYFUNCTION("""COMPUTED_VALUE"""),46161.0)</f>
        <v>46161</v>
      </c>
      <c r="B54" s="5" t="str">
        <f>IFERROR(__xludf.DUMMYFUNCTION("""COMPUTED_VALUE"""),"TRSF E-BANKING DB")</f>
        <v>TRSF E-BANKING DB</v>
      </c>
      <c r="C54" s="5" t="str">
        <f>IFERROR(__xludf.DUMMYFUNCTION("""COMPUTED_VALUE"""),"1905/FTSCY/WS95271 250000000.00 pelunasan SUPER UNGGAS JAYA")</f>
        <v>1905/FTSCY/WS95271 250000000.00 pelunasan SUPER UNGGAS JAYA</v>
      </c>
      <c r="D54" s="5">
        <f>IFERROR(__xludf.DUMMYFUNCTION("""COMPUTED_VALUE"""),2.5E8)</f>
        <v>250000000</v>
      </c>
      <c r="E54" s="5"/>
      <c r="F54" s="5" t="str">
        <f>IFERROR(__xludf.DUMMYFUNCTION("""COMPUTED_VALUE"""),"DB")</f>
        <v>DB</v>
      </c>
      <c r="G54" s="5">
        <f>IFERROR(__xludf.DUMMYFUNCTION("""COMPUTED_VALUE"""),7.269960595000005E7)</f>
        <v>72699605.95</v>
      </c>
      <c r="H54" s="5"/>
      <c r="I54" s="5" t="str">
        <f>IFERROR(__xludf.DUMMYFUNCTION("""COMPUTED_VALUE"""),"PRODUKSI")</f>
        <v>PRODUKSI</v>
      </c>
    </row>
    <row r="55">
      <c r="A55" s="8">
        <f>IFERROR(__xludf.DUMMYFUNCTION("""COMPUTED_VALUE"""),46161.0)</f>
        <v>46161</v>
      </c>
      <c r="B55" s="5" t="str">
        <f>IFERROR(__xludf.DUMMYFUNCTION("""COMPUTED_VALUE"""),"TRSF E-BANKING DB")</f>
        <v>TRSF E-BANKING DB</v>
      </c>
      <c r="C55" s="5" t="str">
        <f>IFERROR(__xludf.DUMMYFUNCTION("""COMPUTED_VALUE"""),"1905/FTSCY/WS95031 100000000.00 ANDALAN YASA MITRA")</f>
        <v>1905/FTSCY/WS95031 100000000.00 ANDALAN YASA MITRA</v>
      </c>
      <c r="D55" s="5">
        <f>IFERROR(__xludf.DUMMYFUNCTION("""COMPUTED_VALUE"""),1.0E8)</f>
        <v>100000000</v>
      </c>
      <c r="E55" s="5"/>
      <c r="F55" s="5" t="str">
        <f>IFERROR(__xludf.DUMMYFUNCTION("""COMPUTED_VALUE"""),"DB")</f>
        <v>DB</v>
      </c>
      <c r="G55" s="5">
        <f>IFERROR(__xludf.DUMMYFUNCTION("""COMPUTED_VALUE"""),4.907960595000005E7)</f>
        <v>49079605.95</v>
      </c>
      <c r="H55" s="5"/>
      <c r="I55" s="5" t="str">
        <f>IFERROR(__xludf.DUMMYFUNCTION("""COMPUTED_VALUE"""),"PRODUKSI")</f>
        <v>PRODUKSI</v>
      </c>
    </row>
    <row r="56">
      <c r="A56" s="8">
        <f>IFERROR(__xludf.DUMMYFUNCTION("""COMPUTED_VALUE"""),46161.0)</f>
        <v>46161</v>
      </c>
      <c r="B56" s="5" t="str">
        <f>IFERROR(__xludf.DUMMYFUNCTION("""COMPUTED_VALUE"""),"TRSF E-BANKING DB")</f>
        <v>TRSF E-BANKING DB</v>
      </c>
      <c r="C56" s="5" t="str">
        <f>IFERROR(__xludf.DUMMYFUNCTION("""COMPUTED_VALUE"""),"1905/FTSCY/WS95271 18540810.00 pelunasan ANDALAN YASA MITRA")</f>
        <v>1905/FTSCY/WS95271 18540810.00 pelunasan ANDALAN YASA MITRA</v>
      </c>
      <c r="D56" s="5">
        <f>IFERROR(__xludf.DUMMYFUNCTION("""COMPUTED_VALUE"""),1.854081E7)</f>
        <v>18540810</v>
      </c>
      <c r="E56" s="5"/>
      <c r="F56" s="5" t="str">
        <f>IFERROR(__xludf.DUMMYFUNCTION("""COMPUTED_VALUE"""),"DB")</f>
        <v>DB</v>
      </c>
      <c r="G56" s="5">
        <f>IFERROR(__xludf.DUMMYFUNCTION("""COMPUTED_VALUE"""),3.0538795950000048E7)</f>
        <v>30538795.95</v>
      </c>
      <c r="H56" s="5"/>
      <c r="I56" s="5" t="str">
        <f>IFERROR(__xludf.DUMMYFUNCTION("""COMPUTED_VALUE"""),"PRODUKSI")</f>
        <v>PRODUKSI</v>
      </c>
    </row>
    <row r="57">
      <c r="A57" s="8">
        <f>IFERROR(__xludf.DUMMYFUNCTION("""COMPUTED_VALUE"""),46161.0)</f>
        <v>46161</v>
      </c>
      <c r="B57" s="5" t="str">
        <f>IFERROR(__xludf.DUMMYFUNCTION("""COMPUTED_VALUE"""),"BIAYA ADM")</f>
        <v>BIAYA ADM</v>
      </c>
      <c r="C57" s="5" t="str">
        <f>IFERROR(__xludf.DUMMYFUNCTION("""COMPUTED_VALUE"""),"BIAYA ADM")</f>
        <v>BIAYA ADM</v>
      </c>
      <c r="D57" s="5">
        <f>IFERROR(__xludf.DUMMYFUNCTION("""COMPUTED_VALUE"""),19000.0)</f>
        <v>19000</v>
      </c>
      <c r="E57" s="5"/>
      <c r="F57" s="5"/>
      <c r="G57" s="5">
        <f>IFERROR(__xludf.DUMMYFUNCTION("""COMPUTED_VALUE"""),3.6584419595000005E8)</f>
        <v>365844196</v>
      </c>
      <c r="H57" s="5">
        <f>IFERROR(__xludf.DUMMYFUNCTION("""COMPUTED_VALUE"""),3.6584419595E8)</f>
        <v>365844196</v>
      </c>
      <c r="I57" s="5" t="str">
        <f>IFERROR(__xludf.DUMMYFUNCTION("""COMPUTED_VALUE"""),"PRODUKSI")</f>
        <v>PRODUKSI</v>
      </c>
    </row>
    <row r="58">
      <c r="A58" s="8">
        <f>IFERROR(__xludf.DUMMYFUNCTION("""COMPUTED_VALUE"""),46162.0)</f>
        <v>46162</v>
      </c>
      <c r="B58" s="5" t="str">
        <f>IFERROR(__xludf.DUMMYFUNCTION("""COMPUTED_VALUE"""),"TRSF E-BANKING DB")</f>
        <v>TRSF E-BANKING DB</v>
      </c>
      <c r="C58" s="5" t="str">
        <f>IFERROR(__xludf.DUMMYFUNCTION("""COMPUTED_VALUE"""),"2005/FTSCY/WS95271 62000000.00 Sun May 17 2026 14:00:00 GMT+0700 (Western Indonesia Time) BINTANG TAMA SANTO")</f>
        <v>2005/FTSCY/WS95271 62000000.00 Sun May 17 2026 14:00:00 GMT+0700 (Western Indonesia Time) BINTANG TAMA SANTO</v>
      </c>
      <c r="D58" s="5">
        <f>IFERROR(__xludf.DUMMYFUNCTION("""COMPUTED_VALUE"""),6.2E7)</f>
        <v>62000000</v>
      </c>
      <c r="E58" s="5"/>
      <c r="F58" s="5" t="str">
        <f>IFERROR(__xludf.DUMMYFUNCTION("""COMPUTED_VALUE"""),"DB")</f>
        <v>DB</v>
      </c>
      <c r="G58" s="5">
        <f>IFERROR(__xludf.DUMMYFUNCTION("""COMPUTED_VALUE"""),3.0384419595000005E8)</f>
        <v>303844196</v>
      </c>
      <c r="H58" s="5"/>
      <c r="I58" s="5" t="str">
        <f>IFERROR(__xludf.DUMMYFUNCTION("""COMPUTED_VALUE"""),"PRODUKSI")</f>
        <v>PRODUKSI</v>
      </c>
    </row>
    <row r="59">
      <c r="A59" s="8">
        <f>IFERROR(__xludf.DUMMYFUNCTION("""COMPUTED_VALUE"""),46162.0)</f>
        <v>46162</v>
      </c>
      <c r="B59" s="5" t="str">
        <f>IFERROR(__xludf.DUMMYFUNCTION("""COMPUTED_VALUE"""),"TRSF E-BANKING DB")</f>
        <v>TRSF E-BANKING DB</v>
      </c>
      <c r="C59" s="5" t="str">
        <f>IFERROR(__xludf.DUMMYFUNCTION("""COMPUTED_VALUE"""),"2005/FTSCY/WS95271 61498900.00 Mon May 18 2026 14:00:00 GMT+0700 (Western Indonesia Time) LAJU SATWA WISESA")</f>
        <v>2005/FTSCY/WS95271 61498900.00 Mon May 18 2026 14:00:00 GMT+0700 (Western Indonesia Time) LAJU SATWA WISESA</v>
      </c>
      <c r="D59" s="5">
        <f>IFERROR(__xludf.DUMMYFUNCTION("""COMPUTED_VALUE"""),6.14989E7)</f>
        <v>61498900</v>
      </c>
      <c r="E59" s="5"/>
      <c r="F59" s="5" t="str">
        <f>IFERROR(__xludf.DUMMYFUNCTION("""COMPUTED_VALUE"""),"DB")</f>
        <v>DB</v>
      </c>
      <c r="G59" s="5">
        <f>IFERROR(__xludf.DUMMYFUNCTION("""COMPUTED_VALUE"""),2.4234529595000005E8)</f>
        <v>242345296</v>
      </c>
      <c r="H59" s="5"/>
      <c r="I59" s="5" t="str">
        <f>IFERROR(__xludf.DUMMYFUNCTION("""COMPUTED_VALUE"""),"PRODUKSI")</f>
        <v>PRODUKSI</v>
      </c>
    </row>
    <row r="60">
      <c r="A60" s="8">
        <f>IFERROR(__xludf.DUMMYFUNCTION("""COMPUTED_VALUE"""),46162.0)</f>
        <v>46162</v>
      </c>
      <c r="B60" s="5" t="str">
        <f>IFERROR(__xludf.DUMMYFUNCTION("""COMPUTED_VALUE"""),"TRSF E-BANKING DB")</f>
        <v>TRSF E-BANKING DB</v>
      </c>
      <c r="C60" s="5" t="str">
        <f>IFERROR(__xludf.DUMMYFUNCTION("""COMPUTED_VALUE"""),"2005/FTSCY/WS95271 57890000.00 Mon May 18 2026 14:00:00 GMT+0700 (Western Indonesia Time) ANUGERAH KARTIKA A")</f>
        <v>2005/FTSCY/WS95271 57890000.00 Mon May 18 2026 14:00:00 GMT+0700 (Western Indonesia Time) ANUGERAH KARTIKA A</v>
      </c>
      <c r="D60" s="5">
        <f>IFERROR(__xludf.DUMMYFUNCTION("""COMPUTED_VALUE"""),5.789E7)</f>
        <v>57890000</v>
      </c>
      <c r="E60" s="5"/>
      <c r="F60" s="5" t="str">
        <f>IFERROR(__xludf.DUMMYFUNCTION("""COMPUTED_VALUE"""),"DB")</f>
        <v>DB</v>
      </c>
      <c r="G60" s="5">
        <f>IFERROR(__xludf.DUMMYFUNCTION("""COMPUTED_VALUE"""),1.8445529595000005E8)</f>
        <v>184455296</v>
      </c>
      <c r="H60" s="5">
        <f>IFERROR(__xludf.DUMMYFUNCTION("""COMPUTED_VALUE"""),1.8445529595E8)</f>
        <v>184455296</v>
      </c>
      <c r="I60" s="5" t="str">
        <f>IFERROR(__xludf.DUMMYFUNCTION("""COMPUTED_VALUE"""),"PRODUKSI")</f>
        <v>PRODUKSI</v>
      </c>
    </row>
    <row r="61">
      <c r="A61" s="8">
        <f>IFERROR(__xludf.DUMMYFUNCTION("""COMPUTED_VALUE"""),46162.0)</f>
        <v>46162</v>
      </c>
      <c r="B61" s="5" t="str">
        <f>IFERROR(__xludf.DUMMYFUNCTION("""COMPUTED_VALUE"""),"TRSF E-BANKING DB")</f>
        <v>TRSF E-BANKING DB</v>
      </c>
      <c r="C61" s="5" t="str">
        <f>IFERROR(__xludf.DUMMYFUNCTION("""COMPUTED_VALUE"""),"2005/FTSCY/WS95271 109010000.00 Mon May 18 2026 14:00:00 GMT+0700 (Western Indonesia Time) BINTANG TAMA SANTO")</f>
        <v>2005/FTSCY/WS95271 109010000.00 Mon May 18 2026 14:00:00 GMT+0700 (Western Indonesia Time) BINTANG TAMA SANTO</v>
      </c>
      <c r="D61" s="5">
        <f>IFERROR(__xludf.DUMMYFUNCTION("""COMPUTED_VALUE"""),1.0901E8)</f>
        <v>109010000</v>
      </c>
      <c r="E61" s="5"/>
      <c r="F61" s="5" t="str">
        <f>IFERROR(__xludf.DUMMYFUNCTION("""COMPUTED_VALUE"""),"DB")</f>
        <v>DB</v>
      </c>
      <c r="G61" s="5">
        <f>IFERROR(__xludf.DUMMYFUNCTION("""COMPUTED_VALUE"""),7.544529595000005E7)</f>
        <v>75445295.95</v>
      </c>
      <c r="H61" s="5">
        <f>IFERROR(__xludf.DUMMYFUNCTION("""COMPUTED_VALUE"""),7.544529595E7)</f>
        <v>75445295.95</v>
      </c>
      <c r="I61" s="5" t="str">
        <f>IFERROR(__xludf.DUMMYFUNCTION("""COMPUTED_VALUE"""),"PRODUKSI")</f>
        <v>PRODUKSI</v>
      </c>
    </row>
    <row r="62">
      <c r="A62" s="8">
        <f>IFERROR(__xludf.DUMMYFUNCTION("""COMPUTED_VALUE"""),46162.0)</f>
        <v>46162</v>
      </c>
      <c r="B62" s="5" t="str">
        <f>IFERROR(__xludf.DUMMYFUNCTION("""COMPUTED_VALUE"""),"TRSF E-BANKING DB")</f>
        <v>TRSF E-BANKING DB</v>
      </c>
      <c r="C62" s="5" t="str">
        <f>IFERROR(__xludf.DUMMYFUNCTION("""COMPUTED_VALUE"""),"2005/FTSCY/WS95031 10000000.00 pelunasan BINTANG TAMA SANTO")</f>
        <v>2005/FTSCY/WS95031 10000000.00 pelunasan BINTANG TAMA SANTO</v>
      </c>
      <c r="D62" s="5">
        <f>IFERROR(__xludf.DUMMYFUNCTION("""COMPUTED_VALUE"""),1.0E7)</f>
        <v>10000000</v>
      </c>
      <c r="E62" s="5"/>
      <c r="F62" s="5" t="str">
        <f>IFERROR(__xludf.DUMMYFUNCTION("""COMPUTED_VALUE"""),"DB")</f>
        <v>DB</v>
      </c>
      <c r="G62" s="5">
        <f>IFERROR(__xludf.DUMMYFUNCTION("""COMPUTED_VALUE"""),6.544529595000005E7)</f>
        <v>65445295.95</v>
      </c>
      <c r="H62" s="5"/>
      <c r="I62" s="5" t="str">
        <f>IFERROR(__xludf.DUMMYFUNCTION("""COMPUTED_VALUE"""),"PRODUKSI")</f>
        <v>PRODUKSI</v>
      </c>
    </row>
    <row r="63">
      <c r="A63" s="8">
        <f>IFERROR(__xludf.DUMMYFUNCTION("""COMPUTED_VALUE"""),46162.0)</f>
        <v>46162</v>
      </c>
      <c r="B63" s="5" t="str">
        <f>IFERROR(__xludf.DUMMYFUNCTION("""COMPUTED_VALUE"""),"TRSF E-BANKING DB")</f>
        <v>TRSF E-BANKING DB</v>
      </c>
      <c r="C63" s="5" t="str">
        <f>IFERROR(__xludf.DUMMYFUNCTION("""COMPUTED_VALUE"""),"2005/FTSCY/WS95031 48656000.00 Mon May 18 2026 14:00:00 GMT+0700 (Western Indonesia Time) ANDALAN YASA MITRA")</f>
        <v>2005/FTSCY/WS95031 48656000.00 Mon May 18 2026 14:00:00 GMT+0700 (Western Indonesia Time) ANDALAN YASA MITRA</v>
      </c>
      <c r="D63" s="5">
        <f>IFERROR(__xludf.DUMMYFUNCTION("""COMPUTED_VALUE"""),4.8656E7)</f>
        <v>48656000</v>
      </c>
      <c r="E63" s="5"/>
      <c r="F63" s="5" t="str">
        <f>IFERROR(__xludf.DUMMYFUNCTION("""COMPUTED_VALUE"""),"DB")</f>
        <v>DB</v>
      </c>
      <c r="G63" s="5">
        <f>IFERROR(__xludf.DUMMYFUNCTION("""COMPUTED_VALUE"""),1.6789295950000048E7)</f>
        <v>16789295.95</v>
      </c>
      <c r="H63" s="5"/>
      <c r="I63" s="5" t="str">
        <f>IFERROR(__xludf.DUMMYFUNCTION("""COMPUTED_VALUE"""),"PRODUKSI")</f>
        <v>PRODUKSI</v>
      </c>
    </row>
    <row r="64">
      <c r="A64" s="8">
        <f>IFERROR(__xludf.DUMMYFUNCTION("""COMPUTED_VALUE"""),46162.0)</f>
        <v>46162</v>
      </c>
      <c r="B64" s="5" t="str">
        <f>IFERROR(__xludf.DUMMYFUNCTION("""COMPUTED_VALUE"""),"TRSF E-BANKING DB")</f>
        <v>TRSF E-BANKING DB</v>
      </c>
      <c r="C64" s="5" t="str">
        <f>IFERROR(__xludf.DUMMYFUNCTION("""COMPUTED_VALUE"""),"2005/FTSCY/WS95031 750000.00 HERMAWAN")</f>
        <v>2005/FTSCY/WS95031 750000.00 HERMAWAN</v>
      </c>
      <c r="D64" s="5">
        <f>IFERROR(__xludf.DUMMYFUNCTION("""COMPUTED_VALUE"""),750000.0)</f>
        <v>750000</v>
      </c>
      <c r="E64" s="5"/>
      <c r="F64" s="5" t="str">
        <f>IFERROR(__xludf.DUMMYFUNCTION("""COMPUTED_VALUE"""),"DB")</f>
        <v>DB</v>
      </c>
      <c r="G64" s="5">
        <f>IFERROR(__xludf.DUMMYFUNCTION("""COMPUTED_VALUE"""),1.6039295950000048E7)</f>
        <v>16039295.95</v>
      </c>
      <c r="H64" s="5"/>
      <c r="I64" s="5" t="str">
        <f>IFERROR(__xludf.DUMMYFUNCTION("""COMPUTED_VALUE"""),"PRODUKSI")</f>
        <v>PRODUKSI</v>
      </c>
    </row>
    <row r="65">
      <c r="A65" s="8">
        <f>IFERROR(__xludf.DUMMYFUNCTION("""COMPUTED_VALUE"""),46162.0)</f>
        <v>46162</v>
      </c>
      <c r="B65" s="5" t="str">
        <f>IFERROR(__xludf.DUMMYFUNCTION("""COMPUTED_VALUE"""),"TRSF E-BANKING DB")</f>
        <v>TRSF E-BANKING DB</v>
      </c>
      <c r="C65" s="5" t="str">
        <f>IFERROR(__xludf.DUMMYFUNCTION("""COMPUTED_VALUE"""),"2005/FTSCY/WS95031 2077210.00 NURHAYATI")</f>
        <v>2005/FTSCY/WS95031 2077210.00 NURHAYATI</v>
      </c>
      <c r="D65" s="5">
        <f>IFERROR(__xludf.DUMMYFUNCTION("""COMPUTED_VALUE"""),2077210.0)</f>
        <v>2077210</v>
      </c>
      <c r="E65" s="5"/>
      <c r="F65" s="5" t="str">
        <f>IFERROR(__xludf.DUMMYFUNCTION("""COMPUTED_VALUE"""),"DB")</f>
        <v>DB</v>
      </c>
      <c r="G65" s="5">
        <f>IFERROR(__xludf.DUMMYFUNCTION("""COMPUTED_VALUE"""),1.3962085950000048E7)</f>
        <v>13962085.95</v>
      </c>
      <c r="H65" s="5"/>
      <c r="I65" s="5" t="str">
        <f>IFERROR(__xludf.DUMMYFUNCTION("""COMPUTED_VALUE"""),"PRODUKSI")</f>
        <v>PRODUKSI</v>
      </c>
    </row>
    <row r="66">
      <c r="A66" s="8">
        <f>IFERROR(__xludf.DUMMYFUNCTION("""COMPUTED_VALUE"""),46162.0)</f>
        <v>46162</v>
      </c>
      <c r="B66" s="5" t="str">
        <f>IFERROR(__xludf.DUMMYFUNCTION("""COMPUTED_VALUE"""),"TRSF E-BANKING DB")</f>
        <v>TRSF E-BANKING DB</v>
      </c>
      <c r="C66" s="5" t="str">
        <f>IFERROR(__xludf.DUMMYFUNCTION("""COMPUTED_VALUE"""),"2005/FTSCY/WS95031 9281300.00 EKO SETIYAWAN")</f>
        <v>2005/FTSCY/WS95031 9281300.00 EKO SETIYAWAN</v>
      </c>
      <c r="D66" s="5">
        <f>IFERROR(__xludf.DUMMYFUNCTION("""COMPUTED_VALUE"""),9281300.0)</f>
        <v>9281300</v>
      </c>
      <c r="E66" s="5"/>
      <c r="F66" s="5" t="str">
        <f>IFERROR(__xludf.DUMMYFUNCTION("""COMPUTED_VALUE"""),"DB")</f>
        <v>DB</v>
      </c>
      <c r="G66" s="5">
        <f>IFERROR(__xludf.DUMMYFUNCTION("""COMPUTED_VALUE"""),4680785.950000048)</f>
        <v>4680785.95</v>
      </c>
      <c r="H66" s="5"/>
      <c r="I66" s="5" t="str">
        <f>IFERROR(__xludf.DUMMYFUNCTION("""COMPUTED_VALUE"""),"PRODUKSI")</f>
        <v>PRODUKSI</v>
      </c>
    </row>
    <row r="67">
      <c r="A67" s="8">
        <f>IFERROR(__xludf.DUMMYFUNCTION("""COMPUTED_VALUE"""),46162.0)</f>
        <v>46162</v>
      </c>
      <c r="B67" s="5" t="str">
        <f>IFERROR(__xludf.DUMMYFUNCTION("""COMPUTED_VALUE"""),"BYR VIA E-BANKING")</f>
        <v>BYR VIA E-BANKING</v>
      </c>
      <c r="C67" s="5" t="str">
        <f>IFERROR(__xludf.DUMMYFUNCTION("""COMPUTED_VALUE"""),"20/05  WSID9503102 1220 TELKOMSEL 82318368518 MUHAMMAD HAIRUL MA")</f>
        <v>20/05  WSID9503102 1220 TELKOMSEL 82318368518 MUHAMMAD HAIRUL MA</v>
      </c>
      <c r="D67" s="5">
        <f>IFERROR(__xludf.DUMMYFUNCTION("""COMPUTED_VALUE"""),152000.0)</f>
        <v>152000</v>
      </c>
      <c r="E67" s="5"/>
      <c r="F67" s="5"/>
      <c r="G67" s="5">
        <f>IFERROR(__xludf.DUMMYFUNCTION("""COMPUTED_VALUE"""),4528785.950000048)</f>
        <v>4528785.95</v>
      </c>
      <c r="H67" s="5"/>
      <c r="I67" s="5" t="str">
        <f>IFERROR(__xludf.DUMMYFUNCTION("""COMPUTED_VALUE"""),"PRODUKSI")</f>
        <v>PRODUKSI</v>
      </c>
    </row>
    <row r="68">
      <c r="A68" s="8">
        <f>IFERROR(__xludf.DUMMYFUNCTION("""COMPUTED_VALUE"""),46162.0)</f>
        <v>46162</v>
      </c>
      <c r="B68" s="5" t="str">
        <f>IFERROR(__xludf.DUMMYFUNCTION("""COMPUTED_VALUE"""),"TRSF E-BANKING DB")</f>
        <v>TRSF E-BANKING DB</v>
      </c>
      <c r="C68" s="5" t="str">
        <f>IFERROR(__xludf.DUMMYFUNCTION("""COMPUTED_VALUE"""),"2005/FTSCY/WS95011 413364790.00 Mon May 18 2026 14:00:00 GMT+0700 (Western Indonesia Time) SUPER UNGGAS JAYA")</f>
        <v>2005/FTSCY/WS95011 413364790.00 Mon May 18 2026 14:00:00 GMT+0700 (Western Indonesia Time) SUPER UNGGAS JAYA</v>
      </c>
      <c r="D68" s="5">
        <f>IFERROR(__xludf.DUMMYFUNCTION("""COMPUTED_VALUE"""),4.1336479E8)</f>
        <v>413364790</v>
      </c>
      <c r="E68" s="5"/>
      <c r="F68" s="5" t="str">
        <f>IFERROR(__xludf.DUMMYFUNCTION("""COMPUTED_VALUE"""),"DB")</f>
        <v>DB</v>
      </c>
      <c r="G68" s="5">
        <f>IFERROR(__xludf.DUMMYFUNCTION("""COMPUTED_VALUE"""),2.3765495595000005E8)</f>
        <v>237654956</v>
      </c>
      <c r="H68" s="5"/>
      <c r="I68" s="5" t="str">
        <f>IFERROR(__xludf.DUMMYFUNCTION("""COMPUTED_VALUE"""),"PRODUKSI")</f>
        <v>PRODUKSI</v>
      </c>
    </row>
    <row r="69">
      <c r="A69" s="8">
        <f>IFERROR(__xludf.DUMMYFUNCTION("""COMPUTED_VALUE"""),46162.0)</f>
        <v>46162</v>
      </c>
      <c r="B69" s="5" t="str">
        <f>IFERROR(__xludf.DUMMYFUNCTION("""COMPUTED_VALUE"""),"TRSF E-BANKING DB")</f>
        <v>TRSF E-BANKING DB</v>
      </c>
      <c r="C69" s="5" t="str">
        <f>IFERROR(__xludf.DUMMYFUNCTION("""COMPUTED_VALUE"""),"2005/FTSCY/WS95011 71050000.00 Tue May 19 2026 14:00:00 GMT+0700 (Western Indonesia Time) ANDALAN YASA MITRA")</f>
        <v>2005/FTSCY/WS95011 71050000.00 Tue May 19 2026 14:00:00 GMT+0700 (Western Indonesia Time) ANDALAN YASA MITRA</v>
      </c>
      <c r="D69" s="5">
        <f>IFERROR(__xludf.DUMMYFUNCTION("""COMPUTED_VALUE"""),7.105E7)</f>
        <v>71050000</v>
      </c>
      <c r="E69" s="5"/>
      <c r="F69" s="5" t="str">
        <f>IFERROR(__xludf.DUMMYFUNCTION("""COMPUTED_VALUE"""),"DB")</f>
        <v>DB</v>
      </c>
      <c r="G69" s="5">
        <f>IFERROR(__xludf.DUMMYFUNCTION("""COMPUTED_VALUE"""),1.6660495595000005E8)</f>
        <v>166604956</v>
      </c>
      <c r="H69" s="5"/>
      <c r="I69" s="5" t="str">
        <f>IFERROR(__xludf.DUMMYFUNCTION("""COMPUTED_VALUE"""),"PRODUKSI")</f>
        <v>PRODUKSI</v>
      </c>
    </row>
    <row r="70">
      <c r="A70" s="8">
        <f>IFERROR(__xludf.DUMMYFUNCTION("""COMPUTED_VALUE"""),46163.0)</f>
        <v>46163</v>
      </c>
      <c r="B70" s="5" t="str">
        <f>IFERROR(__xludf.DUMMYFUNCTION("""COMPUTED_VALUE"""),"TRSF E-BANKING DB")</f>
        <v>TRSF E-BANKING DB</v>
      </c>
      <c r="C70" s="5" t="str">
        <f>IFERROR(__xludf.DUMMYFUNCTION("""COMPUTED_VALUE"""),"2105/FTSCY/WS95031 53013000.00 Tue May 19 2026 14:00:00 GMT+0700 (Western Indonesia Time) BINTANG TAMA SANTO")</f>
        <v>2105/FTSCY/WS95031 53013000.00 Tue May 19 2026 14:00:00 GMT+0700 (Western Indonesia Time) BINTANG TAMA SANTO</v>
      </c>
      <c r="D70" s="5">
        <f>IFERROR(__xludf.DUMMYFUNCTION("""COMPUTED_VALUE"""),5.3013E7)</f>
        <v>53013000</v>
      </c>
      <c r="E70" s="5"/>
      <c r="F70" s="5" t="str">
        <f>IFERROR(__xludf.DUMMYFUNCTION("""COMPUTED_VALUE"""),"DB")</f>
        <v>DB</v>
      </c>
      <c r="G70" s="5">
        <f>IFERROR(__xludf.DUMMYFUNCTION("""COMPUTED_VALUE"""),1.3009445595000005E8)</f>
        <v>130094456</v>
      </c>
      <c r="H70" s="5">
        <f>IFERROR(__xludf.DUMMYFUNCTION("""COMPUTED_VALUE"""),1.3009445595E8)</f>
        <v>130094456</v>
      </c>
      <c r="I70" s="5" t="str">
        <f>IFERROR(__xludf.DUMMYFUNCTION("""COMPUTED_VALUE"""),"PRODUKSI")</f>
        <v>PRODUKSI</v>
      </c>
    </row>
    <row r="71">
      <c r="A71" s="8">
        <f>IFERROR(__xludf.DUMMYFUNCTION("""COMPUTED_VALUE"""),46163.0)</f>
        <v>46163</v>
      </c>
      <c r="B71" s="5" t="str">
        <f>IFERROR(__xludf.DUMMYFUNCTION("""COMPUTED_VALUE"""),"TRSF E-BANKING DB")</f>
        <v>TRSF E-BANKING DB</v>
      </c>
      <c r="C71" s="5" t="str">
        <f>IFERROR(__xludf.DUMMYFUNCTION("""COMPUTED_VALUE"""),"2105/FTSCY/WS95271 120421530.00 19/05 krg 20 jt BROILER MAKMUR TAN")</f>
        <v>2105/FTSCY/WS95271 120421530.00 19/05 krg 20 jt BROILER MAKMUR TAN</v>
      </c>
      <c r="D71" s="5">
        <f>IFERROR(__xludf.DUMMYFUNCTION("""COMPUTED_VALUE"""),1.2042153E8)</f>
        <v>120421530</v>
      </c>
      <c r="E71" s="5"/>
      <c r="F71" s="5" t="str">
        <f>IFERROR(__xludf.DUMMYFUNCTION("""COMPUTED_VALUE"""),"DB")</f>
        <v>DB</v>
      </c>
      <c r="G71" s="5">
        <f>IFERROR(__xludf.DUMMYFUNCTION("""COMPUTED_VALUE"""),9672925.950000048)</f>
        <v>9672925.95</v>
      </c>
      <c r="H71" s="5"/>
      <c r="I71" s="5" t="str">
        <f>IFERROR(__xludf.DUMMYFUNCTION("""COMPUTED_VALUE"""),"PRODUKSI")</f>
        <v>PRODUKSI</v>
      </c>
    </row>
    <row r="72">
      <c r="A72" s="8">
        <f>IFERROR(__xludf.DUMMYFUNCTION("""COMPUTED_VALUE"""),46163.0)</f>
        <v>46163</v>
      </c>
      <c r="B72" s="5" t="str">
        <f>IFERROR(__xludf.DUMMYFUNCTION("""COMPUTED_VALUE"""),"TRSF E-BANKING DB")</f>
        <v>TRSF E-BANKING DB</v>
      </c>
      <c r="C72" s="5" t="str">
        <f>IFERROR(__xludf.DUMMYFUNCTION("""COMPUTED_VALUE"""),"2105/FTSCY/WS95031 2338980.00 MUJIANTO")</f>
        <v>2105/FTSCY/WS95031 2338980.00 MUJIANTO</v>
      </c>
      <c r="D72" s="5">
        <f>IFERROR(__xludf.DUMMYFUNCTION("""COMPUTED_VALUE"""),2338980.0)</f>
        <v>2338980</v>
      </c>
      <c r="E72" s="5"/>
      <c r="F72" s="5" t="str">
        <f>IFERROR(__xludf.DUMMYFUNCTION("""COMPUTED_VALUE"""),"DB")</f>
        <v>DB</v>
      </c>
      <c r="G72" s="5">
        <f>IFERROR(__xludf.DUMMYFUNCTION("""COMPUTED_VALUE"""),7333945.950000048)</f>
        <v>7333945.95</v>
      </c>
      <c r="H72" s="5"/>
      <c r="I72" s="5" t="str">
        <f>IFERROR(__xludf.DUMMYFUNCTION("""COMPUTED_VALUE"""),"PRODUKSI")</f>
        <v>PRODUKSI</v>
      </c>
    </row>
    <row r="73">
      <c r="A73" s="8">
        <f>IFERROR(__xludf.DUMMYFUNCTION("""COMPUTED_VALUE"""),46163.0)</f>
        <v>46163</v>
      </c>
      <c r="B73" s="5" t="str">
        <f>IFERROR(__xludf.DUMMYFUNCTION("""COMPUTED_VALUE"""),"TRSF E-BANKING DB")</f>
        <v>TRSF E-BANKING DB</v>
      </c>
      <c r="C73" s="5" t="str">
        <f>IFERROR(__xludf.DUMMYFUNCTION("""COMPUTED_VALUE"""),"2105/FTSCY/WS95031 1978300.00 HERMAWAN")</f>
        <v>2105/FTSCY/WS95031 1978300.00 HERMAWAN</v>
      </c>
      <c r="D73" s="5">
        <f>IFERROR(__xludf.DUMMYFUNCTION("""COMPUTED_VALUE"""),1978300.0)</f>
        <v>1978300</v>
      </c>
      <c r="E73" s="5"/>
      <c r="F73" s="5" t="str">
        <f>IFERROR(__xludf.DUMMYFUNCTION("""COMPUTED_VALUE"""),"DB")</f>
        <v>DB</v>
      </c>
      <c r="G73" s="5">
        <f>IFERROR(__xludf.DUMMYFUNCTION("""COMPUTED_VALUE"""),5355645.950000048)</f>
        <v>5355645.95</v>
      </c>
      <c r="H73" s="5"/>
      <c r="I73" s="5" t="str">
        <f>IFERROR(__xludf.DUMMYFUNCTION("""COMPUTED_VALUE"""),"PRODUKSI")</f>
        <v>PRODUKSI</v>
      </c>
    </row>
    <row r="74">
      <c r="A74" s="8">
        <f>IFERROR(__xludf.DUMMYFUNCTION("""COMPUTED_VALUE"""),46163.0)</f>
        <v>46163</v>
      </c>
      <c r="B74" s="5" t="str">
        <f>IFERROR(__xludf.DUMMYFUNCTION("""COMPUTED_VALUE"""),"TRSF E-BANKING DB")</f>
        <v>TRSF E-BANKING DB</v>
      </c>
      <c r="C74" s="5" t="str">
        <f>IFERROR(__xludf.DUMMYFUNCTION("""COMPUTED_VALUE"""),"2105/FTSCY/WS95031 2874500.00 NURHAYATI")</f>
        <v>2105/FTSCY/WS95031 2874500.00 NURHAYATI</v>
      </c>
      <c r="D74" s="5">
        <f>IFERROR(__xludf.DUMMYFUNCTION("""COMPUTED_VALUE"""),2874500.0)</f>
        <v>2874500</v>
      </c>
      <c r="E74" s="5"/>
      <c r="F74" s="5" t="str">
        <f>IFERROR(__xludf.DUMMYFUNCTION("""COMPUTED_VALUE"""),"DB")</f>
        <v>DB</v>
      </c>
      <c r="G74" s="5">
        <f>IFERROR(__xludf.DUMMYFUNCTION("""COMPUTED_VALUE"""),2481145.9500000477)</f>
        <v>2481145.95</v>
      </c>
      <c r="H74" s="5"/>
      <c r="I74" s="5" t="str">
        <f>IFERROR(__xludf.DUMMYFUNCTION("""COMPUTED_VALUE"""),"PRODUKSI")</f>
        <v>PRODUKSI</v>
      </c>
    </row>
    <row r="75">
      <c r="A75" s="8">
        <f>IFERROR(__xludf.DUMMYFUNCTION("""COMPUTED_VALUE"""),46163.0)</f>
        <v>46163</v>
      </c>
      <c r="B75" s="5" t="str">
        <f>IFERROR(__xludf.DUMMYFUNCTION("""COMPUTED_VALUE"""),"BI-FAST DB")</f>
        <v>BI-FAST DB</v>
      </c>
      <c r="C75" s="5" t="str">
        <f>IFERROR(__xludf.DUMMYFUNCTION("""COMPUTED_VALUE"""),"BIF TRANSFER KE 2 FAJAR ANDREANZAH M-BCA")</f>
        <v>BIF TRANSFER KE 2 FAJAR ANDREANZAH M-BCA</v>
      </c>
      <c r="D75" s="5">
        <f>IFERROR(__xludf.DUMMYFUNCTION("""COMPUTED_VALUE"""),1675620.0)</f>
        <v>1675620</v>
      </c>
      <c r="E75" s="5"/>
      <c r="F75" s="5" t="str">
        <f>IFERROR(__xludf.DUMMYFUNCTION("""COMPUTED_VALUE"""),"DB")</f>
        <v>DB</v>
      </c>
      <c r="G75" s="5">
        <f>IFERROR(__xludf.DUMMYFUNCTION("""COMPUTED_VALUE"""),805525.9500000477)</f>
        <v>805525.95</v>
      </c>
      <c r="H75" s="5"/>
      <c r="I75" s="5" t="str">
        <f>IFERROR(__xludf.DUMMYFUNCTION("""COMPUTED_VALUE"""),"PRODUKSI")</f>
        <v>PRODUKSI</v>
      </c>
    </row>
    <row r="76">
      <c r="A76" s="8">
        <f>IFERROR(__xludf.DUMMYFUNCTION("""COMPUTED_VALUE"""),46163.0)</f>
        <v>46163</v>
      </c>
      <c r="B76" s="5" t="str">
        <f>IFERROR(__xludf.DUMMYFUNCTION("""COMPUTED_VALUE"""),"BI-FAST DB")</f>
        <v>BI-FAST DB</v>
      </c>
      <c r="C76" s="5" t="str">
        <f>IFERROR(__xludf.DUMMYFUNCTION("""COMPUTED_VALUE"""),"BIF BIAYA TXN KE 2 FAJAR ANDREANZAH M-BCA")</f>
        <v>BIF BIAYA TXN KE 2 FAJAR ANDREANZAH M-BCA</v>
      </c>
      <c r="D76" s="5">
        <f>IFERROR(__xludf.DUMMYFUNCTION("""COMPUTED_VALUE"""),2500.0)</f>
        <v>2500</v>
      </c>
      <c r="E76" s="5"/>
      <c r="F76" s="5" t="str">
        <f>IFERROR(__xludf.DUMMYFUNCTION("""COMPUTED_VALUE"""),"DB")</f>
        <v>DB</v>
      </c>
      <c r="G76" s="5">
        <f>IFERROR(__xludf.DUMMYFUNCTION("""COMPUTED_VALUE"""),803025.9500000477)</f>
        <v>803025.95</v>
      </c>
      <c r="H76" s="5"/>
      <c r="I76" s="5" t="str">
        <f>IFERROR(__xludf.DUMMYFUNCTION("""COMPUTED_VALUE"""),"PRODUKSI")</f>
        <v>PRODUKSI</v>
      </c>
    </row>
    <row r="77">
      <c r="A77" s="8">
        <f>IFERROR(__xludf.DUMMYFUNCTION("""COMPUTED_VALUE"""),46163.0)</f>
        <v>46163</v>
      </c>
      <c r="B77" s="5" t="str">
        <f>IFERROR(__xludf.DUMMYFUNCTION("""COMPUTED_VALUE"""),"BI-FAST DB")</f>
        <v>BI-FAST DB</v>
      </c>
      <c r="C77" s="5" t="str">
        <f>IFERROR(__xludf.DUMMYFUNCTION("""COMPUTED_VALUE"""),"BIF TRANSFER KE 8 MISWATI M-BCA")</f>
        <v>BIF TRANSFER KE 8 MISWATI M-BCA</v>
      </c>
      <c r="D77" s="5">
        <f>IFERROR(__xludf.DUMMYFUNCTION("""COMPUTED_VALUE"""),300000.0)</f>
        <v>300000</v>
      </c>
      <c r="E77" s="5"/>
      <c r="F77" s="5" t="str">
        <f>IFERROR(__xludf.DUMMYFUNCTION("""COMPUTED_VALUE"""),"DB")</f>
        <v>DB</v>
      </c>
      <c r="G77" s="5">
        <f>IFERROR(__xludf.DUMMYFUNCTION("""COMPUTED_VALUE"""),503025.9500000477)</f>
        <v>503025.95</v>
      </c>
      <c r="H77" s="5"/>
      <c r="I77" s="5" t="str">
        <f>IFERROR(__xludf.DUMMYFUNCTION("""COMPUTED_VALUE"""),"PRODUKSI")</f>
        <v>PRODUKSI</v>
      </c>
    </row>
    <row r="78">
      <c r="A78" s="8">
        <f>IFERROR(__xludf.DUMMYFUNCTION("""COMPUTED_VALUE"""),46163.0)</f>
        <v>46163</v>
      </c>
      <c r="B78" s="5" t="str">
        <f>IFERROR(__xludf.DUMMYFUNCTION("""COMPUTED_VALUE"""),"BI-FAST DB")</f>
        <v>BI-FAST DB</v>
      </c>
      <c r="C78" s="5" t="str">
        <f>IFERROR(__xludf.DUMMYFUNCTION("""COMPUTED_VALUE"""),"BIF BIAYA TXN KE 8 MISWATI M-BCA")</f>
        <v>BIF BIAYA TXN KE 8 MISWATI M-BCA</v>
      </c>
      <c r="D78" s="5">
        <f>IFERROR(__xludf.DUMMYFUNCTION("""COMPUTED_VALUE"""),2500.0)</f>
        <v>2500</v>
      </c>
      <c r="E78" s="5"/>
      <c r="F78" s="5" t="str">
        <f>IFERROR(__xludf.DUMMYFUNCTION("""COMPUTED_VALUE"""),"DB")</f>
        <v>DB</v>
      </c>
      <c r="G78" s="5">
        <f>IFERROR(__xludf.DUMMYFUNCTION("""COMPUTED_VALUE"""),500525.9500000477)</f>
        <v>500525.95</v>
      </c>
      <c r="H78" s="5">
        <f>IFERROR(__xludf.DUMMYFUNCTION("""COMPUTED_VALUE"""),500525.95)</f>
        <v>500525.95</v>
      </c>
      <c r="I78" s="5" t="str">
        <f>IFERROR(__xludf.DUMMYFUNCTION("""COMPUTED_VALUE"""),"PRODUKSI")</f>
        <v>PRODUKSI</v>
      </c>
    </row>
    <row r="79">
      <c r="A79" s="8">
        <f>IFERROR(__xludf.DUMMYFUNCTION("""COMPUTED_VALUE"""),46164.0)</f>
        <v>46164</v>
      </c>
      <c r="B79" s="5" t="str">
        <f>IFERROR(__xludf.DUMMYFUNCTION("""COMPUTED_VALUE"""),"TRSF E-BANKING DB")</f>
        <v>TRSF E-BANKING DB</v>
      </c>
      <c r="C79" s="5" t="str">
        <f>IFERROR(__xludf.DUMMYFUNCTION("""COMPUTED_VALUE"""),"2205/FTSCY/WS95031 16341500.00 Tue May 19 2026 14:00:00 GMT+0700 (Western Indonesia Time) ANDALAN YASA MITRA")</f>
        <v>2205/FTSCY/WS95031 16341500.00 Tue May 19 2026 14:00:00 GMT+0700 (Western Indonesia Time) ANDALAN YASA MITRA</v>
      </c>
      <c r="D79" s="5">
        <f>IFERROR(__xludf.DUMMYFUNCTION("""COMPUTED_VALUE"""),1.63415E7)</f>
        <v>16341500</v>
      </c>
      <c r="E79" s="5"/>
      <c r="F79" s="5" t="str">
        <f>IFERROR(__xludf.DUMMYFUNCTION("""COMPUTED_VALUE"""),"DB")</f>
        <v>DB</v>
      </c>
      <c r="G79" s="5">
        <f>IFERROR(__xludf.DUMMYFUNCTION("""COMPUTED_VALUE"""),3.2297151595000005E8)</f>
        <v>322971516</v>
      </c>
      <c r="H79" s="5">
        <f>IFERROR(__xludf.DUMMYFUNCTION("""COMPUTED_VALUE"""),3.2297151595E8)</f>
        <v>322971516</v>
      </c>
      <c r="I79" s="5" t="str">
        <f>IFERROR(__xludf.DUMMYFUNCTION("""COMPUTED_VALUE"""),"PRODUKSI")</f>
        <v>PRODUKSI</v>
      </c>
    </row>
    <row r="80">
      <c r="A80" s="8">
        <f>IFERROR(__xludf.DUMMYFUNCTION("""COMPUTED_VALUE"""),46164.0)</f>
        <v>46164</v>
      </c>
      <c r="B80" s="5" t="str">
        <f>IFERROR(__xludf.DUMMYFUNCTION("""COMPUTED_VALUE"""),"TRSF E-BANKING DB")</f>
        <v>TRSF E-BANKING DB</v>
      </c>
      <c r="C80" s="5" t="str">
        <f>IFERROR(__xludf.DUMMYFUNCTION("""COMPUTED_VALUE"""),"2205/FTSCY/WS95031 72148950.00 magetan SUPER UNGGAS JAYA")</f>
        <v>2205/FTSCY/WS95031 72148950.00 magetan SUPER UNGGAS JAYA</v>
      </c>
      <c r="D80" s="5">
        <f>IFERROR(__xludf.DUMMYFUNCTION("""COMPUTED_VALUE"""),7.214895E7)</f>
        <v>72148950</v>
      </c>
      <c r="E80" s="5"/>
      <c r="F80" s="5" t="str">
        <f>IFERROR(__xludf.DUMMYFUNCTION("""COMPUTED_VALUE"""),"DB")</f>
        <v>DB</v>
      </c>
      <c r="G80" s="5">
        <f>IFERROR(__xludf.DUMMYFUNCTION("""COMPUTED_VALUE"""),2.5082256595000005E8)</f>
        <v>250822566</v>
      </c>
      <c r="H80" s="5">
        <f>IFERROR(__xludf.DUMMYFUNCTION("""COMPUTED_VALUE"""),2.5082256595E8)</f>
        <v>250822566</v>
      </c>
      <c r="I80" s="5" t="str">
        <f>IFERROR(__xludf.DUMMYFUNCTION("""COMPUTED_VALUE"""),"PRODUKSI")</f>
        <v>PRODUKSI</v>
      </c>
    </row>
    <row r="81">
      <c r="A81" s="8">
        <f>IFERROR(__xludf.DUMMYFUNCTION("""COMPUTED_VALUE"""),46164.0)</f>
        <v>46164</v>
      </c>
      <c r="B81" s="5" t="str">
        <f>IFERROR(__xludf.DUMMYFUNCTION("""COMPUTED_VALUE"""),"TRSF E-BANKING DB")</f>
        <v>TRSF E-BANKING DB</v>
      </c>
      <c r="C81" s="5" t="str">
        <f>IFERROR(__xludf.DUMMYFUNCTION("""COMPUTED_VALUE"""),"2205/FTSCY/WS95031 37000.00 DESI NOURMA EKA WU")</f>
        <v>2205/FTSCY/WS95031 37000.00 DESI NOURMA EKA WU</v>
      </c>
      <c r="D81" s="5">
        <f>IFERROR(__xludf.DUMMYFUNCTION("""COMPUTED_VALUE"""),37000.0)</f>
        <v>37000</v>
      </c>
      <c r="E81" s="5"/>
      <c r="F81" s="5" t="str">
        <f>IFERROR(__xludf.DUMMYFUNCTION("""COMPUTED_VALUE"""),"DB")</f>
        <v>DB</v>
      </c>
      <c r="G81" s="5">
        <f>IFERROR(__xludf.DUMMYFUNCTION("""COMPUTED_VALUE"""),2.5078556595000005E8)</f>
        <v>250785566</v>
      </c>
      <c r="H81" s="5"/>
      <c r="I81" s="5" t="str">
        <f>IFERROR(__xludf.DUMMYFUNCTION("""COMPUTED_VALUE"""),"PRODUKSI")</f>
        <v>PRODUKSI</v>
      </c>
    </row>
    <row r="82">
      <c r="A82" s="8">
        <f>IFERROR(__xludf.DUMMYFUNCTION("""COMPUTED_VALUE"""),46164.0)</f>
        <v>46164</v>
      </c>
      <c r="B82" s="5" t="str">
        <f>IFERROR(__xludf.DUMMYFUNCTION("""COMPUTED_VALUE"""),"TRSF E-BANKING DB")</f>
        <v>TRSF E-BANKING DB</v>
      </c>
      <c r="C82" s="5" t="str">
        <f>IFERROR(__xludf.DUMMYFUNCTION("""COMPUTED_VALUE"""),"2205/FTSCY/WS95271 20000000.00 EKO SETIYAWAN")</f>
        <v>2205/FTSCY/WS95271 20000000.00 EKO SETIYAWAN</v>
      </c>
      <c r="D82" s="5">
        <f>IFERROR(__xludf.DUMMYFUNCTION("""COMPUTED_VALUE"""),2.0E7)</f>
        <v>20000000</v>
      </c>
      <c r="E82" s="5"/>
      <c r="F82" s="5" t="str">
        <f>IFERROR(__xludf.DUMMYFUNCTION("""COMPUTED_VALUE"""),"DB")</f>
        <v>DB</v>
      </c>
      <c r="G82" s="5">
        <f>IFERROR(__xludf.DUMMYFUNCTION("""COMPUTED_VALUE"""),2.3078556595000005E8)</f>
        <v>230785566</v>
      </c>
      <c r="H82" s="5"/>
      <c r="I82" s="5" t="str">
        <f>IFERROR(__xludf.DUMMYFUNCTION("""COMPUTED_VALUE"""),"PRODUKSI")</f>
        <v>PRODUKSI</v>
      </c>
    </row>
    <row r="83">
      <c r="A83" s="8">
        <f>IFERROR(__xludf.DUMMYFUNCTION("""COMPUTED_VALUE"""),46164.0)</f>
        <v>46164</v>
      </c>
      <c r="B83" s="5" t="str">
        <f>IFERROR(__xludf.DUMMYFUNCTION("""COMPUTED_VALUE"""),"TRSF E-BANKING DB")</f>
        <v>TRSF E-BANKING DB</v>
      </c>
      <c r="C83" s="5" t="str">
        <f>IFERROR(__xludf.DUMMYFUNCTION("""COMPUTED_VALUE"""),"2205/FTFVA/WS95031 55569/PT PRIMA FAJ lmjg 3.5 ton - 40190")</f>
        <v>2205/FTFVA/WS95031 55569/PT PRIMA FAJ lmjg 3.5 ton - 40190</v>
      </c>
      <c r="D83" s="5">
        <f>IFERROR(__xludf.DUMMYFUNCTION("""COMPUTED_VALUE"""),7.247235E7)</f>
        <v>72472350</v>
      </c>
      <c r="E83" s="5"/>
      <c r="F83" s="5" t="str">
        <f>IFERROR(__xludf.DUMMYFUNCTION("""COMPUTED_VALUE"""),"DB")</f>
        <v>DB</v>
      </c>
      <c r="G83" s="5">
        <f>IFERROR(__xludf.DUMMYFUNCTION("""COMPUTED_VALUE"""),1.5831321595000005E8)</f>
        <v>158313216</v>
      </c>
      <c r="H83" s="5"/>
      <c r="I83" s="5" t="str">
        <f>IFERROR(__xludf.DUMMYFUNCTION("""COMPUTED_VALUE"""),"PRODUKSI")</f>
        <v>PRODUKSI</v>
      </c>
    </row>
    <row r="84">
      <c r="A84" s="8">
        <f>IFERROR(__xludf.DUMMYFUNCTION("""COMPUTED_VALUE"""),46164.0)</f>
        <v>46164</v>
      </c>
      <c r="B84" s="5" t="str">
        <f>IFERROR(__xludf.DUMMYFUNCTION("""COMPUTED_VALUE"""),"TRSF E-BANKING DB")</f>
        <v>TRSF E-BANKING DB</v>
      </c>
      <c r="C84" s="5" t="str">
        <f>IFERROR(__xludf.DUMMYFUNCTION("""COMPUTED_VALUE"""),"2205/FTSCY/WS95031 500000.00 MUJIANTO")</f>
        <v>2205/FTSCY/WS95031 500000.00 MUJIANTO</v>
      </c>
      <c r="D84" s="5">
        <f>IFERROR(__xludf.DUMMYFUNCTION("""COMPUTED_VALUE"""),500000.0)</f>
        <v>500000</v>
      </c>
      <c r="E84" s="5"/>
      <c r="F84" s="5" t="str">
        <f>IFERROR(__xludf.DUMMYFUNCTION("""COMPUTED_VALUE"""),"DB")</f>
        <v>DB</v>
      </c>
      <c r="G84" s="5">
        <f>IFERROR(__xludf.DUMMYFUNCTION("""COMPUTED_VALUE"""),1.5781321595000005E8)</f>
        <v>157813216</v>
      </c>
      <c r="H84" s="5"/>
      <c r="I84" s="5" t="str">
        <f>IFERROR(__xludf.DUMMYFUNCTION("""COMPUTED_VALUE"""),"PRODUKSI")</f>
        <v>PRODUKSI</v>
      </c>
    </row>
    <row r="85">
      <c r="A85" s="8">
        <f>IFERROR(__xludf.DUMMYFUNCTION("""COMPUTED_VALUE"""),46164.0)</f>
        <v>46164</v>
      </c>
      <c r="B85" s="5" t="str">
        <f>IFERROR(__xludf.DUMMYFUNCTION("""COMPUTED_VALUE"""),"TRSF E-BANKING DB")</f>
        <v>TRSF E-BANKING DB</v>
      </c>
      <c r="C85" s="5" t="str">
        <f>IFERROR(__xludf.DUMMYFUNCTION("""COMPUTED_VALUE"""),"2205/FTSCY/WS95011 350632440.00 Tue May 19 2026 14:00:00 GMT+0700 (Western Indonesia Time) SUPER UNGGAS JAYA")</f>
        <v>2205/FTSCY/WS95011 350632440.00 Tue May 19 2026 14:00:00 GMT+0700 (Western Indonesia Time) SUPER UNGGAS JAYA</v>
      </c>
      <c r="D85" s="5">
        <f>IFERROR(__xludf.DUMMYFUNCTION("""COMPUTED_VALUE"""),3.5063244E8)</f>
        <v>350632440</v>
      </c>
      <c r="E85" s="5"/>
      <c r="F85" s="5" t="str">
        <f>IFERROR(__xludf.DUMMYFUNCTION("""COMPUTED_VALUE"""),"DB")</f>
        <v>DB</v>
      </c>
      <c r="G85" s="5">
        <f>IFERROR(__xludf.DUMMYFUNCTION("""COMPUTED_VALUE"""),1.6580298595000005E8)</f>
        <v>165802986</v>
      </c>
      <c r="H85" s="5"/>
      <c r="I85" s="5" t="str">
        <f>IFERROR(__xludf.DUMMYFUNCTION("""COMPUTED_VALUE"""),"PRODUKSI")</f>
        <v>PRODUKSI</v>
      </c>
    </row>
    <row r="86">
      <c r="A86" s="8">
        <f>IFERROR(__xludf.DUMMYFUNCTION("""COMPUTED_VALUE"""),46164.0)</f>
        <v>46164</v>
      </c>
      <c r="B86" s="5" t="str">
        <f>IFERROR(__xludf.DUMMYFUNCTION("""COMPUTED_VALUE"""),"TRSF E-BANKING DB")</f>
        <v>TRSF E-BANKING DB</v>
      </c>
      <c r="C86" s="5" t="str">
        <f>IFERROR(__xludf.DUMMYFUNCTION("""COMPUTED_VALUE"""),"2205/FTSCY/WS95271 20000000.00 pelunasan BROILER MAKMUR TAN")</f>
        <v>2205/FTSCY/WS95271 20000000.00 pelunasan BROILER MAKMUR TAN</v>
      </c>
      <c r="D86" s="5">
        <f>IFERROR(__xludf.DUMMYFUNCTION("""COMPUTED_VALUE"""),2.0E7)</f>
        <v>20000000</v>
      </c>
      <c r="E86" s="5"/>
      <c r="F86" s="5" t="str">
        <f>IFERROR(__xludf.DUMMYFUNCTION("""COMPUTED_VALUE"""),"DB")</f>
        <v>DB</v>
      </c>
      <c r="G86" s="5">
        <f>IFERROR(__xludf.DUMMYFUNCTION("""COMPUTED_VALUE"""),1.4580298595000005E8)</f>
        <v>145802986</v>
      </c>
      <c r="H86" s="5">
        <f>IFERROR(__xludf.DUMMYFUNCTION("""COMPUTED_VALUE"""),1.4580298595E8)</f>
        <v>145802986</v>
      </c>
      <c r="I86" s="5" t="str">
        <f>IFERROR(__xludf.DUMMYFUNCTION("""COMPUTED_VALUE"""),"PRODUKSI")</f>
        <v>PRODUKSI</v>
      </c>
    </row>
    <row r="87">
      <c r="A87" s="8">
        <f>IFERROR(__xludf.DUMMYFUNCTION("""COMPUTED_VALUE"""),46165.0)</f>
        <v>46165</v>
      </c>
      <c r="B87" s="5" t="str">
        <f>IFERROR(__xludf.DUMMYFUNCTION("""COMPUTED_VALUE"""),"TRSF E-BANKING DB TANGGAL :22/05")</f>
        <v>TRSF E-BANKING DB TANGGAL :22/05</v>
      </c>
      <c r="C87" s="5" t="str">
        <f>IFERROR(__xludf.DUMMYFUNCTION("""COMPUTED_VALUE"""),"2205/FTSCY/WS95271 jombang HERMAWAN")</f>
        <v>2205/FTSCY/WS95271 jombang HERMAWAN</v>
      </c>
      <c r="D87" s="5">
        <f>IFERROR(__xludf.DUMMYFUNCTION("""COMPUTED_VALUE"""),1537200.0)</f>
        <v>1537200</v>
      </c>
      <c r="E87" s="5"/>
      <c r="F87" s="5" t="str">
        <f>IFERROR(__xludf.DUMMYFUNCTION("""COMPUTED_VALUE"""),"DB")</f>
        <v>DB</v>
      </c>
      <c r="G87" s="5">
        <f>IFERROR(__xludf.DUMMYFUNCTION("""COMPUTED_VALUE"""),1.4426578595000005E8)</f>
        <v>144265786</v>
      </c>
      <c r="H87" s="5"/>
      <c r="I87" s="5" t="str">
        <f>IFERROR(__xludf.DUMMYFUNCTION("""COMPUTED_VALUE"""),"PRODUKSI")</f>
        <v>PRODUKSI</v>
      </c>
    </row>
    <row r="88">
      <c r="A88" s="8">
        <f>IFERROR(__xludf.DUMMYFUNCTION("""COMPUTED_VALUE"""),46165.0)</f>
        <v>46165</v>
      </c>
      <c r="B88" s="5" t="str">
        <f>IFERROR(__xludf.DUMMYFUNCTION("""COMPUTED_VALUE"""),"TRSF E-BANKING DB TANGGAL :22/05")</f>
        <v>TRSF E-BANKING DB TANGGAL :22/05</v>
      </c>
      <c r="C88" s="5" t="str">
        <f>IFERROR(__xludf.DUMMYFUNCTION("""COMPUTED_VALUE"""),"2205/FTSCY/WS95271 krg 60 jt EKO SETIYAWAN")</f>
        <v>2205/FTSCY/WS95271 krg 60 jt EKO SETIYAWAN</v>
      </c>
      <c r="D88" s="5">
        <f>IFERROR(__xludf.DUMMYFUNCTION("""COMPUTED_VALUE"""),9357400.0)</f>
        <v>9357400</v>
      </c>
      <c r="E88" s="5"/>
      <c r="F88" s="5" t="str">
        <f>IFERROR(__xludf.DUMMYFUNCTION("""COMPUTED_VALUE"""),"DB")</f>
        <v>DB</v>
      </c>
      <c r="G88" s="5">
        <f>IFERROR(__xludf.DUMMYFUNCTION("""COMPUTED_VALUE"""),1.3490838595000005E8)</f>
        <v>134908386</v>
      </c>
      <c r="H88" s="5"/>
      <c r="I88" s="5" t="str">
        <f>IFERROR(__xludf.DUMMYFUNCTION("""COMPUTED_VALUE"""),"PRODUKSI")</f>
        <v>PRODUKSI</v>
      </c>
    </row>
    <row r="89">
      <c r="A89" s="8">
        <f>IFERROR(__xludf.DUMMYFUNCTION("""COMPUTED_VALUE"""),46165.0)</f>
        <v>46165</v>
      </c>
      <c r="B89" s="5" t="str">
        <f>IFERROR(__xludf.DUMMYFUNCTION("""COMPUTED_VALUE"""),"TRSF E-BANKING DB TANGGAL :22/05")</f>
        <v>TRSF E-BANKING DB TANGGAL :22/05</v>
      </c>
      <c r="C89" s="5" t="str">
        <f>IFERROR(__xludf.DUMMYFUNCTION("""COMPUTED_VALUE"""),"2205/FTSCY/WS95271 NURHAYATI")</f>
        <v>2205/FTSCY/WS95271 NURHAYATI</v>
      </c>
      <c r="D89" s="5">
        <f>IFERROR(__xludf.DUMMYFUNCTION("""COMPUTED_VALUE"""),1.039417E7)</f>
        <v>10394170</v>
      </c>
      <c r="E89" s="5"/>
      <c r="F89" s="5" t="str">
        <f>IFERROR(__xludf.DUMMYFUNCTION("""COMPUTED_VALUE"""),"DB")</f>
        <v>DB</v>
      </c>
      <c r="G89" s="5">
        <f>IFERROR(__xludf.DUMMYFUNCTION("""COMPUTED_VALUE"""),1.4217201595000005E8)</f>
        <v>142172016</v>
      </c>
      <c r="H89" s="5"/>
      <c r="I89" s="5" t="str">
        <f>IFERROR(__xludf.DUMMYFUNCTION("""COMPUTED_VALUE"""),"PRODUKSI")</f>
        <v>PRODUKSI</v>
      </c>
    </row>
    <row r="90">
      <c r="A90" s="8">
        <f>IFERROR(__xludf.DUMMYFUNCTION("""COMPUTED_VALUE"""),46165.0)</f>
        <v>46165</v>
      </c>
      <c r="B90" s="5" t="str">
        <f>IFERROR(__xludf.DUMMYFUNCTION("""COMPUTED_VALUE"""),"TRSF E-BANKING DB TANGGAL :22/05")</f>
        <v>TRSF E-BANKING DB TANGGAL :22/05</v>
      </c>
      <c r="C90" s="5" t="str">
        <f>IFERROR(__xludf.DUMMYFUNCTION("""COMPUTED_VALUE"""),"2205/FTSCY/WS95031 Bon SUPRIYADI")</f>
        <v>2205/FTSCY/WS95031 Bon SUPRIYADI</v>
      </c>
      <c r="D90" s="5">
        <f>IFERROR(__xludf.DUMMYFUNCTION("""COMPUTED_VALUE"""),500000.0)</f>
        <v>500000</v>
      </c>
      <c r="E90" s="5"/>
      <c r="F90" s="5" t="str">
        <f>IFERROR(__xludf.DUMMYFUNCTION("""COMPUTED_VALUE"""),"DB")</f>
        <v>DB</v>
      </c>
      <c r="G90" s="5">
        <f>IFERROR(__xludf.DUMMYFUNCTION("""COMPUTED_VALUE"""),1.4167201595000005E8)</f>
        <v>141672016</v>
      </c>
      <c r="H90" s="5">
        <f>IFERROR(__xludf.DUMMYFUNCTION("""COMPUTED_VALUE"""),1.4167201595E8)</f>
        <v>141672016</v>
      </c>
      <c r="I90" s="5" t="str">
        <f>IFERROR(__xludf.DUMMYFUNCTION("""COMPUTED_VALUE"""),"PRODUKSI")</f>
        <v>PRODUKSI</v>
      </c>
    </row>
    <row r="91">
      <c r="A91" s="8">
        <f>IFERROR(__xludf.DUMMYFUNCTION("""COMPUTED_VALUE"""),46165.0)</f>
        <v>46165</v>
      </c>
      <c r="B91" s="5" t="str">
        <f>IFERROR(__xludf.DUMMYFUNCTION("""COMPUTED_VALUE"""),"TRSF E-BANKING DB TANGGAL :22/05")</f>
        <v>TRSF E-BANKING DB TANGGAL :22/05</v>
      </c>
      <c r="C91" s="5" t="str">
        <f>IFERROR(__xludf.DUMMYFUNCTION("""COMPUTED_VALUE"""),"2205/FTSCY/WS95271 21/05 krg 26 jt BROILER MAKMUR TAN")</f>
        <v>2205/FTSCY/WS95271 21/05 krg 26 jt BROILER MAKMUR TAN</v>
      </c>
      <c r="D91" s="5">
        <f>IFERROR(__xludf.DUMMYFUNCTION("""COMPUTED_VALUE"""),1.414561E8)</f>
        <v>141456100</v>
      </c>
      <c r="E91" s="5"/>
      <c r="F91" s="5" t="str">
        <f>IFERROR(__xludf.DUMMYFUNCTION("""COMPUTED_VALUE"""),"DB")</f>
        <v>DB</v>
      </c>
      <c r="G91" s="5">
        <f>IFERROR(__xludf.DUMMYFUNCTION("""COMPUTED_VALUE"""),215915.95000004768)</f>
        <v>215915.95</v>
      </c>
      <c r="H91" s="5">
        <f>IFERROR(__xludf.DUMMYFUNCTION("""COMPUTED_VALUE"""),215915.95)</f>
        <v>215915.95</v>
      </c>
      <c r="I91" s="5" t="str">
        <f>IFERROR(__xludf.DUMMYFUNCTION("""COMPUTED_VALUE"""),"PRODUKSI")</f>
        <v>PRODUKSI</v>
      </c>
    </row>
    <row r="92">
      <c r="A92" s="8">
        <f>IFERROR(__xludf.DUMMYFUNCTION("""COMPUTED_VALUE"""),46165.0)</f>
        <v>46165</v>
      </c>
      <c r="B92" s="5" t="str">
        <f>IFERROR(__xludf.DUMMYFUNCTION("""COMPUTED_VALUE"""),"TARIKAN ATM 23/05")</f>
        <v>TARIKAN ATM 23/05</v>
      </c>
      <c r="C92" s="5" t="str">
        <f>IFERROR(__xludf.DUMMYFUNCTION("""COMPUTED_VALUE"""),"TARIKAN ATM 23/05")</f>
        <v>TARIKAN ATM 23/05</v>
      </c>
      <c r="D92" s="5">
        <f>IFERROR(__xludf.DUMMYFUNCTION("""COMPUTED_VALUE"""),150000.0)</f>
        <v>150000</v>
      </c>
      <c r="E92" s="5"/>
      <c r="F92" s="5"/>
      <c r="G92" s="5">
        <f>IFERROR(__xludf.DUMMYFUNCTION("""COMPUTED_VALUE"""),65915.95000004768)</f>
        <v>65915.95</v>
      </c>
      <c r="H92" s="5"/>
      <c r="I92" s="5" t="str">
        <f>IFERROR(__xludf.DUMMYFUNCTION("""COMPUTED_VALUE"""),"PRODUKSI")</f>
        <v>PRODUKSI</v>
      </c>
    </row>
    <row r="93">
      <c r="A93" s="8">
        <f>IFERROR(__xludf.DUMMYFUNCTION("""COMPUTED_VALUE"""),46165.0)</f>
        <v>46165</v>
      </c>
      <c r="B93" s="5" t="str">
        <f>IFERROR(__xludf.DUMMYFUNCTION("""COMPUTED_VALUE"""),"TRSF E-BANKING DB")</f>
        <v>TRSF E-BANKING DB</v>
      </c>
      <c r="C93" s="5" t="str">
        <f>IFERROR(__xludf.DUMMYFUNCTION("""COMPUTED_VALUE"""),"2305/FTSCY/WS95031 2075000.00 RIKUT NURSITA")</f>
        <v>2305/FTSCY/WS95031 2075000.00 RIKUT NURSITA</v>
      </c>
      <c r="D93" s="5">
        <f>IFERROR(__xludf.DUMMYFUNCTION("""COMPUTED_VALUE"""),2075000.0)</f>
        <v>2075000</v>
      </c>
      <c r="E93" s="5"/>
      <c r="F93" s="5" t="str">
        <f>IFERROR(__xludf.DUMMYFUNCTION("""COMPUTED_VALUE"""),"DB")</f>
        <v>DB</v>
      </c>
      <c r="G93" s="5">
        <f>IFERROR(__xludf.DUMMYFUNCTION("""COMPUTED_VALUE"""),7.8494437595E8)</f>
        <v>784944376</v>
      </c>
      <c r="H93" s="5"/>
      <c r="I93" s="5" t="str">
        <f>IFERROR(__xludf.DUMMYFUNCTION("""COMPUTED_VALUE"""),"PRODUKSI")</f>
        <v>PRODUKSI</v>
      </c>
    </row>
    <row r="94">
      <c r="A94" s="8">
        <f>IFERROR(__xludf.DUMMYFUNCTION("""COMPUTED_VALUE"""),46165.0)</f>
        <v>46165</v>
      </c>
      <c r="B94" s="5" t="str">
        <f>IFERROR(__xludf.DUMMYFUNCTION("""COMPUTED_VALUE"""),"TRSF E-BANKING DB")</f>
        <v>TRSF E-BANKING DB</v>
      </c>
      <c r="C94" s="5" t="str">
        <f>IFERROR(__xludf.DUMMYFUNCTION("""COMPUTED_VALUE"""),"2305/FTSCY/WS95271 98666500.00 Fri May 22 2026 14:00:00 GMT+0700 (Western Indonesia Time) BERLIAN UNGGUL JAY")</f>
        <v>2305/FTSCY/WS95271 98666500.00 Fri May 22 2026 14:00:00 GMT+0700 (Western Indonesia Time) BERLIAN UNGGUL JAY</v>
      </c>
      <c r="D94" s="5">
        <f>IFERROR(__xludf.DUMMYFUNCTION("""COMPUTED_VALUE"""),9.86665E7)</f>
        <v>98666500</v>
      </c>
      <c r="E94" s="5"/>
      <c r="F94" s="5" t="str">
        <f>IFERROR(__xludf.DUMMYFUNCTION("""COMPUTED_VALUE"""),"DB")</f>
        <v>DB</v>
      </c>
      <c r="G94" s="5">
        <f>IFERROR(__xludf.DUMMYFUNCTION("""COMPUTED_VALUE"""),6.8627787595E8)</f>
        <v>686277876</v>
      </c>
      <c r="H94" s="5"/>
      <c r="I94" s="5" t="str">
        <f>IFERROR(__xludf.DUMMYFUNCTION("""COMPUTED_VALUE"""),"PRODUKSI")</f>
        <v>PRODUKSI</v>
      </c>
    </row>
    <row r="95">
      <c r="A95" s="8">
        <f>IFERROR(__xludf.DUMMYFUNCTION("""COMPUTED_VALUE"""),46165.0)</f>
        <v>46165</v>
      </c>
      <c r="B95" s="5" t="str">
        <f>IFERROR(__xludf.DUMMYFUNCTION("""COMPUTED_VALUE"""),"TRSF E-BANKING DB")</f>
        <v>TRSF E-BANKING DB</v>
      </c>
      <c r="C95" s="5" t="str">
        <f>IFERROR(__xludf.DUMMYFUNCTION("""COMPUTED_VALUE"""),"2305/FTFVA/WS95031 55569/PT PRIMA FAJ pelunasan lmjg - 40190")</f>
        <v>2305/FTFVA/WS95031 55569/PT PRIMA FAJ pelunasan lmjg - 40190</v>
      </c>
      <c r="D95" s="5">
        <f>IFERROR(__xludf.DUMMYFUNCTION("""COMPUTED_VALUE"""),7039200.0)</f>
        <v>7039200</v>
      </c>
      <c r="E95" s="5"/>
      <c r="F95" s="5" t="str">
        <f>IFERROR(__xludf.DUMMYFUNCTION("""COMPUTED_VALUE"""),"DB")</f>
        <v>DB</v>
      </c>
      <c r="G95" s="5">
        <f>IFERROR(__xludf.DUMMYFUNCTION("""COMPUTED_VALUE"""),6.7923867595E8)</f>
        <v>679238676</v>
      </c>
      <c r="H95" s="5"/>
      <c r="I95" s="5" t="str">
        <f>IFERROR(__xludf.DUMMYFUNCTION("""COMPUTED_VALUE"""),"PRODUKSI")</f>
        <v>PRODUKSI</v>
      </c>
    </row>
    <row r="96">
      <c r="A96" s="8">
        <f>IFERROR(__xludf.DUMMYFUNCTION("""COMPUTED_VALUE"""),46165.0)</f>
        <v>46165</v>
      </c>
      <c r="B96" s="5" t="str">
        <f>IFERROR(__xludf.DUMMYFUNCTION("""COMPUTED_VALUE"""),"TRSF E-BANKING DB")</f>
        <v>TRSF E-BANKING DB</v>
      </c>
      <c r="C96" s="5" t="str">
        <f>IFERROR(__xludf.DUMMYFUNCTION("""COMPUTED_VALUE"""),"2305/FTSCY/WS95031 26000000.00 pelunasan BROILER MAKMUR TAN")</f>
        <v>2305/FTSCY/WS95031 26000000.00 pelunasan BROILER MAKMUR TAN</v>
      </c>
      <c r="D96" s="5">
        <f>IFERROR(__xludf.DUMMYFUNCTION("""COMPUTED_VALUE"""),2.6E7)</f>
        <v>26000000</v>
      </c>
      <c r="E96" s="5"/>
      <c r="F96" s="5" t="str">
        <f>IFERROR(__xludf.DUMMYFUNCTION("""COMPUTED_VALUE"""),"DB")</f>
        <v>DB</v>
      </c>
      <c r="G96" s="5">
        <f>IFERROR(__xludf.DUMMYFUNCTION("""COMPUTED_VALUE"""),7.3493867595E8)</f>
        <v>734938676</v>
      </c>
      <c r="H96" s="5"/>
      <c r="I96" s="5" t="str">
        <f>IFERROR(__xludf.DUMMYFUNCTION("""COMPUTED_VALUE"""),"PRODUKSI")</f>
        <v>PRODUKSI</v>
      </c>
    </row>
    <row r="97">
      <c r="A97" s="8">
        <f>IFERROR(__xludf.DUMMYFUNCTION("""COMPUTED_VALUE"""),46166.0)</f>
        <v>46166</v>
      </c>
      <c r="B97" s="5" t="str">
        <f>IFERROR(__xludf.DUMMYFUNCTION("""COMPUTED_VALUE"""),"TRSF E-BANKING DB")</f>
        <v>TRSF E-BANKING DB</v>
      </c>
      <c r="C97" s="5" t="str">
        <f>IFERROR(__xludf.DUMMYFUNCTION("""COMPUTED_VALUE"""),"2405/FTSCY/WS95031 75250000.00 Fri May 22 2026 14:00:00 GMT+0700 (Western Indonesia Time) RUKUN MITRA BERSAM")</f>
        <v>2405/FTSCY/WS95031 75250000.00 Fri May 22 2026 14:00:00 GMT+0700 (Western Indonesia Time) RUKUN MITRA BERSAM</v>
      </c>
      <c r="D97" s="5">
        <f>IFERROR(__xludf.DUMMYFUNCTION("""COMPUTED_VALUE"""),7.525E7)</f>
        <v>75250000</v>
      </c>
      <c r="E97" s="5"/>
      <c r="F97" s="5" t="str">
        <f>IFERROR(__xludf.DUMMYFUNCTION("""COMPUTED_VALUE"""),"DB")</f>
        <v>DB</v>
      </c>
      <c r="G97" s="5">
        <f>IFERROR(__xludf.DUMMYFUNCTION("""COMPUTED_VALUE"""),6668185.950000048)</f>
        <v>6668185.95</v>
      </c>
      <c r="H97" s="5"/>
      <c r="I97" s="5" t="str">
        <f>IFERROR(__xludf.DUMMYFUNCTION("""COMPUTED_VALUE"""),"PRODUKSI")</f>
        <v>PRODUKSI</v>
      </c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drawing r:id="rId1"/>
</worksheet>
</file>